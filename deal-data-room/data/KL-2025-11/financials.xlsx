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brdbdevelopment-my.sharepoint.com/personal/whwai_brdb_com_my/Documents/BRDB Business Development/Projects/New Projects/Lot 1423, Jalan Desa Sentosa/"/>
    </mc:Choice>
  </mc:AlternateContent>
  <xr:revisionPtr revIDLastSave="549" documentId="8_{E3131818-BE56-47C2-AFFB-05DE6C3B0E8B}" xr6:coauthVersionLast="47" xr6:coauthVersionMax="47" xr10:uidLastSave="{BC4FD115-56A8-46CB-82A5-25D53B555DBE}"/>
  <bookViews>
    <workbookView xWindow="-108" yWindow="-108" windowWidth="23256" windowHeight="12456" tabRatio="500" xr2:uid="{00000000-000D-0000-FFFF-FFFF00000000}"/>
  </bookViews>
  <sheets>
    <sheet name="Feasibility Study" sheetId="1" r:id="rId1"/>
    <sheet name="Cashflow" sheetId="2" r:id="rId2"/>
    <sheet name="Returns" sheetId="3" r:id="rId3"/>
    <sheet name="IRR &amp; Sensitivity" sheetId="4" r:id="rId4"/>
  </sheets>
  <definedNames>
    <definedName name="_xlnm.Print_Area" localSheetId="3">'IRR &amp; Sensitivity'!$A$1:$T$32</definedName>
    <definedName name="x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0" i="1" l="1"/>
  <c r="G21" i="1"/>
  <c r="I133" i="1"/>
  <c r="I132" i="1" s="1"/>
  <c r="I11" i="1" l="1"/>
  <c r="I76" i="1"/>
  <c r="I75" i="1"/>
  <c r="AY64" i="1"/>
  <c r="AW64" i="1"/>
  <c r="AU64" i="1"/>
  <c r="AS64" i="1"/>
  <c r="AQ64" i="1"/>
  <c r="AO64" i="1"/>
  <c r="AM64" i="1"/>
  <c r="AK64" i="1"/>
  <c r="AI64" i="1"/>
  <c r="AG64" i="1"/>
  <c r="AE64" i="1"/>
  <c r="AC64" i="1"/>
  <c r="Y64" i="1"/>
  <c r="W64" i="1"/>
  <c r="S64" i="1"/>
  <c r="Q64" i="1"/>
  <c r="O64" i="1"/>
  <c r="M64" i="1"/>
  <c r="K64" i="1"/>
  <c r="G36" i="1"/>
  <c r="I16" i="1" s="1"/>
  <c r="I54" i="1"/>
  <c r="D33" i="1" l="1"/>
  <c r="D32" i="1"/>
  <c r="I56" i="1" s="1"/>
  <c r="H36" i="1"/>
  <c r="I61" i="1" s="1"/>
  <c r="D31" i="1"/>
  <c r="I64" i="1" l="1"/>
  <c r="I20" i="1"/>
  <c r="I55" i="1"/>
  <c r="I52" i="1"/>
  <c r="I53" i="1"/>
  <c r="I51" i="1"/>
  <c r="AW9" i="1"/>
  <c r="AU9" i="1"/>
  <c r="AS9" i="1"/>
  <c r="AQ9" i="1"/>
  <c r="AO9" i="1"/>
  <c r="AM9" i="1"/>
  <c r="AK9" i="1"/>
  <c r="AI9" i="1"/>
  <c r="AG9" i="1"/>
  <c r="AE9" i="1"/>
  <c r="AC9" i="1"/>
  <c r="Y9" i="1"/>
  <c r="W9" i="1"/>
  <c r="S9" i="1"/>
  <c r="Q9" i="1"/>
  <c r="O9" i="1"/>
  <c r="M9" i="1"/>
  <c r="K9" i="1"/>
  <c r="I9" i="1"/>
  <c r="H20" i="1" l="1"/>
  <c r="B9" i="4"/>
  <c r="B8" i="4"/>
  <c r="B13" i="3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BK40" i="2"/>
  <c r="BK39" i="2"/>
  <c r="BK38" i="2"/>
  <c r="BK37" i="2"/>
  <c r="BK36" i="2"/>
  <c r="BK35" i="2"/>
  <c r="BK34" i="2"/>
  <c r="BK33" i="2"/>
  <c r="BK32" i="2"/>
  <c r="BK31" i="2"/>
  <c r="BK30" i="2"/>
  <c r="BK29" i="2"/>
  <c r="BK28" i="2"/>
  <c r="BK27" i="2"/>
  <c r="BK26" i="2"/>
  <c r="BK25" i="2"/>
  <c r="BK24" i="2"/>
  <c r="BK23" i="2"/>
  <c r="AY46" i="1"/>
  <c r="AY45" i="1"/>
  <c r="D45" i="1"/>
  <c r="AY44" i="1"/>
  <c r="AY43" i="1"/>
  <c r="AY42" i="1"/>
  <c r="AB139" i="1"/>
  <c r="Z139" i="1"/>
  <c r="U139" i="1"/>
  <c r="AY132" i="1"/>
  <c r="AY126" i="1"/>
  <c r="AY125" i="1" s="1"/>
  <c r="AW125" i="1"/>
  <c r="AU125" i="1"/>
  <c r="AS125" i="1"/>
  <c r="AQ125" i="1"/>
  <c r="AO125" i="1"/>
  <c r="AM125" i="1"/>
  <c r="AK125" i="1"/>
  <c r="AI125" i="1"/>
  <c r="AG125" i="1"/>
  <c r="AE125" i="1"/>
  <c r="AC125" i="1"/>
  <c r="Y125" i="1"/>
  <c r="W125" i="1"/>
  <c r="S125" i="1"/>
  <c r="Q125" i="1"/>
  <c r="O125" i="1"/>
  <c r="M125" i="1"/>
  <c r="K125" i="1"/>
  <c r="I125" i="1"/>
  <c r="AY117" i="1"/>
  <c r="AY116" i="1"/>
  <c r="AW115" i="1"/>
  <c r="AU115" i="1"/>
  <c r="AS115" i="1"/>
  <c r="AQ115" i="1"/>
  <c r="AO115" i="1"/>
  <c r="AM115" i="1"/>
  <c r="AK115" i="1"/>
  <c r="AI115" i="1"/>
  <c r="AG115" i="1"/>
  <c r="AE115" i="1"/>
  <c r="AC115" i="1"/>
  <c r="Y115" i="1"/>
  <c r="W115" i="1"/>
  <c r="S115" i="1"/>
  <c r="Q115" i="1"/>
  <c r="O115" i="1"/>
  <c r="M115" i="1"/>
  <c r="K115" i="1"/>
  <c r="I115" i="1"/>
  <c r="AS114" i="1"/>
  <c r="Q114" i="1"/>
  <c r="AS113" i="1"/>
  <c r="Q113" i="1"/>
  <c r="B111" i="1"/>
  <c r="B112" i="1" s="1"/>
  <c r="B113" i="1" s="1"/>
  <c r="AS107" i="1"/>
  <c r="AS106" i="1" s="1"/>
  <c r="Q107" i="1"/>
  <c r="Q106" i="1" s="1"/>
  <c r="AS104" i="1"/>
  <c r="AS103" i="1" s="1"/>
  <c r="Q104" i="1"/>
  <c r="Q103" i="1" s="1"/>
  <c r="AW93" i="1"/>
  <c r="AU93" i="1"/>
  <c r="AS93" i="1"/>
  <c r="AQ93" i="1"/>
  <c r="AO93" i="1"/>
  <c r="AM93" i="1"/>
  <c r="AK93" i="1"/>
  <c r="AI93" i="1"/>
  <c r="AG93" i="1"/>
  <c r="AE93" i="1"/>
  <c r="AC93" i="1"/>
  <c r="Y93" i="1"/>
  <c r="W93" i="1"/>
  <c r="S93" i="1"/>
  <c r="Q93" i="1"/>
  <c r="O93" i="1"/>
  <c r="M93" i="1"/>
  <c r="K93" i="1"/>
  <c r="I93" i="1"/>
  <c r="AW91" i="1"/>
  <c r="AU91" i="1"/>
  <c r="AS91" i="1"/>
  <c r="AQ91" i="1"/>
  <c r="AO91" i="1"/>
  <c r="AM91" i="1"/>
  <c r="AK91" i="1"/>
  <c r="AI91" i="1"/>
  <c r="AG91" i="1"/>
  <c r="AE91" i="1"/>
  <c r="AC91" i="1"/>
  <c r="Y91" i="1"/>
  <c r="W91" i="1"/>
  <c r="S91" i="1"/>
  <c r="Q91" i="1"/>
  <c r="O91" i="1"/>
  <c r="M91" i="1"/>
  <c r="K91" i="1"/>
  <c r="I91" i="1"/>
  <c r="S85" i="1"/>
  <c r="S100" i="1" s="1"/>
  <c r="S83" i="1"/>
  <c r="B73" i="1"/>
  <c r="AE63" i="1"/>
  <c r="AE62" i="1"/>
  <c r="AW61" i="1"/>
  <c r="AU61" i="1"/>
  <c r="AS61" i="1"/>
  <c r="AQ61" i="1"/>
  <c r="AO61" i="1"/>
  <c r="AM61" i="1"/>
  <c r="AK61" i="1"/>
  <c r="AI61" i="1"/>
  <c r="AG61" i="1"/>
  <c r="AE61" i="1"/>
  <c r="AC61" i="1"/>
  <c r="Y61" i="1"/>
  <c r="W61" i="1"/>
  <c r="AY59" i="1"/>
  <c r="M61" i="1"/>
  <c r="K35" i="1"/>
  <c r="K61" i="1" s="1"/>
  <c r="K65" i="1" s="1"/>
  <c r="A31" i="1"/>
  <c r="A32" i="1" s="1"/>
  <c r="A33" i="1" s="1"/>
  <c r="AS17" i="1"/>
  <c r="AS16" i="1"/>
  <c r="S16" i="1"/>
  <c r="Q16" i="1"/>
  <c r="AW11" i="1"/>
  <c r="AW16" i="1" s="1"/>
  <c r="AU11" i="1"/>
  <c r="AU107" i="1" s="1"/>
  <c r="AU106" i="1" s="1"/>
  <c r="AQ11" i="1"/>
  <c r="AQ113" i="1" s="1"/>
  <c r="AO11" i="1"/>
  <c r="AO104" i="1" s="1"/>
  <c r="AO103" i="1" s="1"/>
  <c r="AM11" i="1"/>
  <c r="AM113" i="1" s="1"/>
  <c r="AK11" i="1"/>
  <c r="AK104" i="1" s="1"/>
  <c r="AK103" i="1" s="1"/>
  <c r="AI11" i="1"/>
  <c r="AI107" i="1" s="1"/>
  <c r="AI106" i="1" s="1"/>
  <c r="AG11" i="1"/>
  <c r="AG113" i="1" s="1"/>
  <c r="AE11" i="1"/>
  <c r="AE17" i="1" s="1"/>
  <c r="AC11" i="1"/>
  <c r="AC16" i="1" s="1"/>
  <c r="AC83" i="1" s="1"/>
  <c r="Y11" i="1"/>
  <c r="Y114" i="1" s="1"/>
  <c r="W11" i="1"/>
  <c r="W114" i="1" s="1"/>
  <c r="S11" i="1"/>
  <c r="O11" i="1"/>
  <c r="M11" i="1"/>
  <c r="M107" i="1" s="1"/>
  <c r="M106" i="1" s="1"/>
  <c r="K11" i="1"/>
  <c r="K17" i="1" s="1"/>
  <c r="AW10" i="1"/>
  <c r="AW72" i="1" s="1"/>
  <c r="AW145" i="1" s="1"/>
  <c r="AU10" i="1"/>
  <c r="AU72" i="1" s="1"/>
  <c r="AU145" i="1" s="1"/>
  <c r="AS10" i="1"/>
  <c r="AS72" i="1" s="1"/>
  <c r="AQ10" i="1"/>
  <c r="AQ72" i="1" s="1"/>
  <c r="AO10" i="1"/>
  <c r="AO72" i="1" s="1"/>
  <c r="AM10" i="1"/>
  <c r="AM72" i="1" s="1"/>
  <c r="AK10" i="1"/>
  <c r="AK72" i="1" s="1"/>
  <c r="AI10" i="1"/>
  <c r="AI72" i="1" s="1"/>
  <c r="AG10" i="1"/>
  <c r="AG72" i="1" s="1"/>
  <c r="AE10" i="1"/>
  <c r="AE72" i="1" s="1"/>
  <c r="AC10" i="1"/>
  <c r="AC72" i="1" s="1"/>
  <c r="Y10" i="1"/>
  <c r="Y72" i="1" s="1"/>
  <c r="W10" i="1"/>
  <c r="W72" i="1" s="1"/>
  <c r="S10" i="1"/>
  <c r="Q10" i="1"/>
  <c r="Q72" i="1" s="1"/>
  <c r="O10" i="1"/>
  <c r="O72" i="1" s="1"/>
  <c r="O145" i="1" s="1"/>
  <c r="M10" i="1"/>
  <c r="M72" i="1" s="1"/>
  <c r="M145" i="1" s="1"/>
  <c r="K10" i="1"/>
  <c r="K72" i="1" s="1"/>
  <c r="K145" i="1" s="1"/>
  <c r="I10" i="1"/>
  <c r="AY8" i="1"/>
  <c r="O95" i="1" s="1"/>
  <c r="AQ155" i="1" l="1"/>
  <c r="W41" i="1"/>
  <c r="AS65" i="1"/>
  <c r="AW112" i="1"/>
  <c r="AW65" i="1"/>
  <c r="AC41" i="1"/>
  <c r="AC65" i="1"/>
  <c r="B56" i="2"/>
  <c r="AS56" i="2" s="1"/>
  <c r="AU155" i="1"/>
  <c r="Y41" i="1"/>
  <c r="AO112" i="1"/>
  <c r="S17" i="1"/>
  <c r="I72" i="1"/>
  <c r="I74" i="1" s="1"/>
  <c r="I17" i="1"/>
  <c r="AE75" i="1"/>
  <c r="AS33" i="1"/>
  <c r="O61" i="1"/>
  <c r="Q76" i="1"/>
  <c r="AG17" i="1"/>
  <c r="AW95" i="1"/>
  <c r="AI17" i="1"/>
  <c r="AQ17" i="1"/>
  <c r="AC104" i="1"/>
  <c r="AC103" i="1" s="1"/>
  <c r="AO114" i="1"/>
  <c r="AK17" i="1"/>
  <c r="AU110" i="1"/>
  <c r="AM17" i="1"/>
  <c r="AY115" i="1"/>
  <c r="AY9" i="1"/>
  <c r="AO17" i="1"/>
  <c r="AC75" i="1"/>
  <c r="AK95" i="1"/>
  <c r="AG75" i="1"/>
  <c r="AQ112" i="1"/>
  <c r="AU17" i="1"/>
  <c r="AS112" i="1"/>
  <c r="O76" i="1"/>
  <c r="S76" i="1"/>
  <c r="AE104" i="1"/>
  <c r="AE103" i="1" s="1"/>
  <c r="AS155" i="1"/>
  <c r="AG104" i="1"/>
  <c r="AG103" i="1" s="1"/>
  <c r="AO16" i="1"/>
  <c r="AO65" i="1" s="1"/>
  <c r="AQ16" i="1"/>
  <c r="AQ83" i="1" s="1"/>
  <c r="AQ104" i="1"/>
  <c r="AQ103" i="1" s="1"/>
  <c r="AU16" i="1"/>
  <c r="AU83" i="1" s="1"/>
  <c r="AY91" i="1"/>
  <c r="AU104" i="1"/>
  <c r="AU103" i="1" s="1"/>
  <c r="AE114" i="1"/>
  <c r="AE145" i="1"/>
  <c r="AE73" i="1"/>
  <c r="AE68" i="1"/>
  <c r="AM145" i="1"/>
  <c r="AM73" i="1"/>
  <c r="AM68" i="1"/>
  <c r="AG145" i="1"/>
  <c r="AG73" i="1"/>
  <c r="AG68" i="1"/>
  <c r="AQ145" i="1"/>
  <c r="AQ68" i="1"/>
  <c r="AQ73" i="1"/>
  <c r="AI145" i="1"/>
  <c r="AI73" i="1"/>
  <c r="AI68" i="1"/>
  <c r="AO145" i="1"/>
  <c r="AO68" i="1"/>
  <c r="AO73" i="1"/>
  <c r="AS145" i="1"/>
  <c r="AS68" i="1"/>
  <c r="AS73" i="1"/>
  <c r="B45" i="2"/>
  <c r="K154" i="1"/>
  <c r="K111" i="1"/>
  <c r="K41" i="1"/>
  <c r="K157" i="1"/>
  <c r="K156" i="1"/>
  <c r="K112" i="1"/>
  <c r="K110" i="1"/>
  <c r="K155" i="1"/>
  <c r="AW85" i="1"/>
  <c r="AW17" i="1"/>
  <c r="AW33" i="1"/>
  <c r="S61" i="1"/>
  <c r="S65" i="1" s="1"/>
  <c r="AK145" i="1"/>
  <c r="AK73" i="1"/>
  <c r="AK68" i="1"/>
  <c r="Q145" i="1"/>
  <c r="Q68" i="1"/>
  <c r="Q73" i="1"/>
  <c r="M154" i="1"/>
  <c r="M111" i="1"/>
  <c r="B46" i="2"/>
  <c r="M41" i="1"/>
  <c r="M157" i="1"/>
  <c r="M110" i="1"/>
  <c r="M156" i="1"/>
  <c r="M155" i="1"/>
  <c r="M112" i="1"/>
  <c r="W145" i="1"/>
  <c r="W68" i="1"/>
  <c r="W73" i="1"/>
  <c r="AY35" i="1"/>
  <c r="Y68" i="1"/>
  <c r="Y145" i="1"/>
  <c r="Y73" i="1"/>
  <c r="AC68" i="1"/>
  <c r="AC145" i="1"/>
  <c r="AC73" i="1"/>
  <c r="Q61" i="1"/>
  <c r="Q65" i="1" s="1"/>
  <c r="AY11" i="1"/>
  <c r="O114" i="1"/>
  <c r="O104" i="1"/>
  <c r="O103" i="1" s="1"/>
  <c r="O113" i="1"/>
  <c r="B50" i="2"/>
  <c r="W157" i="1"/>
  <c r="W110" i="1"/>
  <c r="W156" i="1"/>
  <c r="W112" i="1"/>
  <c r="W155" i="1"/>
  <c r="W154" i="1"/>
  <c r="AI75" i="1"/>
  <c r="W76" i="1"/>
  <c r="AY93" i="1"/>
  <c r="AI104" i="1"/>
  <c r="AI103" i="1" s="1"/>
  <c r="AI114" i="1"/>
  <c r="I107" i="1"/>
  <c r="M114" i="1"/>
  <c r="M104" i="1"/>
  <c r="M103" i="1" s="1"/>
  <c r="K83" i="1"/>
  <c r="S104" i="1"/>
  <c r="S103" i="1" s="1"/>
  <c r="S113" i="1"/>
  <c r="S107" i="1"/>
  <c r="S106" i="1" s="1"/>
  <c r="M16" i="1"/>
  <c r="M65" i="1" s="1"/>
  <c r="B51" i="2"/>
  <c r="Y110" i="1"/>
  <c r="Y156" i="1"/>
  <c r="Y155" i="1"/>
  <c r="Y154" i="1"/>
  <c r="S72" i="1"/>
  <c r="AK75" i="1"/>
  <c r="Y76" i="1"/>
  <c r="O107" i="1"/>
  <c r="O106" i="1" s="1"/>
  <c r="K107" i="1"/>
  <c r="K106" i="1" s="1"/>
  <c r="O16" i="1"/>
  <c r="O84" i="1" s="1"/>
  <c r="O97" i="1" s="1"/>
  <c r="AC156" i="1"/>
  <c r="AC112" i="1"/>
  <c r="AC155" i="1"/>
  <c r="B52" i="2"/>
  <c r="AC154" i="1"/>
  <c r="AC111" i="1"/>
  <c r="K73" i="1"/>
  <c r="AU73" i="1"/>
  <c r="AM75" i="1"/>
  <c r="AC76" i="1"/>
  <c r="W111" i="1"/>
  <c r="M113" i="1"/>
  <c r="W104" i="1"/>
  <c r="W103" i="1" s="1"/>
  <c r="W113" i="1"/>
  <c r="Y104" i="1"/>
  <c r="Y103" i="1" s="1"/>
  <c r="Y113" i="1"/>
  <c r="B53" i="2"/>
  <c r="AE156" i="1"/>
  <c r="AE112" i="1"/>
  <c r="AE155" i="1"/>
  <c r="AE154" i="1"/>
  <c r="AE41" i="1"/>
  <c r="M73" i="1"/>
  <c r="AW73" i="1"/>
  <c r="AO75" i="1"/>
  <c r="AE76" i="1"/>
  <c r="M95" i="1"/>
  <c r="W107" i="1"/>
  <c r="W106" i="1" s="1"/>
  <c r="Y111" i="1"/>
  <c r="AC113" i="1"/>
  <c r="AC107" i="1"/>
  <c r="AC106" i="1" s="1"/>
  <c r="AC114" i="1"/>
  <c r="B54" i="2"/>
  <c r="AG156" i="1"/>
  <c r="AG112" i="1"/>
  <c r="AG155" i="1"/>
  <c r="AG154" i="1"/>
  <c r="AG41" i="1"/>
  <c r="AG157" i="1"/>
  <c r="O73" i="1"/>
  <c r="AQ75" i="1"/>
  <c r="AG76" i="1"/>
  <c r="Y107" i="1"/>
  <c r="Y106" i="1" s="1"/>
  <c r="AE111" i="1"/>
  <c r="AE113" i="1"/>
  <c r="AU95" i="1"/>
  <c r="K95" i="1"/>
  <c r="AQ76" i="1"/>
  <c r="AS95" i="1"/>
  <c r="AS97" i="1" s="1"/>
  <c r="I95" i="1"/>
  <c r="AO76" i="1"/>
  <c r="AQ95" i="1"/>
  <c r="AM76" i="1"/>
  <c r="AO95" i="1"/>
  <c r="AM95" i="1"/>
  <c r="W16" i="1"/>
  <c r="W33" i="1" s="1"/>
  <c r="M17" i="1"/>
  <c r="B55" i="2"/>
  <c r="AI112" i="1"/>
  <c r="AI155" i="1"/>
  <c r="AI154" i="1"/>
  <c r="AI111" i="1"/>
  <c r="AI41" i="1"/>
  <c r="AI157" i="1"/>
  <c r="K68" i="1"/>
  <c r="AU68" i="1"/>
  <c r="AS75" i="1"/>
  <c r="AI76" i="1"/>
  <c r="Q95" i="1"/>
  <c r="AE107" i="1"/>
  <c r="AE106" i="1" s="1"/>
  <c r="AG111" i="1"/>
  <c r="AI156" i="1"/>
  <c r="I114" i="1"/>
  <c r="I104" i="1"/>
  <c r="I113" i="1"/>
  <c r="AG107" i="1"/>
  <c r="AG106" i="1" s="1"/>
  <c r="AG114" i="1"/>
  <c r="Y16" i="1"/>
  <c r="Y33" i="1" s="1"/>
  <c r="O17" i="1"/>
  <c r="AK112" i="1"/>
  <c r="AK155" i="1"/>
  <c r="AK154" i="1"/>
  <c r="AK41" i="1"/>
  <c r="AK157" i="1"/>
  <c r="M68" i="1"/>
  <c r="AW68" i="1"/>
  <c r="K75" i="1"/>
  <c r="AU75" i="1"/>
  <c r="AK76" i="1"/>
  <c r="Q85" i="1"/>
  <c r="S95" i="1"/>
  <c r="S97" i="1" s="1"/>
  <c r="AC110" i="1"/>
  <c r="AK111" i="1"/>
  <c r="AI113" i="1"/>
  <c r="AK156" i="1"/>
  <c r="AW114" i="1"/>
  <c r="AW104" i="1"/>
  <c r="AW103" i="1" s="1"/>
  <c r="Q17" i="1"/>
  <c r="AC33" i="1"/>
  <c r="AM112" i="1"/>
  <c r="AM155" i="1"/>
  <c r="AM154" i="1"/>
  <c r="AM111" i="1"/>
  <c r="AM41" i="1"/>
  <c r="AM157" i="1"/>
  <c r="AM110" i="1"/>
  <c r="B57" i="2"/>
  <c r="O68" i="1"/>
  <c r="M75" i="1"/>
  <c r="AW75" i="1"/>
  <c r="AS76" i="1"/>
  <c r="W95" i="1"/>
  <c r="AE110" i="1"/>
  <c r="AM156" i="1"/>
  <c r="AK107" i="1"/>
  <c r="AK106" i="1" s="1"/>
  <c r="AK114" i="1"/>
  <c r="AK113" i="1"/>
  <c r="AE16" i="1"/>
  <c r="AE65" i="1" s="1"/>
  <c r="B58" i="2"/>
  <c r="AO155" i="1"/>
  <c r="AO154" i="1"/>
  <c r="AO111" i="1"/>
  <c r="AO41" i="1"/>
  <c r="AO157" i="1"/>
  <c r="AO156" i="1"/>
  <c r="O75" i="1"/>
  <c r="AU76" i="1"/>
  <c r="Y95" i="1"/>
  <c r="AW107" i="1"/>
  <c r="AW106" i="1" s="1"/>
  <c r="AG110" i="1"/>
  <c r="Y157" i="1"/>
  <c r="AM107" i="1"/>
  <c r="AM106" i="1" s="1"/>
  <c r="AM114" i="1"/>
  <c r="AM104" i="1"/>
  <c r="AM103" i="1" s="1"/>
  <c r="AG16" i="1"/>
  <c r="AG83" i="1" s="1"/>
  <c r="B59" i="2"/>
  <c r="AQ154" i="1"/>
  <c r="AQ111" i="1"/>
  <c r="AQ41" i="1"/>
  <c r="AQ157" i="1"/>
  <c r="AQ156" i="1"/>
  <c r="Q75" i="1"/>
  <c r="AW76" i="1"/>
  <c r="AC95" i="1"/>
  <c r="AC97" i="1" s="1"/>
  <c r="AI110" i="1"/>
  <c r="AC157" i="1"/>
  <c r="AO107" i="1"/>
  <c r="AO106" i="1" s="1"/>
  <c r="AO113" i="1"/>
  <c r="AI16" i="1"/>
  <c r="AI83" i="1" s="1"/>
  <c r="AS154" i="1"/>
  <c r="AS111" i="1"/>
  <c r="AS41" i="1"/>
  <c r="AS157" i="1"/>
  <c r="AS110" i="1"/>
  <c r="AS156" i="1"/>
  <c r="S75" i="1"/>
  <c r="AE95" i="1"/>
  <c r="AK110" i="1"/>
  <c r="AW113" i="1"/>
  <c r="AE157" i="1"/>
  <c r="K114" i="1"/>
  <c r="K113" i="1"/>
  <c r="AQ107" i="1"/>
  <c r="AQ106" i="1" s="1"/>
  <c r="AQ114" i="1"/>
  <c r="AK16" i="1"/>
  <c r="AK83" i="1" s="1"/>
  <c r="AC17" i="1"/>
  <c r="B60" i="2"/>
  <c r="AU154" i="1"/>
  <c r="AU111" i="1"/>
  <c r="AU41" i="1"/>
  <c r="AU157" i="1"/>
  <c r="AU156" i="1"/>
  <c r="AU112" i="1"/>
  <c r="W75" i="1"/>
  <c r="K76" i="1"/>
  <c r="AG95" i="1"/>
  <c r="K104" i="1"/>
  <c r="K103" i="1" s="1"/>
  <c r="AO110" i="1"/>
  <c r="AY10" i="1"/>
  <c r="AU114" i="1"/>
  <c r="AU113" i="1"/>
  <c r="AM16" i="1"/>
  <c r="AM33" i="1" s="1"/>
  <c r="B61" i="2"/>
  <c r="AW154" i="1"/>
  <c r="AW111" i="1"/>
  <c r="AW41" i="1"/>
  <c r="AW157" i="1"/>
  <c r="AW110" i="1"/>
  <c r="AW156" i="1"/>
  <c r="AW155" i="1"/>
  <c r="Y75" i="1"/>
  <c r="M76" i="1"/>
  <c r="AI95" i="1"/>
  <c r="AQ110" i="1"/>
  <c r="Y112" i="1"/>
  <c r="S114" i="1"/>
  <c r="BI56" i="2" l="1"/>
  <c r="K39" i="1"/>
  <c r="AK65" i="1"/>
  <c r="O65" i="1"/>
  <c r="AI65" i="1"/>
  <c r="I145" i="1"/>
  <c r="I73" i="1"/>
  <c r="I69" i="1" s="1"/>
  <c r="I21" i="1" s="1"/>
  <c r="G56" i="2"/>
  <c r="AY56" i="2"/>
  <c r="BC56" i="2"/>
  <c r="BE56" i="2"/>
  <c r="J56" i="2"/>
  <c r="U56" i="2"/>
  <c r="AK56" i="2"/>
  <c r="AG65" i="1"/>
  <c r="AG39" i="1" s="1"/>
  <c r="AG38" i="1" s="1"/>
  <c r="BJ56" i="2"/>
  <c r="O56" i="2"/>
  <c r="W56" i="2"/>
  <c r="AE56" i="2"/>
  <c r="AL56" i="2"/>
  <c r="AQ56" i="2"/>
  <c r="AG56" i="2"/>
  <c r="H56" i="2"/>
  <c r="W65" i="1"/>
  <c r="BH56" i="2"/>
  <c r="Y65" i="1"/>
  <c r="P56" i="2"/>
  <c r="Q56" i="2"/>
  <c r="BA56" i="2"/>
  <c r="K56" i="2"/>
  <c r="AU56" i="2"/>
  <c r="BG56" i="2"/>
  <c r="AJ56" i="2"/>
  <c r="AN56" i="2"/>
  <c r="BD56" i="2"/>
  <c r="AX56" i="2"/>
  <c r="C56" i="2"/>
  <c r="I56" i="2"/>
  <c r="M56" i="2"/>
  <c r="AQ65" i="1"/>
  <c r="Z56" i="2"/>
  <c r="AP56" i="2"/>
  <c r="R56" i="2"/>
  <c r="F56" i="2"/>
  <c r="V56" i="2"/>
  <c r="AH56" i="2"/>
  <c r="X56" i="2"/>
  <c r="AM56" i="2"/>
  <c r="AM65" i="1"/>
  <c r="AM39" i="1" s="1"/>
  <c r="AM38" i="1" s="1"/>
  <c r="AW56" i="2"/>
  <c r="AZ56" i="2"/>
  <c r="S56" i="2"/>
  <c r="Y56" i="2"/>
  <c r="AC56" i="2"/>
  <c r="AU65" i="1"/>
  <c r="E56" i="2"/>
  <c r="N56" i="2"/>
  <c r="AD56" i="2"/>
  <c r="AT56" i="2"/>
  <c r="BF56" i="2"/>
  <c r="T56" i="2"/>
  <c r="AA56" i="2"/>
  <c r="AF56" i="2"/>
  <c r="BB56" i="2"/>
  <c r="L56" i="2"/>
  <c r="AB56" i="2"/>
  <c r="AR56" i="2"/>
  <c r="AV56" i="2"/>
  <c r="AC39" i="1"/>
  <c r="AC38" i="1" s="1"/>
  <c r="D56" i="2"/>
  <c r="AI56" i="2"/>
  <c r="AO56" i="2"/>
  <c r="AW39" i="1"/>
  <c r="O154" i="1"/>
  <c r="AE39" i="1"/>
  <c r="AE38" i="1" s="1"/>
  <c r="AS39" i="1"/>
  <c r="O155" i="1"/>
  <c r="AO39" i="1"/>
  <c r="AO38" i="1" s="1"/>
  <c r="O112" i="1"/>
  <c r="O110" i="1"/>
  <c r="M84" i="1"/>
  <c r="M97" i="1" s="1"/>
  <c r="O156" i="1"/>
  <c r="AQ97" i="1"/>
  <c r="AQ98" i="1" s="1"/>
  <c r="AG69" i="1"/>
  <c r="O111" i="1"/>
  <c r="O41" i="1"/>
  <c r="B47" i="2"/>
  <c r="AZ47" i="2" s="1"/>
  <c r="O157" i="1"/>
  <c r="AO83" i="1"/>
  <c r="AO97" i="1" s="1"/>
  <c r="AY95" i="1"/>
  <c r="AI69" i="1"/>
  <c r="AW97" i="1"/>
  <c r="AW100" i="1" s="1"/>
  <c r="AY76" i="1"/>
  <c r="AY75" i="1"/>
  <c r="AM69" i="1"/>
  <c r="AI33" i="1"/>
  <c r="AE69" i="1"/>
  <c r="AC159" i="1"/>
  <c r="AK97" i="1"/>
  <c r="AK98" i="1" s="1"/>
  <c r="W159" i="1"/>
  <c r="AM109" i="1"/>
  <c r="AK69" i="1"/>
  <c r="AQ33" i="1"/>
  <c r="AS159" i="1"/>
  <c r="AO33" i="1"/>
  <c r="AI39" i="1"/>
  <c r="AI38" i="1" s="1"/>
  <c r="M159" i="1"/>
  <c r="AU97" i="1"/>
  <c r="AU99" i="1" s="1"/>
  <c r="Q69" i="1"/>
  <c r="Y69" i="1"/>
  <c r="AU39" i="1"/>
  <c r="AW69" i="1"/>
  <c r="M69" i="1"/>
  <c r="AU69" i="1"/>
  <c r="AE109" i="1"/>
  <c r="K69" i="1"/>
  <c r="AO69" i="1"/>
  <c r="O69" i="1"/>
  <c r="W69" i="1"/>
  <c r="AC109" i="1"/>
  <c r="M33" i="1"/>
  <c r="K159" i="1"/>
  <c r="AG97" i="1"/>
  <c r="AG98" i="1" s="1"/>
  <c r="M39" i="1"/>
  <c r="M38" i="1" s="1"/>
  <c r="AC69" i="1"/>
  <c r="AS69" i="1"/>
  <c r="AQ109" i="1"/>
  <c r="AU109" i="1"/>
  <c r="O33" i="1"/>
  <c r="K97" i="1"/>
  <c r="K99" i="1" s="1"/>
  <c r="AQ69" i="1"/>
  <c r="AG109" i="1"/>
  <c r="AQ39" i="1"/>
  <c r="AQ38" i="1" s="1"/>
  <c r="AW109" i="1"/>
  <c r="W39" i="1"/>
  <c r="W38" i="1" s="1"/>
  <c r="AU33" i="1"/>
  <c r="S99" i="1"/>
  <c r="S98" i="1"/>
  <c r="AC98" i="1"/>
  <c r="AC99" i="1"/>
  <c r="Y17" i="1"/>
  <c r="Y85" i="1"/>
  <c r="Y97" i="1" s="1"/>
  <c r="AG159" i="1"/>
  <c r="S145" i="1"/>
  <c r="AY145" i="1" s="1"/>
  <c r="S68" i="1"/>
  <c r="S73" i="1"/>
  <c r="AK39" i="1"/>
  <c r="AK38" i="1" s="1"/>
  <c r="AM159" i="1"/>
  <c r="I106" i="1"/>
  <c r="AY107" i="1"/>
  <c r="AY106" i="1" s="1"/>
  <c r="W109" i="1"/>
  <c r="K33" i="1"/>
  <c r="I83" i="1"/>
  <c r="AY16" i="1"/>
  <c r="AK109" i="1"/>
  <c r="AI97" i="1"/>
  <c r="AQ159" i="1"/>
  <c r="AE159" i="1"/>
  <c r="Y159" i="1"/>
  <c r="AY50" i="2"/>
  <c r="AI50" i="2"/>
  <c r="S50" i="2"/>
  <c r="C50" i="2"/>
  <c r="AX50" i="2"/>
  <c r="AH50" i="2"/>
  <c r="R50" i="2"/>
  <c r="AW50" i="2"/>
  <c r="AG50" i="2"/>
  <c r="Q50" i="2"/>
  <c r="AV50" i="2"/>
  <c r="AF50" i="2"/>
  <c r="P50" i="2"/>
  <c r="BE50" i="2"/>
  <c r="AS50" i="2"/>
  <c r="Y50" i="2"/>
  <c r="E50" i="2"/>
  <c r="AR50" i="2"/>
  <c r="X50" i="2"/>
  <c r="D50" i="2"/>
  <c r="AQ50" i="2"/>
  <c r="W50" i="2"/>
  <c r="AP50" i="2"/>
  <c r="V50" i="2"/>
  <c r="BJ50" i="2"/>
  <c r="AO50" i="2"/>
  <c r="U50" i="2"/>
  <c r="BI50" i="2"/>
  <c r="AN50" i="2"/>
  <c r="T50" i="2"/>
  <c r="BH50" i="2"/>
  <c r="AM50" i="2"/>
  <c r="O50" i="2"/>
  <c r="BG50" i="2"/>
  <c r="AL50" i="2"/>
  <c r="N50" i="2"/>
  <c r="BF50" i="2"/>
  <c r="AK50" i="2"/>
  <c r="M50" i="2"/>
  <c r="BD50" i="2"/>
  <c r="AJ50" i="2"/>
  <c r="L50" i="2"/>
  <c r="BC50" i="2"/>
  <c r="AE50" i="2"/>
  <c r="K50" i="2"/>
  <c r="BB50" i="2"/>
  <c r="AD50" i="2"/>
  <c r="J50" i="2"/>
  <c r="BA50" i="2"/>
  <c r="AC50" i="2"/>
  <c r="I50" i="2"/>
  <c r="G50" i="2"/>
  <c r="H50" i="2"/>
  <c r="AZ50" i="2"/>
  <c r="AU50" i="2"/>
  <c r="AT50" i="2"/>
  <c r="AB50" i="2"/>
  <c r="F50" i="2"/>
  <c r="AA50" i="2"/>
  <c r="Z50" i="2"/>
  <c r="AE33" i="1"/>
  <c r="AE83" i="1"/>
  <c r="AE97" i="1" s="1"/>
  <c r="AS98" i="1"/>
  <c r="AS99" i="1"/>
  <c r="BA59" i="2"/>
  <c r="AK59" i="2"/>
  <c r="U59" i="2"/>
  <c r="E59" i="2"/>
  <c r="AZ59" i="2"/>
  <c r="AJ59" i="2"/>
  <c r="T59" i="2"/>
  <c r="D59" i="2"/>
  <c r="AY59" i="2"/>
  <c r="AI59" i="2"/>
  <c r="S59" i="2"/>
  <c r="C59" i="2"/>
  <c r="AX59" i="2"/>
  <c r="AH59" i="2"/>
  <c r="R59" i="2"/>
  <c r="AW59" i="2"/>
  <c r="AG59" i="2"/>
  <c r="Q59" i="2"/>
  <c r="AV59" i="2"/>
  <c r="AF59" i="2"/>
  <c r="P59" i="2"/>
  <c r="AU59" i="2"/>
  <c r="AE59" i="2"/>
  <c r="O59" i="2"/>
  <c r="BJ59" i="2"/>
  <c r="AT59" i="2"/>
  <c r="AD59" i="2"/>
  <c r="N59" i="2"/>
  <c r="BH59" i="2"/>
  <c r="AR59" i="2"/>
  <c r="AB59" i="2"/>
  <c r="L59" i="2"/>
  <c r="BG59" i="2"/>
  <c r="AQ59" i="2"/>
  <c r="AA59" i="2"/>
  <c r="K59" i="2"/>
  <c r="BE59" i="2"/>
  <c r="AO59" i="2"/>
  <c r="Y59" i="2"/>
  <c r="I59" i="2"/>
  <c r="BI59" i="2"/>
  <c r="J59" i="2"/>
  <c r="BF59" i="2"/>
  <c r="H59" i="2"/>
  <c r="BD59" i="2"/>
  <c r="G59" i="2"/>
  <c r="BC59" i="2"/>
  <c r="F59" i="2"/>
  <c r="BB59" i="2"/>
  <c r="AS59" i="2"/>
  <c r="AP59" i="2"/>
  <c r="AN59" i="2"/>
  <c r="AM59" i="2"/>
  <c r="AL59" i="2"/>
  <c r="AC59" i="2"/>
  <c r="Z59" i="2"/>
  <c r="X59" i="2"/>
  <c r="V59" i="2"/>
  <c r="M59" i="2"/>
  <c r="W59" i="2"/>
  <c r="AY113" i="1"/>
  <c r="AI159" i="1"/>
  <c r="BG54" i="2"/>
  <c r="AQ54" i="2"/>
  <c r="AA54" i="2"/>
  <c r="K54" i="2"/>
  <c r="BF54" i="2"/>
  <c r="AP54" i="2"/>
  <c r="Z54" i="2"/>
  <c r="J54" i="2"/>
  <c r="BE54" i="2"/>
  <c r="AO54" i="2"/>
  <c r="Y54" i="2"/>
  <c r="I54" i="2"/>
  <c r="BD54" i="2"/>
  <c r="AN54" i="2"/>
  <c r="X54" i="2"/>
  <c r="H54" i="2"/>
  <c r="BC54" i="2"/>
  <c r="AM54" i="2"/>
  <c r="W54" i="2"/>
  <c r="G54" i="2"/>
  <c r="BB54" i="2"/>
  <c r="AL54" i="2"/>
  <c r="V54" i="2"/>
  <c r="F54" i="2"/>
  <c r="BA54" i="2"/>
  <c r="AK54" i="2"/>
  <c r="U54" i="2"/>
  <c r="E54" i="2"/>
  <c r="AZ54" i="2"/>
  <c r="AJ54" i="2"/>
  <c r="T54" i="2"/>
  <c r="D54" i="2"/>
  <c r="AX54" i="2"/>
  <c r="AH54" i="2"/>
  <c r="R54" i="2"/>
  <c r="AW54" i="2"/>
  <c r="AG54" i="2"/>
  <c r="Q54" i="2"/>
  <c r="AU54" i="2"/>
  <c r="P54" i="2"/>
  <c r="BJ54" i="2"/>
  <c r="O54" i="2"/>
  <c r="BI54" i="2"/>
  <c r="N54" i="2"/>
  <c r="BH54" i="2"/>
  <c r="M54" i="2"/>
  <c r="AY54" i="2"/>
  <c r="L54" i="2"/>
  <c r="AV54" i="2"/>
  <c r="C54" i="2"/>
  <c r="AT54" i="2"/>
  <c r="AS54" i="2"/>
  <c r="AR54" i="2"/>
  <c r="AI54" i="2"/>
  <c r="AF54" i="2"/>
  <c r="AE54" i="2"/>
  <c r="AD54" i="2"/>
  <c r="AB54" i="2"/>
  <c r="S54" i="2"/>
  <c r="AC54" i="2"/>
  <c r="AY72" i="1"/>
  <c r="AZ46" i="2"/>
  <c r="AJ46" i="2"/>
  <c r="T46" i="2"/>
  <c r="D46" i="2"/>
  <c r="AY46" i="2"/>
  <c r="AI46" i="2"/>
  <c r="S46" i="2"/>
  <c r="C46" i="2"/>
  <c r="AX46" i="2"/>
  <c r="AH46" i="2"/>
  <c r="R46" i="2"/>
  <c r="AW46" i="2"/>
  <c r="AG46" i="2"/>
  <c r="Q46" i="2"/>
  <c r="AV46" i="2"/>
  <c r="AF46" i="2"/>
  <c r="P46" i="2"/>
  <c r="AU46" i="2"/>
  <c r="AE46" i="2"/>
  <c r="O46" i="2"/>
  <c r="BJ46" i="2"/>
  <c r="AT46" i="2"/>
  <c r="AD46" i="2"/>
  <c r="N46" i="2"/>
  <c r="BI46" i="2"/>
  <c r="AS46" i="2"/>
  <c r="AC46" i="2"/>
  <c r="M46" i="2"/>
  <c r="BH46" i="2"/>
  <c r="AR46" i="2"/>
  <c r="AB46" i="2"/>
  <c r="L46" i="2"/>
  <c r="BG46" i="2"/>
  <c r="AQ46" i="2"/>
  <c r="AA46" i="2"/>
  <c r="K46" i="2"/>
  <c r="BF46" i="2"/>
  <c r="AP46" i="2"/>
  <c r="Z46" i="2"/>
  <c r="J46" i="2"/>
  <c r="BE46" i="2"/>
  <c r="AO46" i="2"/>
  <c r="Y46" i="2"/>
  <c r="I46" i="2"/>
  <c r="BD46" i="2"/>
  <c r="AN46" i="2"/>
  <c r="X46" i="2"/>
  <c r="H46" i="2"/>
  <c r="BC46" i="2"/>
  <c r="BB46" i="2"/>
  <c r="BA46" i="2"/>
  <c r="AM46" i="2"/>
  <c r="AL46" i="2"/>
  <c r="AK46" i="2"/>
  <c r="W46" i="2"/>
  <c r="V46" i="2"/>
  <c r="U46" i="2"/>
  <c r="G46" i="2"/>
  <c r="F46" i="2"/>
  <c r="E46" i="2"/>
  <c r="AU159" i="1"/>
  <c r="AY104" i="1"/>
  <c r="AY103" i="1" s="1"/>
  <c r="I103" i="1"/>
  <c r="BC52" i="2"/>
  <c r="AM52" i="2"/>
  <c r="W52" i="2"/>
  <c r="G52" i="2"/>
  <c r="BB52" i="2"/>
  <c r="AL52" i="2"/>
  <c r="V52" i="2"/>
  <c r="F52" i="2"/>
  <c r="BA52" i="2"/>
  <c r="AK52" i="2"/>
  <c r="U52" i="2"/>
  <c r="E52" i="2"/>
  <c r="AZ52" i="2"/>
  <c r="AJ52" i="2"/>
  <c r="T52" i="2"/>
  <c r="D52" i="2"/>
  <c r="BI52" i="2"/>
  <c r="AS52" i="2"/>
  <c r="AC52" i="2"/>
  <c r="M52" i="2"/>
  <c r="BJ52" i="2"/>
  <c r="AN52" i="2"/>
  <c r="O52" i="2"/>
  <c r="BH52" i="2"/>
  <c r="AI52" i="2"/>
  <c r="N52" i="2"/>
  <c r="BG52" i="2"/>
  <c r="AH52" i="2"/>
  <c r="L52" i="2"/>
  <c r="BF52" i="2"/>
  <c r="AG52" i="2"/>
  <c r="K52" i="2"/>
  <c r="BE52" i="2"/>
  <c r="AF52" i="2"/>
  <c r="J52" i="2"/>
  <c r="BD52" i="2"/>
  <c r="AE52" i="2"/>
  <c r="I52" i="2"/>
  <c r="AY52" i="2"/>
  <c r="AD52" i="2"/>
  <c r="H52" i="2"/>
  <c r="AX52" i="2"/>
  <c r="AB52" i="2"/>
  <c r="C52" i="2"/>
  <c r="AW52" i="2"/>
  <c r="AA52" i="2"/>
  <c r="AV52" i="2"/>
  <c r="Z52" i="2"/>
  <c r="AU52" i="2"/>
  <c r="Y52" i="2"/>
  <c r="AT52" i="2"/>
  <c r="X52" i="2"/>
  <c r="AR52" i="2"/>
  <c r="S52" i="2"/>
  <c r="AQ52" i="2"/>
  <c r="P52" i="2"/>
  <c r="AP52" i="2"/>
  <c r="AO52" i="2"/>
  <c r="R52" i="2"/>
  <c r="Q52" i="2"/>
  <c r="K109" i="1"/>
  <c r="BC60" i="2"/>
  <c r="AM60" i="2"/>
  <c r="W60" i="2"/>
  <c r="G60" i="2"/>
  <c r="BB60" i="2"/>
  <c r="AL60" i="2"/>
  <c r="V60" i="2"/>
  <c r="F60" i="2"/>
  <c r="BA60" i="2"/>
  <c r="AK60" i="2"/>
  <c r="U60" i="2"/>
  <c r="E60" i="2"/>
  <c r="AZ60" i="2"/>
  <c r="AJ60" i="2"/>
  <c r="T60" i="2"/>
  <c r="D60" i="2"/>
  <c r="AY60" i="2"/>
  <c r="AI60" i="2"/>
  <c r="S60" i="2"/>
  <c r="C60" i="2"/>
  <c r="AX60" i="2"/>
  <c r="AH60" i="2"/>
  <c r="R60" i="2"/>
  <c r="AW60" i="2"/>
  <c r="AG60" i="2"/>
  <c r="Q60" i="2"/>
  <c r="AV60" i="2"/>
  <c r="AF60" i="2"/>
  <c r="P60" i="2"/>
  <c r="BJ60" i="2"/>
  <c r="AT60" i="2"/>
  <c r="AD60" i="2"/>
  <c r="N60" i="2"/>
  <c r="BI60" i="2"/>
  <c r="AS60" i="2"/>
  <c r="AC60" i="2"/>
  <c r="M60" i="2"/>
  <c r="BG60" i="2"/>
  <c r="AQ60" i="2"/>
  <c r="AA60" i="2"/>
  <c r="K60" i="2"/>
  <c r="BD60" i="2"/>
  <c r="AU60" i="2"/>
  <c r="AR60" i="2"/>
  <c r="AP60" i="2"/>
  <c r="AO60" i="2"/>
  <c r="AN60" i="2"/>
  <c r="AE60" i="2"/>
  <c r="AB60" i="2"/>
  <c r="Z60" i="2"/>
  <c r="Y60" i="2"/>
  <c r="X60" i="2"/>
  <c r="O60" i="2"/>
  <c r="L60" i="2"/>
  <c r="BH60" i="2"/>
  <c r="BF60" i="2"/>
  <c r="BE60" i="2"/>
  <c r="J60" i="2"/>
  <c r="I60" i="2"/>
  <c r="H60" i="2"/>
  <c r="AY114" i="1"/>
  <c r="Y109" i="1"/>
  <c r="AX45" i="2"/>
  <c r="AH45" i="2"/>
  <c r="R45" i="2"/>
  <c r="AW45" i="2"/>
  <c r="AG45" i="2"/>
  <c r="Q45" i="2"/>
  <c r="AV45" i="2"/>
  <c r="AF45" i="2"/>
  <c r="P45" i="2"/>
  <c r="AU45" i="2"/>
  <c r="AE45" i="2"/>
  <c r="O45" i="2"/>
  <c r="BJ45" i="2"/>
  <c r="AT45" i="2"/>
  <c r="AD45" i="2"/>
  <c r="N45" i="2"/>
  <c r="BI45" i="2"/>
  <c r="AS45" i="2"/>
  <c r="AC45" i="2"/>
  <c r="M45" i="2"/>
  <c r="BH45" i="2"/>
  <c r="AR45" i="2"/>
  <c r="AB45" i="2"/>
  <c r="L45" i="2"/>
  <c r="BG45" i="2"/>
  <c r="AQ45" i="2"/>
  <c r="AA45" i="2"/>
  <c r="K45" i="2"/>
  <c r="BF45" i="2"/>
  <c r="AP45" i="2"/>
  <c r="Z45" i="2"/>
  <c r="J45" i="2"/>
  <c r="BE45" i="2"/>
  <c r="AO45" i="2"/>
  <c r="Y45" i="2"/>
  <c r="I45" i="2"/>
  <c r="BD45" i="2"/>
  <c r="AN45" i="2"/>
  <c r="X45" i="2"/>
  <c r="H45" i="2"/>
  <c r="BC45" i="2"/>
  <c r="AM45" i="2"/>
  <c r="W45" i="2"/>
  <c r="G45" i="2"/>
  <c r="BB45" i="2"/>
  <c r="AL45" i="2"/>
  <c r="V45" i="2"/>
  <c r="F45" i="2"/>
  <c r="AK45" i="2"/>
  <c r="AJ45" i="2"/>
  <c r="AI45" i="2"/>
  <c r="U45" i="2"/>
  <c r="T45" i="2"/>
  <c r="AY45" i="2"/>
  <c r="S45" i="2"/>
  <c r="E45" i="2"/>
  <c r="D45" i="2"/>
  <c r="C45" i="2"/>
  <c r="AZ45" i="2"/>
  <c r="BA45" i="2"/>
  <c r="Q97" i="1"/>
  <c r="AI109" i="1"/>
  <c r="AG33" i="1"/>
  <c r="BI55" i="2"/>
  <c r="AS55" i="2"/>
  <c r="AC55" i="2"/>
  <c r="M55" i="2"/>
  <c r="BH55" i="2"/>
  <c r="AR55" i="2"/>
  <c r="AB55" i="2"/>
  <c r="L55" i="2"/>
  <c r="BG55" i="2"/>
  <c r="AQ55" i="2"/>
  <c r="AA55" i="2"/>
  <c r="K55" i="2"/>
  <c r="BF55" i="2"/>
  <c r="AP55" i="2"/>
  <c r="Z55" i="2"/>
  <c r="J55" i="2"/>
  <c r="BE55" i="2"/>
  <c r="AO55" i="2"/>
  <c r="Y55" i="2"/>
  <c r="I55" i="2"/>
  <c r="BD55" i="2"/>
  <c r="AN55" i="2"/>
  <c r="X55" i="2"/>
  <c r="H55" i="2"/>
  <c r="BC55" i="2"/>
  <c r="AM55" i="2"/>
  <c r="W55" i="2"/>
  <c r="G55" i="2"/>
  <c r="BB55" i="2"/>
  <c r="AL55" i="2"/>
  <c r="V55" i="2"/>
  <c r="F55" i="2"/>
  <c r="AZ55" i="2"/>
  <c r="AJ55" i="2"/>
  <c r="T55" i="2"/>
  <c r="D55" i="2"/>
  <c r="AY55" i="2"/>
  <c r="AI55" i="2"/>
  <c r="S55" i="2"/>
  <c r="C55" i="2"/>
  <c r="AW55" i="2"/>
  <c r="AG55" i="2"/>
  <c r="Q55" i="2"/>
  <c r="BA55" i="2"/>
  <c r="AX55" i="2"/>
  <c r="AV55" i="2"/>
  <c r="AU55" i="2"/>
  <c r="AT55" i="2"/>
  <c r="AK55" i="2"/>
  <c r="AH55" i="2"/>
  <c r="AF55" i="2"/>
  <c r="AE55" i="2"/>
  <c r="AD55" i="2"/>
  <c r="U55" i="2"/>
  <c r="R55" i="2"/>
  <c r="P55" i="2"/>
  <c r="N55" i="2"/>
  <c r="E55" i="2"/>
  <c r="BJ55" i="2"/>
  <c r="O55" i="2"/>
  <c r="BE53" i="2"/>
  <c r="AO53" i="2"/>
  <c r="Y53" i="2"/>
  <c r="I53" i="2"/>
  <c r="BD53" i="2"/>
  <c r="AN53" i="2"/>
  <c r="X53" i="2"/>
  <c r="H53" i="2"/>
  <c r="BC53" i="2"/>
  <c r="AM53" i="2"/>
  <c r="W53" i="2"/>
  <c r="G53" i="2"/>
  <c r="BB53" i="2"/>
  <c r="AL53" i="2"/>
  <c r="V53" i="2"/>
  <c r="F53" i="2"/>
  <c r="BA53" i="2"/>
  <c r="AK53" i="2"/>
  <c r="U53" i="2"/>
  <c r="E53" i="2"/>
  <c r="AZ53" i="2"/>
  <c r="AJ53" i="2"/>
  <c r="T53" i="2"/>
  <c r="D53" i="2"/>
  <c r="AY53" i="2"/>
  <c r="AI53" i="2"/>
  <c r="S53" i="2"/>
  <c r="C53" i="2"/>
  <c r="AX53" i="2"/>
  <c r="AH53" i="2"/>
  <c r="R53" i="2"/>
  <c r="AV53" i="2"/>
  <c r="AU53" i="2"/>
  <c r="AE53" i="2"/>
  <c r="O53" i="2"/>
  <c r="AP53" i="2"/>
  <c r="AG53" i="2"/>
  <c r="AF53" i="2"/>
  <c r="AD53" i="2"/>
  <c r="AC53" i="2"/>
  <c r="AB53" i="2"/>
  <c r="BJ53" i="2"/>
  <c r="AA53" i="2"/>
  <c r="BI53" i="2"/>
  <c r="Z53" i="2"/>
  <c r="BH53" i="2"/>
  <c r="Q53" i="2"/>
  <c r="BG53" i="2"/>
  <c r="P53" i="2"/>
  <c r="BF53" i="2"/>
  <c r="N53" i="2"/>
  <c r="AW53" i="2"/>
  <c r="M53" i="2"/>
  <c r="AT53" i="2"/>
  <c r="L53" i="2"/>
  <c r="AS53" i="2"/>
  <c r="AR53" i="2"/>
  <c r="AQ53" i="2"/>
  <c r="K53" i="2"/>
  <c r="J53" i="2"/>
  <c r="BA51" i="2"/>
  <c r="AK51" i="2"/>
  <c r="U51" i="2"/>
  <c r="E51" i="2"/>
  <c r="AZ51" i="2"/>
  <c r="AJ51" i="2"/>
  <c r="T51" i="2"/>
  <c r="D51" i="2"/>
  <c r="AY51" i="2"/>
  <c r="AI51" i="2"/>
  <c r="S51" i="2"/>
  <c r="C51" i="2"/>
  <c r="AX51" i="2"/>
  <c r="AH51" i="2"/>
  <c r="R51" i="2"/>
  <c r="BG51" i="2"/>
  <c r="AQ51" i="2"/>
  <c r="AA51" i="2"/>
  <c r="K51" i="2"/>
  <c r="BC51" i="2"/>
  <c r="AD51" i="2"/>
  <c r="H51" i="2"/>
  <c r="BB51" i="2"/>
  <c r="AC51" i="2"/>
  <c r="G51" i="2"/>
  <c r="AW51" i="2"/>
  <c r="AB51" i="2"/>
  <c r="F51" i="2"/>
  <c r="AV51" i="2"/>
  <c r="Z51" i="2"/>
  <c r="AU51" i="2"/>
  <c r="Y51" i="2"/>
  <c r="AT51" i="2"/>
  <c r="X51" i="2"/>
  <c r="AS51" i="2"/>
  <c r="W51" i="2"/>
  <c r="AR51" i="2"/>
  <c r="V51" i="2"/>
  <c r="AP51" i="2"/>
  <c r="Q51" i="2"/>
  <c r="AO51" i="2"/>
  <c r="P51" i="2"/>
  <c r="BJ51" i="2"/>
  <c r="AN51" i="2"/>
  <c r="O51" i="2"/>
  <c r="BI51" i="2"/>
  <c r="AM51" i="2"/>
  <c r="N51" i="2"/>
  <c r="BH51" i="2"/>
  <c r="AL51" i="2"/>
  <c r="M51" i="2"/>
  <c r="BD51" i="2"/>
  <c r="AG51" i="2"/>
  <c r="AF51" i="2"/>
  <c r="BE51" i="2"/>
  <c r="AE51" i="2"/>
  <c r="L51" i="2"/>
  <c r="J51" i="2"/>
  <c r="I51" i="2"/>
  <c r="BF51" i="2"/>
  <c r="AO109" i="1"/>
  <c r="AK159" i="1"/>
  <c r="AM83" i="1"/>
  <c r="AM97" i="1" s="1"/>
  <c r="Q41" i="1"/>
  <c r="Q157" i="1"/>
  <c r="Q110" i="1"/>
  <c r="B48" i="2"/>
  <c r="Q156" i="1"/>
  <c r="Q155" i="1"/>
  <c r="Q112" i="1"/>
  <c r="Q154" i="1"/>
  <c r="Q33" i="1"/>
  <c r="Q111" i="1"/>
  <c r="AW159" i="1"/>
  <c r="AO159" i="1"/>
  <c r="AY61" i="1"/>
  <c r="BE61" i="2"/>
  <c r="AO61" i="2"/>
  <c r="Y61" i="2"/>
  <c r="I61" i="2"/>
  <c r="BD61" i="2"/>
  <c r="AN61" i="2"/>
  <c r="X61" i="2"/>
  <c r="H61" i="2"/>
  <c r="BC61" i="2"/>
  <c r="AM61" i="2"/>
  <c r="W61" i="2"/>
  <c r="G61" i="2"/>
  <c r="BB61" i="2"/>
  <c r="AL61" i="2"/>
  <c r="V61" i="2"/>
  <c r="F61" i="2"/>
  <c r="BA61" i="2"/>
  <c r="AK61" i="2"/>
  <c r="U61" i="2"/>
  <c r="E61" i="2"/>
  <c r="AZ61" i="2"/>
  <c r="AJ61" i="2"/>
  <c r="T61" i="2"/>
  <c r="D61" i="2"/>
  <c r="AY61" i="2"/>
  <c r="AI61" i="2"/>
  <c r="S61" i="2"/>
  <c r="C61" i="2"/>
  <c r="AX61" i="2"/>
  <c r="AH61" i="2"/>
  <c r="R61" i="2"/>
  <c r="AV61" i="2"/>
  <c r="AF61" i="2"/>
  <c r="P61" i="2"/>
  <c r="AU61" i="2"/>
  <c r="AE61" i="2"/>
  <c r="O61" i="2"/>
  <c r="BJ61" i="2"/>
  <c r="AT61" i="2"/>
  <c r="BI61" i="2"/>
  <c r="AS61" i="2"/>
  <c r="AC61" i="2"/>
  <c r="M61" i="2"/>
  <c r="AQ61" i="2"/>
  <c r="AP61" i="2"/>
  <c r="AG61" i="2"/>
  <c r="AD61" i="2"/>
  <c r="AB61" i="2"/>
  <c r="AA61" i="2"/>
  <c r="Z61" i="2"/>
  <c r="Q61" i="2"/>
  <c r="N61" i="2"/>
  <c r="L61" i="2"/>
  <c r="K61" i="2"/>
  <c r="BH61" i="2"/>
  <c r="J61" i="2"/>
  <c r="BG61" i="2"/>
  <c r="BF61" i="2"/>
  <c r="AW61" i="2"/>
  <c r="AR61" i="2"/>
  <c r="AK33" i="1"/>
  <c r="AS109" i="1"/>
  <c r="Y39" i="1"/>
  <c r="Y38" i="1" s="1"/>
  <c r="W17" i="1"/>
  <c r="W85" i="1"/>
  <c r="W97" i="1" s="1"/>
  <c r="O99" i="1"/>
  <c r="O98" i="1"/>
  <c r="I111" i="1"/>
  <c r="I41" i="1"/>
  <c r="I110" i="1"/>
  <c r="B44" i="2"/>
  <c r="I112" i="1"/>
  <c r="M109" i="1"/>
  <c r="AY58" i="2"/>
  <c r="AI58" i="2"/>
  <c r="S58" i="2"/>
  <c r="C58" i="2"/>
  <c r="AX58" i="2"/>
  <c r="AH58" i="2"/>
  <c r="R58" i="2"/>
  <c r="AW58" i="2"/>
  <c r="AG58" i="2"/>
  <c r="Q58" i="2"/>
  <c r="AV58" i="2"/>
  <c r="AF58" i="2"/>
  <c r="P58" i="2"/>
  <c r="AU58" i="2"/>
  <c r="AE58" i="2"/>
  <c r="O58" i="2"/>
  <c r="BJ58" i="2"/>
  <c r="AT58" i="2"/>
  <c r="AD58" i="2"/>
  <c r="N58" i="2"/>
  <c r="BI58" i="2"/>
  <c r="AS58" i="2"/>
  <c r="AC58" i="2"/>
  <c r="M58" i="2"/>
  <c r="BH58" i="2"/>
  <c r="AR58" i="2"/>
  <c r="AB58" i="2"/>
  <c r="L58" i="2"/>
  <c r="BF58" i="2"/>
  <c r="AP58" i="2"/>
  <c r="Z58" i="2"/>
  <c r="J58" i="2"/>
  <c r="BE58" i="2"/>
  <c r="AO58" i="2"/>
  <c r="Y58" i="2"/>
  <c r="I58" i="2"/>
  <c r="BC58" i="2"/>
  <c r="AM58" i="2"/>
  <c r="W58" i="2"/>
  <c r="G58" i="2"/>
  <c r="V58" i="2"/>
  <c r="U58" i="2"/>
  <c r="T58" i="2"/>
  <c r="K58" i="2"/>
  <c r="BG58" i="2"/>
  <c r="H58" i="2"/>
  <c r="BD58" i="2"/>
  <c r="F58" i="2"/>
  <c r="BB58" i="2"/>
  <c r="E58" i="2"/>
  <c r="BA58" i="2"/>
  <c r="D58" i="2"/>
  <c r="AZ58" i="2"/>
  <c r="AQ58" i="2"/>
  <c r="AN58" i="2"/>
  <c r="AL58" i="2"/>
  <c r="AK58" i="2"/>
  <c r="AJ58" i="2"/>
  <c r="AA58" i="2"/>
  <c r="X58" i="2"/>
  <c r="AW57" i="2"/>
  <c r="AG57" i="2"/>
  <c r="Q57" i="2"/>
  <c r="AV57" i="2"/>
  <c r="AF57" i="2"/>
  <c r="P57" i="2"/>
  <c r="AU57" i="2"/>
  <c r="AE57" i="2"/>
  <c r="O57" i="2"/>
  <c r="BJ57" i="2"/>
  <c r="AT57" i="2"/>
  <c r="AD57" i="2"/>
  <c r="N57" i="2"/>
  <c r="BI57" i="2"/>
  <c r="AS57" i="2"/>
  <c r="AC57" i="2"/>
  <c r="M57" i="2"/>
  <c r="BH57" i="2"/>
  <c r="AR57" i="2"/>
  <c r="AB57" i="2"/>
  <c r="L57" i="2"/>
  <c r="BG57" i="2"/>
  <c r="AQ57" i="2"/>
  <c r="AA57" i="2"/>
  <c r="K57" i="2"/>
  <c r="BF57" i="2"/>
  <c r="AP57" i="2"/>
  <c r="Z57" i="2"/>
  <c r="J57" i="2"/>
  <c r="BD57" i="2"/>
  <c r="AN57" i="2"/>
  <c r="X57" i="2"/>
  <c r="H57" i="2"/>
  <c r="BC57" i="2"/>
  <c r="AM57" i="2"/>
  <c r="W57" i="2"/>
  <c r="G57" i="2"/>
  <c r="BA57" i="2"/>
  <c r="AK57" i="2"/>
  <c r="U57" i="2"/>
  <c r="E57" i="2"/>
  <c r="AI57" i="2"/>
  <c r="AH57" i="2"/>
  <c r="Y57" i="2"/>
  <c r="V57" i="2"/>
  <c r="T57" i="2"/>
  <c r="S57" i="2"/>
  <c r="R57" i="2"/>
  <c r="I57" i="2"/>
  <c r="BE57" i="2"/>
  <c r="F57" i="2"/>
  <c r="BB57" i="2"/>
  <c r="D57" i="2"/>
  <c r="AZ57" i="2"/>
  <c r="C57" i="2"/>
  <c r="AY57" i="2"/>
  <c r="AX57" i="2"/>
  <c r="AO57" i="2"/>
  <c r="AL57" i="2"/>
  <c r="AJ57" i="2"/>
  <c r="S41" i="1"/>
  <c r="S157" i="1"/>
  <c r="S110" i="1"/>
  <c r="S156" i="1"/>
  <c r="B49" i="2"/>
  <c r="S112" i="1"/>
  <c r="S155" i="1"/>
  <c r="S33" i="1"/>
  <c r="S111" i="1"/>
  <c r="S154" i="1"/>
  <c r="H21" i="1" l="1"/>
  <c r="I50" i="1"/>
  <c r="I71" i="1"/>
  <c r="I70" i="1"/>
  <c r="BK56" i="2"/>
  <c r="AY65" i="1"/>
  <c r="M47" i="2"/>
  <c r="AQ99" i="1"/>
  <c r="Q39" i="1"/>
  <c r="Q38" i="1" s="1"/>
  <c r="AP47" i="2"/>
  <c r="BH47" i="2"/>
  <c r="AY84" i="1"/>
  <c r="BB47" i="2"/>
  <c r="AK47" i="2"/>
  <c r="V47" i="2"/>
  <c r="O159" i="1"/>
  <c r="O109" i="1"/>
  <c r="S39" i="1"/>
  <c r="S38" i="1" s="1"/>
  <c r="O39" i="1"/>
  <c r="O38" i="1" s="1"/>
  <c r="BD47" i="2"/>
  <c r="Z47" i="2"/>
  <c r="G47" i="2"/>
  <c r="BA47" i="2"/>
  <c r="J47" i="2"/>
  <c r="F47" i="2"/>
  <c r="AS47" i="2"/>
  <c r="BI47" i="2"/>
  <c r="AT47" i="2"/>
  <c r="BJ47" i="2"/>
  <c r="O47" i="2"/>
  <c r="W47" i="2"/>
  <c r="AF47" i="2"/>
  <c r="AN47" i="2"/>
  <c r="AV47" i="2"/>
  <c r="AO47" i="2"/>
  <c r="Q47" i="2"/>
  <c r="BC47" i="2"/>
  <c r="AG47" i="2"/>
  <c r="BF47" i="2"/>
  <c r="AW47" i="2"/>
  <c r="K47" i="2"/>
  <c r="R47" i="2"/>
  <c r="L47" i="2"/>
  <c r="AH47" i="2"/>
  <c r="AB47" i="2"/>
  <c r="AY47" i="2"/>
  <c r="AR47" i="2"/>
  <c r="U47" i="2"/>
  <c r="AX47" i="2"/>
  <c r="AY73" i="1"/>
  <c r="AY69" i="1" s="1"/>
  <c r="H47" i="2"/>
  <c r="AC47" i="2"/>
  <c r="C47" i="2"/>
  <c r="AI47" i="2"/>
  <c r="I47" i="2"/>
  <c r="N47" i="2"/>
  <c r="D47" i="2"/>
  <c r="BE47" i="2"/>
  <c r="AD47" i="2"/>
  <c r="E47" i="2"/>
  <c r="AL47" i="2"/>
  <c r="S47" i="2"/>
  <c r="X47" i="2"/>
  <c r="AA47" i="2"/>
  <c r="AE47" i="2"/>
  <c r="T47" i="2"/>
  <c r="Y47" i="2"/>
  <c r="AQ47" i="2"/>
  <c r="AU47" i="2"/>
  <c r="AJ47" i="2"/>
  <c r="AM47" i="2"/>
  <c r="BG47" i="2"/>
  <c r="P47" i="2"/>
  <c r="AW99" i="1"/>
  <c r="AQ79" i="1"/>
  <c r="AQ130" i="1" s="1"/>
  <c r="AQ129" i="1" s="1"/>
  <c r="AC79" i="1"/>
  <c r="AC81" i="1" s="1"/>
  <c r="S79" i="1"/>
  <c r="S123" i="1" s="1"/>
  <c r="S122" i="1" s="1"/>
  <c r="AK99" i="1"/>
  <c r="O79" i="1"/>
  <c r="O146" i="1" s="1"/>
  <c r="O144" i="1" s="1"/>
  <c r="AS79" i="1"/>
  <c r="AS146" i="1" s="1"/>
  <c r="AS144" i="1" s="1"/>
  <c r="AW98" i="1"/>
  <c r="AW79" i="1" s="1"/>
  <c r="AK79" i="1"/>
  <c r="AK80" i="1" s="1"/>
  <c r="AG99" i="1"/>
  <c r="AG79" i="1"/>
  <c r="AG123" i="1" s="1"/>
  <c r="AG122" i="1" s="1"/>
  <c r="AU98" i="1"/>
  <c r="AU79" i="1" s="1"/>
  <c r="Q109" i="1"/>
  <c r="S69" i="1"/>
  <c r="AY156" i="1"/>
  <c r="K98" i="1"/>
  <c r="K79" i="1" s="1"/>
  <c r="K130" i="1" s="1"/>
  <c r="K129" i="1" s="1"/>
  <c r="S159" i="1"/>
  <c r="BK61" i="2"/>
  <c r="BD48" i="2"/>
  <c r="AN48" i="2"/>
  <c r="X48" i="2"/>
  <c r="H48" i="2"/>
  <c r="BC48" i="2"/>
  <c r="AM48" i="2"/>
  <c r="W48" i="2"/>
  <c r="G48" i="2"/>
  <c r="BB48" i="2"/>
  <c r="AL48" i="2"/>
  <c r="V48" i="2"/>
  <c r="F48" i="2"/>
  <c r="BA48" i="2"/>
  <c r="AK48" i="2"/>
  <c r="U48" i="2"/>
  <c r="E48" i="2"/>
  <c r="AZ48" i="2"/>
  <c r="AJ48" i="2"/>
  <c r="T48" i="2"/>
  <c r="D48" i="2"/>
  <c r="AY48" i="2"/>
  <c r="AI48" i="2"/>
  <c r="S48" i="2"/>
  <c r="C48" i="2"/>
  <c r="AX48" i="2"/>
  <c r="AH48" i="2"/>
  <c r="R48" i="2"/>
  <c r="AW48" i="2"/>
  <c r="AG48" i="2"/>
  <c r="Q48" i="2"/>
  <c r="AV48" i="2"/>
  <c r="AF48" i="2"/>
  <c r="P48" i="2"/>
  <c r="AU48" i="2"/>
  <c r="AE48" i="2"/>
  <c r="O48" i="2"/>
  <c r="BJ48" i="2"/>
  <c r="AT48" i="2"/>
  <c r="AD48" i="2"/>
  <c r="N48" i="2"/>
  <c r="BI48" i="2"/>
  <c r="AS48" i="2"/>
  <c r="AC48" i="2"/>
  <c r="M48" i="2"/>
  <c r="BH48" i="2"/>
  <c r="AR48" i="2"/>
  <c r="AB48" i="2"/>
  <c r="L48" i="2"/>
  <c r="Z48" i="2"/>
  <c r="Y48" i="2"/>
  <c r="K48" i="2"/>
  <c r="J48" i="2"/>
  <c r="I48" i="2"/>
  <c r="AO48" i="2"/>
  <c r="BG48" i="2"/>
  <c r="AA48" i="2"/>
  <c r="BF48" i="2"/>
  <c r="AP48" i="2"/>
  <c r="BE48" i="2"/>
  <c r="AQ48" i="2"/>
  <c r="BK53" i="2"/>
  <c r="BK55" i="2"/>
  <c r="BK50" i="2"/>
  <c r="AY83" i="1"/>
  <c r="I97" i="1"/>
  <c r="BK51" i="2"/>
  <c r="AY111" i="1"/>
  <c r="AM98" i="1"/>
  <c r="AM99" i="1"/>
  <c r="AY41" i="1"/>
  <c r="I159" i="1"/>
  <c r="AY154" i="1"/>
  <c r="BK46" i="2"/>
  <c r="AI98" i="1"/>
  <c r="AI99" i="1"/>
  <c r="AW49" i="2"/>
  <c r="AG49" i="2"/>
  <c r="AU49" i="2"/>
  <c r="BJ49" i="2"/>
  <c r="AT49" i="2"/>
  <c r="AD49" i="2"/>
  <c r="AR49" i="2"/>
  <c r="Z49" i="2"/>
  <c r="J49" i="2"/>
  <c r="AQ49" i="2"/>
  <c r="Y49" i="2"/>
  <c r="I49" i="2"/>
  <c r="BI49" i="2"/>
  <c r="AP49" i="2"/>
  <c r="X49" i="2"/>
  <c r="H49" i="2"/>
  <c r="BH49" i="2"/>
  <c r="AO49" i="2"/>
  <c r="W49" i="2"/>
  <c r="G49" i="2"/>
  <c r="BG49" i="2"/>
  <c r="AN49" i="2"/>
  <c r="V49" i="2"/>
  <c r="F49" i="2"/>
  <c r="BF49" i="2"/>
  <c r="AM49" i="2"/>
  <c r="U49" i="2"/>
  <c r="E49" i="2"/>
  <c r="BE49" i="2"/>
  <c r="AL49" i="2"/>
  <c r="T49" i="2"/>
  <c r="D49" i="2"/>
  <c r="BD49" i="2"/>
  <c r="AK49" i="2"/>
  <c r="S49" i="2"/>
  <c r="C49" i="2"/>
  <c r="BC49" i="2"/>
  <c r="AJ49" i="2"/>
  <c r="R49" i="2"/>
  <c r="BB49" i="2"/>
  <c r="AI49" i="2"/>
  <c r="Q49" i="2"/>
  <c r="BA49" i="2"/>
  <c r="AH49" i="2"/>
  <c r="P49" i="2"/>
  <c r="AZ49" i="2"/>
  <c r="AF49" i="2"/>
  <c r="O49" i="2"/>
  <c r="AY49" i="2"/>
  <c r="AE49" i="2"/>
  <c r="N49" i="2"/>
  <c r="AX49" i="2"/>
  <c r="AV49" i="2"/>
  <c r="AS49" i="2"/>
  <c r="AC49" i="2"/>
  <c r="AB49" i="2"/>
  <c r="AA49" i="2"/>
  <c r="M49" i="2"/>
  <c r="L49" i="2"/>
  <c r="K49" i="2"/>
  <c r="M99" i="1"/>
  <c r="M98" i="1"/>
  <c r="BK52" i="2"/>
  <c r="Y98" i="1"/>
  <c r="Y100" i="1"/>
  <c r="Y99" i="1"/>
  <c r="BK58" i="2"/>
  <c r="BK57" i="2"/>
  <c r="BK60" i="2"/>
  <c r="AY155" i="1"/>
  <c r="Q159" i="1"/>
  <c r="AE98" i="1"/>
  <c r="AE99" i="1"/>
  <c r="S109" i="1"/>
  <c r="Q100" i="1"/>
  <c r="Q99" i="1"/>
  <c r="Q98" i="1"/>
  <c r="W98" i="1"/>
  <c r="W100" i="1"/>
  <c r="W99" i="1"/>
  <c r="W79" i="1" s="1"/>
  <c r="AY85" i="1"/>
  <c r="AY157" i="1"/>
  <c r="B10" i="3"/>
  <c r="B68" i="2"/>
  <c r="B67" i="2"/>
  <c r="B69" i="2"/>
  <c r="N69" i="2" s="1"/>
  <c r="BK69" i="2" s="1"/>
  <c r="B66" i="2"/>
  <c r="C66" i="2" s="1"/>
  <c r="B15" i="2"/>
  <c r="B15" i="4" s="1"/>
  <c r="AY68" i="1"/>
  <c r="K38" i="1"/>
  <c r="BK54" i="2"/>
  <c r="B86" i="2"/>
  <c r="B88" i="2"/>
  <c r="B6" i="3"/>
  <c r="B83" i="2"/>
  <c r="B84" i="2"/>
  <c r="B85" i="2"/>
  <c r="B12" i="2"/>
  <c r="AY110" i="1"/>
  <c r="I109" i="1"/>
  <c r="BK59" i="2"/>
  <c r="AY112" i="1"/>
  <c r="BK45" i="2"/>
  <c r="AO98" i="1"/>
  <c r="AO99" i="1"/>
  <c r="AV44" i="2"/>
  <c r="AF44" i="2"/>
  <c r="P44" i="2"/>
  <c r="AU44" i="2"/>
  <c r="AE44" i="2"/>
  <c r="O44" i="2"/>
  <c r="BJ44" i="2"/>
  <c r="AT44" i="2"/>
  <c r="AD44" i="2"/>
  <c r="N44" i="2"/>
  <c r="BI44" i="2"/>
  <c r="AS44" i="2"/>
  <c r="AC44" i="2"/>
  <c r="M44" i="2"/>
  <c r="BH44" i="2"/>
  <c r="AR44" i="2"/>
  <c r="AB44" i="2"/>
  <c r="L44" i="2"/>
  <c r="BG44" i="2"/>
  <c r="AQ44" i="2"/>
  <c r="AA44" i="2"/>
  <c r="K44" i="2"/>
  <c r="BF44" i="2"/>
  <c r="AP44" i="2"/>
  <c r="Z44" i="2"/>
  <c r="J44" i="2"/>
  <c r="BE44" i="2"/>
  <c r="AO44" i="2"/>
  <c r="Y44" i="2"/>
  <c r="I44" i="2"/>
  <c r="BD44" i="2"/>
  <c r="AN44" i="2"/>
  <c r="X44" i="2"/>
  <c r="H44" i="2"/>
  <c r="BC44" i="2"/>
  <c r="AM44" i="2"/>
  <c r="W44" i="2"/>
  <c r="G44" i="2"/>
  <c r="BB44" i="2"/>
  <c r="AL44" i="2"/>
  <c r="V44" i="2"/>
  <c r="F44" i="2"/>
  <c r="BA44" i="2"/>
  <c r="AK44" i="2"/>
  <c r="U44" i="2"/>
  <c r="E44" i="2"/>
  <c r="AZ44" i="2"/>
  <c r="AJ44" i="2"/>
  <c r="T44" i="2"/>
  <c r="D44" i="2"/>
  <c r="R44" i="2"/>
  <c r="AG44" i="2"/>
  <c r="Q44" i="2"/>
  <c r="AH44" i="2"/>
  <c r="C44" i="2"/>
  <c r="S44" i="2"/>
  <c r="AY44" i="2"/>
  <c r="AX44" i="2"/>
  <c r="AW44" i="2"/>
  <c r="AI44" i="2"/>
  <c r="AS38" i="1"/>
  <c r="AY39" i="1" l="1"/>
  <c r="I101" i="1"/>
  <c r="S146" i="1"/>
  <c r="S144" i="1" s="1"/>
  <c r="AS80" i="1"/>
  <c r="AS130" i="1"/>
  <c r="AS129" i="1" s="1"/>
  <c r="AK130" i="1"/>
  <c r="AK129" i="1" s="1"/>
  <c r="AS123" i="1"/>
  <c r="AS122" i="1" s="1"/>
  <c r="AS81" i="1"/>
  <c r="S130" i="1"/>
  <c r="S129" i="1" s="1"/>
  <c r="S137" i="1" s="1"/>
  <c r="S81" i="1"/>
  <c r="BK47" i="2"/>
  <c r="S80" i="1"/>
  <c r="AQ80" i="1"/>
  <c r="AK123" i="1"/>
  <c r="AK122" i="1" s="1"/>
  <c r="AK137" i="1" s="1"/>
  <c r="AK139" i="1" s="1"/>
  <c r="AK146" i="1"/>
  <c r="AK144" i="1" s="1"/>
  <c r="AQ81" i="1"/>
  <c r="AQ146" i="1"/>
  <c r="AQ144" i="1" s="1"/>
  <c r="AC123" i="1"/>
  <c r="AC122" i="1" s="1"/>
  <c r="AQ123" i="1"/>
  <c r="AQ122" i="1" s="1"/>
  <c r="AQ137" i="1" s="1"/>
  <c r="AC80" i="1"/>
  <c r="AC146" i="1"/>
  <c r="AC144" i="1" s="1"/>
  <c r="AC130" i="1"/>
  <c r="AC129" i="1" s="1"/>
  <c r="AK81" i="1"/>
  <c r="O80" i="1"/>
  <c r="O130" i="1"/>
  <c r="O129" i="1" s="1"/>
  <c r="O123" i="1"/>
  <c r="O122" i="1" s="1"/>
  <c r="O81" i="1"/>
  <c r="AO79" i="1"/>
  <c r="AO146" i="1" s="1"/>
  <c r="AO144" i="1" s="1"/>
  <c r="AG146" i="1"/>
  <c r="AG144" i="1" s="1"/>
  <c r="AG80" i="1"/>
  <c r="AM79" i="1"/>
  <c r="AM146" i="1" s="1"/>
  <c r="AM144" i="1" s="1"/>
  <c r="AG81" i="1"/>
  <c r="AG130" i="1"/>
  <c r="AG129" i="1" s="1"/>
  <c r="AG137" i="1" s="1"/>
  <c r="AG139" i="1" s="1"/>
  <c r="AW146" i="1"/>
  <c r="AW144" i="1" s="1"/>
  <c r="AW81" i="1"/>
  <c r="AW123" i="1"/>
  <c r="AW122" i="1" s="1"/>
  <c r="AW130" i="1"/>
  <c r="AW129" i="1" s="1"/>
  <c r="AW80" i="1"/>
  <c r="AI79" i="1"/>
  <c r="AI146" i="1" s="1"/>
  <c r="AI144" i="1" s="1"/>
  <c r="Y79" i="1"/>
  <c r="Y123" i="1" s="1"/>
  <c r="Y122" i="1" s="1"/>
  <c r="AR62" i="2"/>
  <c r="AR95" i="2" s="1"/>
  <c r="K123" i="1"/>
  <c r="K122" i="1" s="1"/>
  <c r="K137" i="1" s="1"/>
  <c r="K139" i="1" s="1"/>
  <c r="K81" i="1"/>
  <c r="K146" i="1"/>
  <c r="K144" i="1" s="1"/>
  <c r="AG62" i="2"/>
  <c r="AG95" i="2" s="1"/>
  <c r="Q79" i="1"/>
  <c r="Q123" i="1" s="1"/>
  <c r="Q122" i="1" s="1"/>
  <c r="AE62" i="2"/>
  <c r="AE95" i="2" s="1"/>
  <c r="AE79" i="1"/>
  <c r="AE123" i="1" s="1"/>
  <c r="AE122" i="1" s="1"/>
  <c r="M79" i="1"/>
  <c r="M80" i="1" s="1"/>
  <c r="AY100" i="1"/>
  <c r="R62" i="2"/>
  <c r="R95" i="2" s="1"/>
  <c r="AB62" i="2"/>
  <c r="AB95" i="2" s="1"/>
  <c r="AV62" i="2"/>
  <c r="AV95" i="2" s="1"/>
  <c r="AU130" i="1"/>
  <c r="AU129" i="1" s="1"/>
  <c r="AU146" i="1"/>
  <c r="AU144" i="1" s="1"/>
  <c r="AU81" i="1"/>
  <c r="AU123" i="1"/>
  <c r="AU122" i="1" s="1"/>
  <c r="AU80" i="1"/>
  <c r="AJ62" i="2"/>
  <c r="AJ95" i="2" s="1"/>
  <c r="AN62" i="2"/>
  <c r="AN95" i="2" s="1"/>
  <c r="AK62" i="2"/>
  <c r="AK95" i="2" s="1"/>
  <c r="K80" i="1"/>
  <c r="BC62" i="2"/>
  <c r="BC95" i="2" s="1"/>
  <c r="BG62" i="2"/>
  <c r="BG95" i="2" s="1"/>
  <c r="H62" i="2"/>
  <c r="H95" i="2" s="1"/>
  <c r="P62" i="2"/>
  <c r="P95" i="2" s="1"/>
  <c r="D62" i="2"/>
  <c r="D95" i="2" s="1"/>
  <c r="L62" i="2"/>
  <c r="L95" i="2" s="1"/>
  <c r="AY159" i="1"/>
  <c r="AF62" i="2"/>
  <c r="AF95" i="2" s="1"/>
  <c r="X62" i="2"/>
  <c r="X95" i="2" s="1"/>
  <c r="E62" i="2"/>
  <c r="E95" i="2" s="1"/>
  <c r="I62" i="2"/>
  <c r="I95" i="2" s="1"/>
  <c r="U62" i="2"/>
  <c r="U95" i="2" s="1"/>
  <c r="AI62" i="2"/>
  <c r="AI95" i="2" s="1"/>
  <c r="AO62" i="2"/>
  <c r="AO95" i="2" s="1"/>
  <c r="N62" i="2"/>
  <c r="N95" i="2" s="1"/>
  <c r="Y62" i="2"/>
  <c r="Y95" i="2" s="1"/>
  <c r="AD62" i="2"/>
  <c r="AD95" i="2" s="1"/>
  <c r="J62" i="2"/>
  <c r="J95" i="2" s="1"/>
  <c r="Z62" i="2"/>
  <c r="Z95" i="2" s="1"/>
  <c r="BJ62" i="2"/>
  <c r="BJ95" i="2" s="1"/>
  <c r="BD62" i="2"/>
  <c r="BD95" i="2" s="1"/>
  <c r="BK48" i="2"/>
  <c r="BH62" i="2"/>
  <c r="BH95" i="2" s="1"/>
  <c r="AC62" i="2"/>
  <c r="AC95" i="2" s="1"/>
  <c r="T62" i="2"/>
  <c r="T95" i="2" s="1"/>
  <c r="BB88" i="2"/>
  <c r="AL88" i="2"/>
  <c r="V88" i="2"/>
  <c r="F88" i="2"/>
  <c r="BA88" i="2"/>
  <c r="AK88" i="2"/>
  <c r="U88" i="2"/>
  <c r="E88" i="2"/>
  <c r="AZ88" i="2"/>
  <c r="AJ88" i="2"/>
  <c r="T88" i="2"/>
  <c r="D88" i="2"/>
  <c r="AY88" i="2"/>
  <c r="AI88" i="2"/>
  <c r="S88" i="2"/>
  <c r="C88" i="2"/>
  <c r="AX88" i="2"/>
  <c r="AH88" i="2"/>
  <c r="R88" i="2"/>
  <c r="AW88" i="2"/>
  <c r="AG88" i="2"/>
  <c r="Q88" i="2"/>
  <c r="AV88" i="2"/>
  <c r="AF88" i="2"/>
  <c r="P88" i="2"/>
  <c r="AU88" i="2"/>
  <c r="AE88" i="2"/>
  <c r="O88" i="2"/>
  <c r="BJ88" i="2"/>
  <c r="AT88" i="2"/>
  <c r="BH88" i="2"/>
  <c r="AR88" i="2"/>
  <c r="AB88" i="2"/>
  <c r="L88" i="2"/>
  <c r="AP88" i="2"/>
  <c r="H88" i="2"/>
  <c r="AO88" i="2"/>
  <c r="G88" i="2"/>
  <c r="AN88" i="2"/>
  <c r="AM88" i="2"/>
  <c r="AD88" i="2"/>
  <c r="AC88" i="2"/>
  <c r="AA88" i="2"/>
  <c r="Z88" i="2"/>
  <c r="BI88" i="2"/>
  <c r="Y88" i="2"/>
  <c r="BG88" i="2"/>
  <c r="X88" i="2"/>
  <c r="BF88" i="2"/>
  <c r="W88" i="2"/>
  <c r="BE88" i="2"/>
  <c r="N88" i="2"/>
  <c r="BD88" i="2"/>
  <c r="M88" i="2"/>
  <c r="AQ88" i="2"/>
  <c r="I88" i="2"/>
  <c r="BC88" i="2"/>
  <c r="AS88" i="2"/>
  <c r="K88" i="2"/>
  <c r="J88" i="2"/>
  <c r="AS62" i="2"/>
  <c r="AS95" i="2" s="1"/>
  <c r="AW62" i="2"/>
  <c r="AW95" i="2" s="1"/>
  <c r="BA62" i="2"/>
  <c r="BA95" i="2" s="1"/>
  <c r="BE62" i="2"/>
  <c r="BE95" i="2" s="1"/>
  <c r="BI62" i="2"/>
  <c r="BI95" i="2" s="1"/>
  <c r="AZ62" i="2"/>
  <c r="AZ95" i="2" s="1"/>
  <c r="AY109" i="1"/>
  <c r="AX62" i="2"/>
  <c r="AX95" i="2" s="1"/>
  <c r="AY62" i="2"/>
  <c r="AY95" i="2" s="1"/>
  <c r="S62" i="2"/>
  <c r="S95" i="2" s="1"/>
  <c r="AL62" i="2"/>
  <c r="AL95" i="2" s="1"/>
  <c r="AP62" i="2"/>
  <c r="AP95" i="2" s="1"/>
  <c r="AT62" i="2"/>
  <c r="AT95" i="2" s="1"/>
  <c r="C70" i="2"/>
  <c r="BK66" i="2"/>
  <c r="W123" i="1"/>
  <c r="W122" i="1" s="1"/>
  <c r="W80" i="1"/>
  <c r="W130" i="1"/>
  <c r="W129" i="1" s="1"/>
  <c r="W146" i="1"/>
  <c r="W144" i="1" s="1"/>
  <c r="W81" i="1"/>
  <c r="I98" i="1"/>
  <c r="AY98" i="1" s="1"/>
  <c r="I99" i="1"/>
  <c r="AY99" i="1" s="1"/>
  <c r="AY97" i="1"/>
  <c r="BH83" i="2"/>
  <c r="AR83" i="2"/>
  <c r="AB83" i="2"/>
  <c r="L83" i="2"/>
  <c r="BG83" i="2"/>
  <c r="AQ83" i="2"/>
  <c r="AA83" i="2"/>
  <c r="K83" i="2"/>
  <c r="BF83" i="2"/>
  <c r="AP83" i="2"/>
  <c r="Z83" i="2"/>
  <c r="J83" i="2"/>
  <c r="BE83" i="2"/>
  <c r="AO83" i="2"/>
  <c r="Y83" i="2"/>
  <c r="I83" i="2"/>
  <c r="BD83" i="2"/>
  <c r="AN83" i="2"/>
  <c r="X83" i="2"/>
  <c r="H83" i="2"/>
  <c r="BC83" i="2"/>
  <c r="AM83" i="2"/>
  <c r="W83" i="2"/>
  <c r="G83" i="2"/>
  <c r="BB83" i="2"/>
  <c r="AL83" i="2"/>
  <c r="V83" i="2"/>
  <c r="F83" i="2"/>
  <c r="BA83" i="2"/>
  <c r="AK83" i="2"/>
  <c r="U83" i="2"/>
  <c r="E83" i="2"/>
  <c r="AJ83" i="2"/>
  <c r="D83" i="2"/>
  <c r="AI83" i="2"/>
  <c r="C83" i="2"/>
  <c r="AH83" i="2"/>
  <c r="AG83" i="2"/>
  <c r="AF83" i="2"/>
  <c r="AE83" i="2"/>
  <c r="BJ83" i="2"/>
  <c r="AD83" i="2"/>
  <c r="BI83" i="2"/>
  <c r="AC83" i="2"/>
  <c r="AZ83" i="2"/>
  <c r="T83" i="2"/>
  <c r="AY83" i="2"/>
  <c r="S83" i="2"/>
  <c r="AX83" i="2"/>
  <c r="R83" i="2"/>
  <c r="AW83" i="2"/>
  <c r="Q83" i="2"/>
  <c r="AV83" i="2"/>
  <c r="P83" i="2"/>
  <c r="AS83" i="2"/>
  <c r="M83" i="2"/>
  <c r="AU83" i="2"/>
  <c r="AT83" i="2"/>
  <c r="O83" i="2"/>
  <c r="N83" i="2"/>
  <c r="C62" i="2"/>
  <c r="BK44" i="2"/>
  <c r="BB62" i="2"/>
  <c r="BB95" i="2" s="1"/>
  <c r="BF62" i="2"/>
  <c r="BF95" i="2" s="1"/>
  <c r="AW38" i="1"/>
  <c r="AU38" i="1"/>
  <c r="AH62" i="2"/>
  <c r="AH95" i="2" s="1"/>
  <c r="G62" i="2"/>
  <c r="G95" i="2" s="1"/>
  <c r="K62" i="2"/>
  <c r="K95" i="2" s="1"/>
  <c r="O62" i="2"/>
  <c r="O95" i="2" s="1"/>
  <c r="H67" i="2"/>
  <c r="H70" i="2" s="1"/>
  <c r="G67" i="2"/>
  <c r="G70" i="2" s="1"/>
  <c r="F67" i="2"/>
  <c r="F70" i="2" s="1"/>
  <c r="E67" i="2"/>
  <c r="E70" i="2" s="1"/>
  <c r="D67" i="2"/>
  <c r="BK49" i="2"/>
  <c r="AX86" i="2"/>
  <c r="AH86" i="2"/>
  <c r="R86" i="2"/>
  <c r="AW86" i="2"/>
  <c r="AG86" i="2"/>
  <c r="Q86" i="2"/>
  <c r="AV86" i="2"/>
  <c r="AF86" i="2"/>
  <c r="P86" i="2"/>
  <c r="AU86" i="2"/>
  <c r="AE86" i="2"/>
  <c r="O86" i="2"/>
  <c r="BJ86" i="2"/>
  <c r="AT86" i="2"/>
  <c r="AD86" i="2"/>
  <c r="N86" i="2"/>
  <c r="BI86" i="2"/>
  <c r="AS86" i="2"/>
  <c r="AC86" i="2"/>
  <c r="M86" i="2"/>
  <c r="BH86" i="2"/>
  <c r="AR86" i="2"/>
  <c r="AB86" i="2"/>
  <c r="L86" i="2"/>
  <c r="BG86" i="2"/>
  <c r="AQ86" i="2"/>
  <c r="AA86" i="2"/>
  <c r="K86" i="2"/>
  <c r="BD86" i="2"/>
  <c r="AN86" i="2"/>
  <c r="X86" i="2"/>
  <c r="H86" i="2"/>
  <c r="BC86" i="2"/>
  <c r="U86" i="2"/>
  <c r="BB86" i="2"/>
  <c r="T86" i="2"/>
  <c r="BA86" i="2"/>
  <c r="S86" i="2"/>
  <c r="AZ86" i="2"/>
  <c r="J86" i="2"/>
  <c r="AY86" i="2"/>
  <c r="I86" i="2"/>
  <c r="AP86" i="2"/>
  <c r="G86" i="2"/>
  <c r="AO86" i="2"/>
  <c r="F86" i="2"/>
  <c r="AM86" i="2"/>
  <c r="E86" i="2"/>
  <c r="AL86" i="2"/>
  <c r="D86" i="2"/>
  <c r="AK86" i="2"/>
  <c r="C86" i="2"/>
  <c r="AJ86" i="2"/>
  <c r="AI86" i="2"/>
  <c r="Z86" i="2"/>
  <c r="BE86" i="2"/>
  <c r="V86" i="2"/>
  <c r="BF86" i="2"/>
  <c r="Y86" i="2"/>
  <c r="W86" i="2"/>
  <c r="M62" i="2"/>
  <c r="M95" i="2" s="1"/>
  <c r="F62" i="2"/>
  <c r="F95" i="2" s="1"/>
  <c r="V62" i="2"/>
  <c r="V95" i="2" s="1"/>
  <c r="Q62" i="2"/>
  <c r="Q95" i="2" s="1"/>
  <c r="W62" i="2"/>
  <c r="W95" i="2" s="1"/>
  <c r="AA62" i="2"/>
  <c r="AA95" i="2" s="1"/>
  <c r="AV85" i="2"/>
  <c r="AF85" i="2"/>
  <c r="P85" i="2"/>
  <c r="AU85" i="2"/>
  <c r="AE85" i="2"/>
  <c r="O85" i="2"/>
  <c r="BJ85" i="2"/>
  <c r="AT85" i="2"/>
  <c r="AD85" i="2"/>
  <c r="N85" i="2"/>
  <c r="BI85" i="2"/>
  <c r="AS85" i="2"/>
  <c r="AC85" i="2"/>
  <c r="M85" i="2"/>
  <c r="BH85" i="2"/>
  <c r="AR85" i="2"/>
  <c r="AB85" i="2"/>
  <c r="L85" i="2"/>
  <c r="BG85" i="2"/>
  <c r="AQ85" i="2"/>
  <c r="AA85" i="2"/>
  <c r="K85" i="2"/>
  <c r="BF85" i="2"/>
  <c r="AP85" i="2"/>
  <c r="Z85" i="2"/>
  <c r="J85" i="2"/>
  <c r="BE85" i="2"/>
  <c r="AO85" i="2"/>
  <c r="Y85" i="2"/>
  <c r="I85" i="2"/>
  <c r="BB85" i="2"/>
  <c r="AL85" i="2"/>
  <c r="AW85" i="2"/>
  <c r="H85" i="2"/>
  <c r="AN85" i="2"/>
  <c r="G85" i="2"/>
  <c r="AM85" i="2"/>
  <c r="F85" i="2"/>
  <c r="AK85" i="2"/>
  <c r="E85" i="2"/>
  <c r="AJ85" i="2"/>
  <c r="D85" i="2"/>
  <c r="AI85" i="2"/>
  <c r="C85" i="2"/>
  <c r="AH85" i="2"/>
  <c r="AG85" i="2"/>
  <c r="X85" i="2"/>
  <c r="W85" i="2"/>
  <c r="BD85" i="2"/>
  <c r="V85" i="2"/>
  <c r="BC85" i="2"/>
  <c r="U85" i="2"/>
  <c r="BA85" i="2"/>
  <c r="T85" i="2"/>
  <c r="AX85" i="2"/>
  <c r="Q85" i="2"/>
  <c r="AZ85" i="2"/>
  <c r="AY85" i="2"/>
  <c r="S85" i="2"/>
  <c r="R85" i="2"/>
  <c r="J68" i="2"/>
  <c r="J70" i="2" s="1"/>
  <c r="I68" i="2"/>
  <c r="N68" i="2"/>
  <c r="N70" i="2" s="1"/>
  <c r="M68" i="2"/>
  <c r="M70" i="2" s="1"/>
  <c r="L68" i="2"/>
  <c r="L70" i="2" s="1"/>
  <c r="K68" i="2"/>
  <c r="K70" i="2" s="1"/>
  <c r="P18" i="4"/>
  <c r="P19" i="4"/>
  <c r="P20" i="4"/>
  <c r="N18" i="4"/>
  <c r="P22" i="4"/>
  <c r="N19" i="4"/>
  <c r="F131" i="3"/>
  <c r="B9" i="3"/>
  <c r="N20" i="4"/>
  <c r="E131" i="3"/>
  <c r="F129" i="3"/>
  <c r="P24" i="4"/>
  <c r="N22" i="4"/>
  <c r="F133" i="3"/>
  <c r="E129" i="3"/>
  <c r="E133" i="3"/>
  <c r="N24" i="4"/>
  <c r="P21" i="4"/>
  <c r="F130" i="3"/>
  <c r="B12" i="4"/>
  <c r="E130" i="3"/>
  <c r="G141" i="3"/>
  <c r="E132" i="3"/>
  <c r="E141" i="3"/>
  <c r="P23" i="4"/>
  <c r="N23" i="4"/>
  <c r="N21" i="4"/>
  <c r="F141" i="3"/>
  <c r="F132" i="3"/>
  <c r="AM62" i="2"/>
  <c r="AM95" i="2" s="1"/>
  <c r="AQ62" i="2"/>
  <c r="AQ95" i="2" s="1"/>
  <c r="AU62" i="2"/>
  <c r="AU95" i="2" s="1"/>
  <c r="BJ84" i="2"/>
  <c r="AT84" i="2"/>
  <c r="AD84" i="2"/>
  <c r="N84" i="2"/>
  <c r="BI84" i="2"/>
  <c r="AS84" i="2"/>
  <c r="AC84" i="2"/>
  <c r="M84" i="2"/>
  <c r="BH84" i="2"/>
  <c r="AR84" i="2"/>
  <c r="AB84" i="2"/>
  <c r="L84" i="2"/>
  <c r="BG84" i="2"/>
  <c r="AQ84" i="2"/>
  <c r="AA84" i="2"/>
  <c r="K84" i="2"/>
  <c r="BF84" i="2"/>
  <c r="AP84" i="2"/>
  <c r="Z84" i="2"/>
  <c r="J84" i="2"/>
  <c r="BE84" i="2"/>
  <c r="AO84" i="2"/>
  <c r="Y84" i="2"/>
  <c r="I84" i="2"/>
  <c r="BD84" i="2"/>
  <c r="AN84" i="2"/>
  <c r="X84" i="2"/>
  <c r="H84" i="2"/>
  <c r="BC84" i="2"/>
  <c r="AM84" i="2"/>
  <c r="W84" i="2"/>
  <c r="G84" i="2"/>
  <c r="AL84" i="2"/>
  <c r="F84" i="2"/>
  <c r="AK84" i="2"/>
  <c r="E84" i="2"/>
  <c r="AJ84" i="2"/>
  <c r="D84" i="2"/>
  <c r="AI84" i="2"/>
  <c r="C84" i="2"/>
  <c r="AH84" i="2"/>
  <c r="AG84" i="2"/>
  <c r="AF84" i="2"/>
  <c r="AE84" i="2"/>
  <c r="BB84" i="2"/>
  <c r="V84" i="2"/>
  <c r="BA84" i="2"/>
  <c r="U84" i="2"/>
  <c r="AZ84" i="2"/>
  <c r="T84" i="2"/>
  <c r="AY84" i="2"/>
  <c r="S84" i="2"/>
  <c r="AX84" i="2"/>
  <c r="R84" i="2"/>
  <c r="AU84" i="2"/>
  <c r="O84" i="2"/>
  <c r="AW84" i="2"/>
  <c r="AV84" i="2"/>
  <c r="Q84" i="2"/>
  <c r="P84" i="2"/>
  <c r="I79" i="1" l="1"/>
  <c r="I22" i="1" s="1"/>
  <c r="AS137" i="1"/>
  <c r="AS141" i="1" s="1"/>
  <c r="AW137" i="1"/>
  <c r="AW148" i="1" s="1"/>
  <c r="AC137" i="1"/>
  <c r="AC139" i="1" s="1"/>
  <c r="O137" i="1"/>
  <c r="O148" i="1" s="1"/>
  <c r="AO80" i="1"/>
  <c r="AO81" i="1"/>
  <c r="AO130" i="1"/>
  <c r="AO129" i="1" s="1"/>
  <c r="AO123" i="1"/>
  <c r="AO122" i="1" s="1"/>
  <c r="AM81" i="1"/>
  <c r="M81" i="1"/>
  <c r="AM80" i="1"/>
  <c r="AM130" i="1"/>
  <c r="AM129" i="1" s="1"/>
  <c r="AM123" i="1"/>
  <c r="AM122" i="1" s="1"/>
  <c r="AM137" i="1" s="1"/>
  <c r="AM139" i="1" s="1"/>
  <c r="AE130" i="1"/>
  <c r="AE129" i="1" s="1"/>
  <c r="AE137" i="1" s="1"/>
  <c r="AE139" i="1" s="1"/>
  <c r="Y146" i="1"/>
  <c r="Y144" i="1" s="1"/>
  <c r="Y130" i="1"/>
  <c r="Y129" i="1" s="1"/>
  <c r="Y137" i="1" s="1"/>
  <c r="Y139" i="1" s="1"/>
  <c r="Y80" i="1"/>
  <c r="Q80" i="1"/>
  <c r="AI80" i="1"/>
  <c r="AI81" i="1"/>
  <c r="AI130" i="1"/>
  <c r="AI129" i="1" s="1"/>
  <c r="AI123" i="1"/>
  <c r="AI122" i="1" s="1"/>
  <c r="Q146" i="1"/>
  <c r="Q144" i="1" s="1"/>
  <c r="Q81" i="1"/>
  <c r="Q130" i="1"/>
  <c r="Q129" i="1" s="1"/>
  <c r="Q137" i="1" s="1"/>
  <c r="M146" i="1"/>
  <c r="M144" i="1" s="1"/>
  <c r="AE80" i="1"/>
  <c r="M130" i="1"/>
  <c r="M129" i="1" s="1"/>
  <c r="Y81" i="1"/>
  <c r="AE81" i="1"/>
  <c r="M123" i="1"/>
  <c r="M122" i="1" s="1"/>
  <c r="AE146" i="1"/>
  <c r="AE144" i="1" s="1"/>
  <c r="AU137" i="1"/>
  <c r="AU148" i="1" s="1"/>
  <c r="AY79" i="1"/>
  <c r="B11" i="3" s="1"/>
  <c r="K148" i="1"/>
  <c r="S139" i="1"/>
  <c r="AG148" i="1"/>
  <c r="AK148" i="1"/>
  <c r="W137" i="1"/>
  <c r="BK86" i="2"/>
  <c r="S148" i="1"/>
  <c r="S141" i="1"/>
  <c r="I70" i="2"/>
  <c r="BK68" i="2"/>
  <c r="BK83" i="2"/>
  <c r="BK88" i="2"/>
  <c r="BK85" i="2"/>
  <c r="BK67" i="2"/>
  <c r="D70" i="2"/>
  <c r="AY38" i="1"/>
  <c r="BK84" i="2"/>
  <c r="AQ139" i="1"/>
  <c r="C95" i="2"/>
  <c r="BK62" i="2"/>
  <c r="H22" i="1" l="1"/>
  <c r="AW139" i="1"/>
  <c r="AC148" i="1"/>
  <c r="AS148" i="1"/>
  <c r="AS139" i="1"/>
  <c r="O139" i="1"/>
  <c r="AW141" i="1"/>
  <c r="AW151" i="1" s="1"/>
  <c r="O141" i="1"/>
  <c r="O151" i="1" s="1"/>
  <c r="I130" i="1"/>
  <c r="AY130" i="1" s="1"/>
  <c r="AY129" i="1" s="1"/>
  <c r="AO137" i="1"/>
  <c r="AO139" i="1" s="1"/>
  <c r="AI137" i="1"/>
  <c r="AI148" i="1" s="1"/>
  <c r="AC141" i="1"/>
  <c r="AC151" i="1" s="1"/>
  <c r="AU139" i="1"/>
  <c r="M137" i="1"/>
  <c r="M141" i="1" s="1"/>
  <c r="B76" i="2"/>
  <c r="Y76" i="2" s="1"/>
  <c r="AY80" i="1"/>
  <c r="B16" i="2"/>
  <c r="B16" i="4" s="1"/>
  <c r="B75" i="2"/>
  <c r="AL75" i="2" s="1"/>
  <c r="B87" i="2"/>
  <c r="AG87" i="2" s="1"/>
  <c r="AG89" i="2" s="1"/>
  <c r="I146" i="1"/>
  <c r="I144" i="1" s="1"/>
  <c r="AU141" i="1"/>
  <c r="AU151" i="1" s="1"/>
  <c r="I80" i="1"/>
  <c r="AE141" i="1"/>
  <c r="AY81" i="1"/>
  <c r="B74" i="2"/>
  <c r="AM74" i="2" s="1"/>
  <c r="B77" i="2"/>
  <c r="K77" i="2" s="1"/>
  <c r="B78" i="2"/>
  <c r="Z78" i="2" s="1"/>
  <c r="I81" i="1"/>
  <c r="G22" i="1" s="1"/>
  <c r="I123" i="1"/>
  <c r="AY123" i="1" s="1"/>
  <c r="AY122" i="1" s="1"/>
  <c r="K141" i="1"/>
  <c r="K142" i="1" s="1"/>
  <c r="AK141" i="1"/>
  <c r="AK151" i="1" s="1"/>
  <c r="Y148" i="1"/>
  <c r="AG141" i="1"/>
  <c r="AG142" i="1" s="1"/>
  <c r="AM141" i="1"/>
  <c r="Q139" i="1"/>
  <c r="W139" i="1"/>
  <c r="Q148" i="1"/>
  <c r="Q141" i="1"/>
  <c r="BK70" i="2"/>
  <c r="B5" i="3"/>
  <c r="B11" i="4" s="1"/>
  <c r="B11" i="2"/>
  <c r="AQ148" i="1"/>
  <c r="AQ141" i="1"/>
  <c r="AS151" i="1"/>
  <c r="AS142" i="1"/>
  <c r="AW142" i="1"/>
  <c r="BK95" i="2"/>
  <c r="S151" i="1"/>
  <c r="S142" i="1"/>
  <c r="W148" i="1"/>
  <c r="W141" i="1"/>
  <c r="AY144" i="1" l="1"/>
  <c r="I24" i="1"/>
  <c r="H24" i="1" s="1"/>
  <c r="AO148" i="1"/>
  <c r="M139" i="1"/>
  <c r="O142" i="1"/>
  <c r="AI141" i="1"/>
  <c r="AI142" i="1" s="1"/>
  <c r="AI139" i="1"/>
  <c r="AC142" i="1"/>
  <c r="M148" i="1"/>
  <c r="I129" i="1"/>
  <c r="L76" i="2"/>
  <c r="AL76" i="2"/>
  <c r="M76" i="2"/>
  <c r="AB76" i="2"/>
  <c r="N76" i="2"/>
  <c r="AE76" i="2"/>
  <c r="R76" i="2"/>
  <c r="AS76" i="2"/>
  <c r="AM148" i="1"/>
  <c r="AJ76" i="2"/>
  <c r="AW76" i="2"/>
  <c r="E76" i="2"/>
  <c r="P76" i="2"/>
  <c r="AN76" i="2"/>
  <c r="G76" i="2"/>
  <c r="U76" i="2"/>
  <c r="W76" i="2"/>
  <c r="AO76" i="2"/>
  <c r="AC76" i="2"/>
  <c r="X76" i="2"/>
  <c r="H76" i="2"/>
  <c r="AT76" i="2"/>
  <c r="AR76" i="2"/>
  <c r="AU76" i="2"/>
  <c r="AK76" i="2"/>
  <c r="AD75" i="2"/>
  <c r="S76" i="2"/>
  <c r="V87" i="2"/>
  <c r="V89" i="2" s="1"/>
  <c r="R75" i="2"/>
  <c r="AJ75" i="2"/>
  <c r="C76" i="2"/>
  <c r="T76" i="2"/>
  <c r="Y87" i="2"/>
  <c r="Y89" i="2" s="1"/>
  <c r="BH87" i="2"/>
  <c r="BH89" i="2" s="1"/>
  <c r="BH91" i="2" s="1"/>
  <c r="BH96" i="2" s="1"/>
  <c r="BH97" i="2" s="1"/>
  <c r="C76" i="3" s="1"/>
  <c r="G75" i="2"/>
  <c r="AF76" i="2"/>
  <c r="AP76" i="2"/>
  <c r="AA87" i="2"/>
  <c r="AA89" i="2" s="1"/>
  <c r="AD87" i="2"/>
  <c r="AD89" i="2" s="1"/>
  <c r="W75" i="2"/>
  <c r="Q76" i="2"/>
  <c r="AQ76" i="2"/>
  <c r="P87" i="2"/>
  <c r="P89" i="2" s="1"/>
  <c r="AG76" i="2"/>
  <c r="J76" i="2"/>
  <c r="N87" i="2"/>
  <c r="N89" i="2" s="1"/>
  <c r="E75" i="2"/>
  <c r="AH76" i="2"/>
  <c r="Z76" i="2"/>
  <c r="AV87" i="2"/>
  <c r="AV89" i="2" s="1"/>
  <c r="AF87" i="2"/>
  <c r="AF89" i="2" s="1"/>
  <c r="I75" i="2"/>
  <c r="AD76" i="2"/>
  <c r="X75" i="2"/>
  <c r="AN75" i="2"/>
  <c r="AV76" i="2"/>
  <c r="F76" i="2"/>
  <c r="Y75" i="2"/>
  <c r="AM76" i="2"/>
  <c r="O76" i="2"/>
  <c r="V76" i="2"/>
  <c r="AK87" i="2"/>
  <c r="AK89" i="2" s="1"/>
  <c r="G87" i="2"/>
  <c r="G89" i="2" s="1"/>
  <c r="F87" i="2"/>
  <c r="F89" i="2" s="1"/>
  <c r="AT75" i="2"/>
  <c r="AO75" i="2"/>
  <c r="AN87" i="2"/>
  <c r="AN89" i="2" s="1"/>
  <c r="C75" i="2"/>
  <c r="M75" i="2"/>
  <c r="AJ87" i="2"/>
  <c r="AJ89" i="2" s="1"/>
  <c r="R87" i="2"/>
  <c r="R89" i="2" s="1"/>
  <c r="D87" i="2"/>
  <c r="D89" i="2" s="1"/>
  <c r="L75" i="2"/>
  <c r="AC75" i="2"/>
  <c r="K76" i="2"/>
  <c r="AI76" i="2"/>
  <c r="I76" i="2"/>
  <c r="AQ87" i="2"/>
  <c r="AQ89" i="2" s="1"/>
  <c r="AR75" i="2"/>
  <c r="AY87" i="2"/>
  <c r="AY89" i="2" s="1"/>
  <c r="AY91" i="2" s="1"/>
  <c r="AY96" i="2" s="1"/>
  <c r="AY97" i="2" s="1"/>
  <c r="C67" i="3" s="1"/>
  <c r="J75" i="2"/>
  <c r="Z75" i="2"/>
  <c r="AO87" i="2"/>
  <c r="AO89" i="2" s="1"/>
  <c r="T87" i="2"/>
  <c r="T89" i="2" s="1"/>
  <c r="H87" i="2"/>
  <c r="H89" i="2" s="1"/>
  <c r="AA76" i="2"/>
  <c r="D76" i="2"/>
  <c r="I87" i="2"/>
  <c r="I89" i="2" s="1"/>
  <c r="O75" i="2"/>
  <c r="AE148" i="1"/>
  <c r="AB87" i="2"/>
  <c r="AB89" i="2" s="1"/>
  <c r="AE75" i="2"/>
  <c r="AP75" i="2"/>
  <c r="Q75" i="2"/>
  <c r="J87" i="2"/>
  <c r="J89" i="2" s="1"/>
  <c r="AL87" i="2"/>
  <c r="AL89" i="2" s="1"/>
  <c r="Z87" i="2"/>
  <c r="Z89" i="2" s="1"/>
  <c r="AG75" i="2"/>
  <c r="AM87" i="2"/>
  <c r="AM89" i="2" s="1"/>
  <c r="M87" i="2"/>
  <c r="M89" i="2" s="1"/>
  <c r="AW75" i="2"/>
  <c r="AR87" i="2"/>
  <c r="AR89" i="2" s="1"/>
  <c r="AW87" i="2"/>
  <c r="AW89" i="2" s="1"/>
  <c r="K75" i="2"/>
  <c r="AH75" i="2"/>
  <c r="X87" i="2"/>
  <c r="X89" i="2" s="1"/>
  <c r="AH87" i="2"/>
  <c r="AH89" i="2" s="1"/>
  <c r="AI75" i="2"/>
  <c r="D75" i="2"/>
  <c r="BG87" i="2"/>
  <c r="BG89" i="2" s="1"/>
  <c r="BG91" i="2" s="1"/>
  <c r="BG96" i="2" s="1"/>
  <c r="BG97" i="2" s="1"/>
  <c r="C75" i="3" s="1"/>
  <c r="AI87" i="2"/>
  <c r="AI89" i="2" s="1"/>
  <c r="AS75" i="2"/>
  <c r="T75" i="2"/>
  <c r="K87" i="2"/>
  <c r="K89" i="2" s="1"/>
  <c r="AT87" i="2"/>
  <c r="AT89" i="2" s="1"/>
  <c r="AZ87" i="2"/>
  <c r="AZ89" i="2" s="1"/>
  <c r="AZ91" i="2" s="1"/>
  <c r="AZ96" i="2" s="1"/>
  <c r="AZ97" i="2" s="1"/>
  <c r="C68" i="3" s="1"/>
  <c r="AA75" i="2"/>
  <c r="AY146" i="1"/>
  <c r="N75" i="2"/>
  <c r="U75" i="2"/>
  <c r="BJ87" i="2"/>
  <c r="BJ89" i="2" s="1"/>
  <c r="BJ91" i="2" s="1"/>
  <c r="BJ96" i="2" s="1"/>
  <c r="BJ97" i="2" s="1"/>
  <c r="C78" i="3" s="1"/>
  <c r="O87" i="2"/>
  <c r="O89" i="2" s="1"/>
  <c r="W87" i="2"/>
  <c r="W89" i="2" s="1"/>
  <c r="AE87" i="2"/>
  <c r="AE89" i="2" s="1"/>
  <c r="S75" i="2"/>
  <c r="AK75" i="2"/>
  <c r="BD87" i="2"/>
  <c r="BD89" i="2" s="1"/>
  <c r="BD91" i="2" s="1"/>
  <c r="BD96" i="2" s="1"/>
  <c r="BD97" i="2" s="1"/>
  <c r="C72" i="3" s="1"/>
  <c r="E87" i="2"/>
  <c r="E89" i="2" s="1"/>
  <c r="BE87" i="2"/>
  <c r="BE89" i="2" s="1"/>
  <c r="BE91" i="2" s="1"/>
  <c r="BE96" i="2" s="1"/>
  <c r="BE97" i="2" s="1"/>
  <c r="AU87" i="2"/>
  <c r="AU89" i="2" s="1"/>
  <c r="AB75" i="2"/>
  <c r="F75" i="2"/>
  <c r="AY137" i="1"/>
  <c r="T74" i="2"/>
  <c r="O74" i="2"/>
  <c r="AF77" i="2"/>
  <c r="AD74" i="2"/>
  <c r="AE77" i="2"/>
  <c r="BA87" i="2"/>
  <c r="BA89" i="2" s="1"/>
  <c r="BA91" i="2" s="1"/>
  <c r="BA96" i="2" s="1"/>
  <c r="BA97" i="2" s="1"/>
  <c r="C69" i="3" s="1"/>
  <c r="AC87" i="2"/>
  <c r="AC89" i="2" s="1"/>
  <c r="AX87" i="2"/>
  <c r="AX89" i="2" s="1"/>
  <c r="AX91" i="2" s="1"/>
  <c r="AX96" i="2" s="1"/>
  <c r="AX97" i="2" s="1"/>
  <c r="C66" i="3" s="1"/>
  <c r="AE74" i="2"/>
  <c r="U87" i="2"/>
  <c r="U89" i="2" s="1"/>
  <c r="AS87" i="2"/>
  <c r="AS89" i="2" s="1"/>
  <c r="C87" i="2"/>
  <c r="C89" i="2" s="1"/>
  <c r="AF75" i="2"/>
  <c r="AM75" i="2"/>
  <c r="BC87" i="2"/>
  <c r="BC89" i="2" s="1"/>
  <c r="BC91" i="2" s="1"/>
  <c r="BC96" i="2" s="1"/>
  <c r="BC97" i="2" s="1"/>
  <c r="C71" i="3" s="1"/>
  <c r="BI87" i="2"/>
  <c r="BI89" i="2" s="1"/>
  <c r="BI91" i="2" s="1"/>
  <c r="BI96" i="2" s="1"/>
  <c r="BI97" i="2" s="1"/>
  <c r="C77" i="3" s="1"/>
  <c r="S87" i="2"/>
  <c r="S89" i="2" s="1"/>
  <c r="AV75" i="2"/>
  <c r="H75" i="2"/>
  <c r="AS74" i="2"/>
  <c r="AG77" i="2"/>
  <c r="AT74" i="2"/>
  <c r="U74" i="2"/>
  <c r="AA78" i="2"/>
  <c r="AJ74" i="2"/>
  <c r="N77" i="2"/>
  <c r="AL77" i="2"/>
  <c r="G77" i="2"/>
  <c r="AK74" i="2"/>
  <c r="AB78" i="2"/>
  <c r="AC78" i="2"/>
  <c r="AH77" i="2"/>
  <c r="E74" i="2"/>
  <c r="H74" i="2"/>
  <c r="W77" i="2"/>
  <c r="AM77" i="2"/>
  <c r="X74" i="2"/>
  <c r="H77" i="2"/>
  <c r="AN74" i="2"/>
  <c r="I122" i="1"/>
  <c r="AD78" i="2"/>
  <c r="AF78" i="2"/>
  <c r="O77" i="2"/>
  <c r="I74" i="2"/>
  <c r="U78" i="2"/>
  <c r="AU74" i="2"/>
  <c r="Y74" i="2"/>
  <c r="AG78" i="2"/>
  <c r="I77" i="2"/>
  <c r="AS78" i="2"/>
  <c r="F78" i="2"/>
  <c r="AG74" i="2"/>
  <c r="J74" i="2"/>
  <c r="AR78" i="2"/>
  <c r="AO74" i="2"/>
  <c r="AQ77" i="2"/>
  <c r="Q77" i="2"/>
  <c r="L78" i="2"/>
  <c r="V78" i="2"/>
  <c r="AW74" i="2"/>
  <c r="Z74" i="2"/>
  <c r="AT77" i="2"/>
  <c r="AN77" i="2"/>
  <c r="M78" i="2"/>
  <c r="AL78" i="2"/>
  <c r="R74" i="2"/>
  <c r="AP74" i="2"/>
  <c r="P77" i="2"/>
  <c r="AK78" i="2"/>
  <c r="AW77" i="2"/>
  <c r="K78" i="2"/>
  <c r="G78" i="2"/>
  <c r="AH74" i="2"/>
  <c r="K74" i="2"/>
  <c r="D74" i="2"/>
  <c r="AC77" i="2"/>
  <c r="AQ78" i="2"/>
  <c r="W78" i="2"/>
  <c r="C74" i="2"/>
  <c r="X77" i="2"/>
  <c r="AV77" i="2"/>
  <c r="R77" i="2"/>
  <c r="AD77" i="2"/>
  <c r="F77" i="2"/>
  <c r="L87" i="2"/>
  <c r="L89" i="2" s="1"/>
  <c r="AP87" i="2"/>
  <c r="AP89" i="2" s="1"/>
  <c r="Q87" i="2"/>
  <c r="Q89" i="2" s="1"/>
  <c r="AU142" i="1"/>
  <c r="N78" i="2"/>
  <c r="AM78" i="2"/>
  <c r="AU75" i="2"/>
  <c r="V75" i="2"/>
  <c r="AQ75" i="2"/>
  <c r="S74" i="2"/>
  <c r="AE78" i="2"/>
  <c r="AU77" i="2"/>
  <c r="AA77" i="2"/>
  <c r="S77" i="2"/>
  <c r="AB77" i="2"/>
  <c r="V77" i="2"/>
  <c r="BB87" i="2"/>
  <c r="BB89" i="2" s="1"/>
  <c r="BB91" i="2" s="1"/>
  <c r="BB96" i="2" s="1"/>
  <c r="BB97" i="2" s="1"/>
  <c r="C70" i="3" s="1"/>
  <c r="BF87" i="2"/>
  <c r="BF89" i="2" s="1"/>
  <c r="BF91" i="2" s="1"/>
  <c r="BF96" i="2" s="1"/>
  <c r="BF97" i="2" s="1"/>
  <c r="R78" i="2"/>
  <c r="AP78" i="2"/>
  <c r="P75" i="2"/>
  <c r="AC74" i="2"/>
  <c r="AI74" i="2"/>
  <c r="AH78" i="2"/>
  <c r="H78" i="2"/>
  <c r="AT78" i="2"/>
  <c r="K151" i="1"/>
  <c r="K152" i="1" s="1"/>
  <c r="C78" i="2"/>
  <c r="C77" i="2"/>
  <c r="D77" i="2"/>
  <c r="Y77" i="2"/>
  <c r="O78" i="2"/>
  <c r="S78" i="2"/>
  <c r="AN78" i="2"/>
  <c r="M74" i="2"/>
  <c r="F74" i="2"/>
  <c r="AA74" i="2"/>
  <c r="X78" i="2"/>
  <c r="AI77" i="2"/>
  <c r="AO77" i="2"/>
  <c r="AU78" i="2"/>
  <c r="AI78" i="2"/>
  <c r="I78" i="2"/>
  <c r="N74" i="2"/>
  <c r="V74" i="2"/>
  <c r="AQ74" i="2"/>
  <c r="T77" i="2"/>
  <c r="L77" i="2"/>
  <c r="AJ77" i="2"/>
  <c r="J77" i="2"/>
  <c r="P78" i="2"/>
  <c r="D78" i="2"/>
  <c r="Y78" i="2"/>
  <c r="P74" i="2"/>
  <c r="AL74" i="2"/>
  <c r="L74" i="2"/>
  <c r="AV78" i="2"/>
  <c r="T78" i="2"/>
  <c r="AO78" i="2"/>
  <c r="AF74" i="2"/>
  <c r="G74" i="2"/>
  <c r="AB74" i="2"/>
  <c r="M77" i="2"/>
  <c r="U77" i="2"/>
  <c r="AP77" i="2"/>
  <c r="Q78" i="2"/>
  <c r="AJ78" i="2"/>
  <c r="J78" i="2"/>
  <c r="AV74" i="2"/>
  <c r="W74" i="2"/>
  <c r="AR74" i="2"/>
  <c r="AR77" i="2"/>
  <c r="E77" i="2"/>
  <c r="Z77" i="2"/>
  <c r="AS77" i="2"/>
  <c r="AK77" i="2"/>
  <c r="AW78" i="2"/>
  <c r="E78" i="2"/>
  <c r="Q74" i="2"/>
  <c r="AG151" i="1"/>
  <c r="AG161" i="1" s="1"/>
  <c r="AG162" i="1" s="1"/>
  <c r="AK142" i="1"/>
  <c r="AO141" i="1"/>
  <c r="AO142" i="1" s="1"/>
  <c r="Y141" i="1"/>
  <c r="Y151" i="1" s="1"/>
  <c r="AE151" i="1"/>
  <c r="AE142" i="1"/>
  <c r="AS152" i="1"/>
  <c r="AS161" i="1"/>
  <c r="AS162" i="1" s="1"/>
  <c r="AU152" i="1"/>
  <c r="AU161" i="1"/>
  <c r="AU162" i="1" s="1"/>
  <c r="W151" i="1"/>
  <c r="W142" i="1"/>
  <c r="AQ151" i="1"/>
  <c r="AQ142" i="1"/>
  <c r="AK161" i="1"/>
  <c r="AK162" i="1" s="1"/>
  <c r="AK152" i="1"/>
  <c r="AW152" i="1"/>
  <c r="AW161" i="1"/>
  <c r="AW162" i="1" s="1"/>
  <c r="S152" i="1"/>
  <c r="S161" i="1"/>
  <c r="S162" i="1" s="1"/>
  <c r="O152" i="1"/>
  <c r="O161" i="1"/>
  <c r="O162" i="1" s="1"/>
  <c r="AM142" i="1"/>
  <c r="AM151" i="1"/>
  <c r="M151" i="1"/>
  <c r="M142" i="1"/>
  <c r="AC161" i="1"/>
  <c r="AC162" i="1" s="1"/>
  <c r="AC152" i="1"/>
  <c r="Q151" i="1"/>
  <c r="Q142" i="1"/>
  <c r="I23" i="1" l="1"/>
  <c r="I25" i="1" s="1"/>
  <c r="I26" i="1" s="1"/>
  <c r="AI151" i="1"/>
  <c r="AI161" i="1" s="1"/>
  <c r="AI162" i="1" s="1"/>
  <c r="I137" i="1"/>
  <c r="I141" i="1" s="1"/>
  <c r="BK76" i="2"/>
  <c r="Z79" i="2"/>
  <c r="Z91" i="2" s="1"/>
  <c r="Z96" i="2" s="1"/>
  <c r="Z97" i="2" s="1"/>
  <c r="C42" i="3" s="1"/>
  <c r="AY139" i="1"/>
  <c r="AK79" i="2"/>
  <c r="AK91" i="2" s="1"/>
  <c r="AK96" i="2" s="1"/>
  <c r="AK97" i="2" s="1"/>
  <c r="AF79" i="2"/>
  <c r="AF91" i="2" s="1"/>
  <c r="AF96" i="2" s="1"/>
  <c r="AF97" i="2" s="1"/>
  <c r="C48" i="3" s="1"/>
  <c r="N79" i="2"/>
  <c r="N91" i="2" s="1"/>
  <c r="N96" i="2" s="1"/>
  <c r="N97" i="2" s="1"/>
  <c r="C30" i="3" s="1"/>
  <c r="AU79" i="2"/>
  <c r="AU91" i="2" s="1"/>
  <c r="AU96" i="2" s="1"/>
  <c r="AU97" i="2" s="1"/>
  <c r="AG79" i="2"/>
  <c r="AG91" i="2" s="1"/>
  <c r="AG96" i="2" s="1"/>
  <c r="AG97" i="2" s="1"/>
  <c r="C49" i="3" s="1"/>
  <c r="AE79" i="2"/>
  <c r="AE91" i="2" s="1"/>
  <c r="AE96" i="2" s="1"/>
  <c r="AE97" i="2" s="1"/>
  <c r="C47" i="3" s="1"/>
  <c r="AM79" i="2"/>
  <c r="AM91" i="2" s="1"/>
  <c r="AM96" i="2" s="1"/>
  <c r="AM97" i="2" s="1"/>
  <c r="C55" i="3" s="1"/>
  <c r="AT79" i="2"/>
  <c r="AT91" i="2" s="1"/>
  <c r="AT96" i="2" s="1"/>
  <c r="AT97" i="2" s="1"/>
  <c r="C62" i="3" s="1"/>
  <c r="K161" i="1"/>
  <c r="K162" i="1" s="1"/>
  <c r="AC79" i="2"/>
  <c r="AC91" i="2" s="1"/>
  <c r="AC96" i="2" s="1"/>
  <c r="AC97" i="2" s="1"/>
  <c r="C45" i="3" s="1"/>
  <c r="C79" i="2"/>
  <c r="C91" i="2" s="1"/>
  <c r="AD79" i="2"/>
  <c r="AD91" i="2" s="1"/>
  <c r="AD96" i="2" s="1"/>
  <c r="AD97" i="2" s="1"/>
  <c r="C46" i="3" s="1"/>
  <c r="BK75" i="2"/>
  <c r="AQ79" i="2"/>
  <c r="AQ91" i="2" s="1"/>
  <c r="AQ96" i="2" s="1"/>
  <c r="AQ97" i="2" s="1"/>
  <c r="C59" i="3" s="1"/>
  <c r="R79" i="2"/>
  <c r="R91" i="2" s="1"/>
  <c r="R96" i="2" s="1"/>
  <c r="R97" i="2" s="1"/>
  <c r="C34" i="3" s="1"/>
  <c r="H79" i="2"/>
  <c r="H91" i="2" s="1"/>
  <c r="H96" i="2" s="1"/>
  <c r="H97" i="2" s="1"/>
  <c r="C24" i="3" s="1"/>
  <c r="T79" i="2"/>
  <c r="T91" i="2" s="1"/>
  <c r="T96" i="2" s="1"/>
  <c r="T97" i="2" s="1"/>
  <c r="C36" i="3" s="1"/>
  <c r="Y79" i="2"/>
  <c r="Y91" i="2" s="1"/>
  <c r="Y96" i="2" s="1"/>
  <c r="Y97" i="2" s="1"/>
  <c r="C41" i="3" s="1"/>
  <c r="G79" i="2"/>
  <c r="G91" i="2" s="1"/>
  <c r="G96" i="2" s="1"/>
  <c r="G97" i="2" s="1"/>
  <c r="C23" i="3" s="1"/>
  <c r="V79" i="2"/>
  <c r="V91" i="2" s="1"/>
  <c r="V96" i="2" s="1"/>
  <c r="V97" i="2" s="1"/>
  <c r="C38" i="3" s="1"/>
  <c r="I79" i="2"/>
  <c r="I91" i="2" s="1"/>
  <c r="I96" i="2" s="1"/>
  <c r="I97" i="2" s="1"/>
  <c r="C25" i="3" s="1"/>
  <c r="E79" i="2"/>
  <c r="E91" i="2" s="1"/>
  <c r="E96" i="2" s="1"/>
  <c r="E97" i="2" s="1"/>
  <c r="C21" i="3" s="1"/>
  <c r="AB79" i="2"/>
  <c r="AB91" i="2" s="1"/>
  <c r="AB96" i="2" s="1"/>
  <c r="AB97" i="2" s="1"/>
  <c r="C44" i="3" s="1"/>
  <c r="AS79" i="2"/>
  <c r="AS91" i="2" s="1"/>
  <c r="AS96" i="2" s="1"/>
  <c r="AS97" i="2" s="1"/>
  <c r="C61" i="3" s="1"/>
  <c r="AH79" i="2"/>
  <c r="AH91" i="2" s="1"/>
  <c r="AH96" i="2" s="1"/>
  <c r="AH97" i="2" s="1"/>
  <c r="C50" i="3" s="1"/>
  <c r="M79" i="2"/>
  <c r="M91" i="2" s="1"/>
  <c r="M96" i="2" s="1"/>
  <c r="M97" i="2" s="1"/>
  <c r="C29" i="3" s="1"/>
  <c r="K79" i="2"/>
  <c r="K91" i="2" s="1"/>
  <c r="K96" i="2" s="1"/>
  <c r="K97" i="2" s="1"/>
  <c r="C27" i="3" s="1"/>
  <c r="Q79" i="2"/>
  <c r="Q91" i="2" s="1"/>
  <c r="Q96" i="2" s="1"/>
  <c r="Q97" i="2" s="1"/>
  <c r="C33" i="3" s="1"/>
  <c r="AN79" i="2"/>
  <c r="AN91" i="2" s="1"/>
  <c r="AN96" i="2" s="1"/>
  <c r="AN97" i="2" s="1"/>
  <c r="C56" i="3" s="1"/>
  <c r="AW79" i="2"/>
  <c r="AW91" i="2" s="1"/>
  <c r="AW96" i="2" s="1"/>
  <c r="AW97" i="2" s="1"/>
  <c r="C65" i="3" s="1"/>
  <c r="AJ79" i="2"/>
  <c r="AJ91" i="2" s="1"/>
  <c r="AJ96" i="2" s="1"/>
  <c r="AJ97" i="2" s="1"/>
  <c r="C52" i="3" s="1"/>
  <c r="S79" i="2"/>
  <c r="S91" i="2" s="1"/>
  <c r="S96" i="2" s="1"/>
  <c r="S97" i="2" s="1"/>
  <c r="C35" i="3" s="1"/>
  <c r="J79" i="2"/>
  <c r="J91" i="2" s="1"/>
  <c r="J96" i="2" s="1"/>
  <c r="J97" i="2" s="1"/>
  <c r="C26" i="3" s="1"/>
  <c r="AP79" i="2"/>
  <c r="AP91" i="2" s="1"/>
  <c r="AP96" i="2" s="1"/>
  <c r="AP97" i="2" s="1"/>
  <c r="C58" i="3" s="1"/>
  <c r="U79" i="2"/>
  <c r="U91" i="2" s="1"/>
  <c r="U96" i="2" s="1"/>
  <c r="U97" i="2" s="1"/>
  <c r="C37" i="3" s="1"/>
  <c r="L79" i="2"/>
  <c r="L91" i="2" s="1"/>
  <c r="L96" i="2" s="1"/>
  <c r="L97" i="2" s="1"/>
  <c r="C28" i="3" s="1"/>
  <c r="O79" i="2"/>
  <c r="O91" i="2" s="1"/>
  <c r="O96" i="2" s="1"/>
  <c r="O97" i="2" s="1"/>
  <c r="C31" i="3" s="1"/>
  <c r="P79" i="2"/>
  <c r="P91" i="2" s="1"/>
  <c r="P96" i="2" s="1"/>
  <c r="P97" i="2" s="1"/>
  <c r="C32" i="3" s="1"/>
  <c r="AG152" i="1"/>
  <c r="BK89" i="2"/>
  <c r="BK87" i="2"/>
  <c r="AR79" i="2"/>
  <c r="AR91" i="2" s="1"/>
  <c r="AR96" i="2" s="1"/>
  <c r="AR97" i="2" s="1"/>
  <c r="C60" i="3" s="1"/>
  <c r="AL79" i="2"/>
  <c r="AL91" i="2" s="1"/>
  <c r="AL96" i="2" s="1"/>
  <c r="AL97" i="2" s="1"/>
  <c r="AI79" i="2"/>
  <c r="AI91" i="2" s="1"/>
  <c r="AI96" i="2" s="1"/>
  <c r="AI97" i="2" s="1"/>
  <c r="C51" i="3" s="1"/>
  <c r="AO79" i="2"/>
  <c r="AO91" i="2" s="1"/>
  <c r="AO96" i="2" s="1"/>
  <c r="AO97" i="2" s="1"/>
  <c r="C57" i="3" s="1"/>
  <c r="W79" i="2"/>
  <c r="W91" i="2" s="1"/>
  <c r="W96" i="2" s="1"/>
  <c r="W97" i="2" s="1"/>
  <c r="C39" i="3" s="1"/>
  <c r="BK74" i="2"/>
  <c r="X79" i="2"/>
  <c r="X91" i="2" s="1"/>
  <c r="X96" i="2" s="1"/>
  <c r="X97" i="2" s="1"/>
  <c r="AV79" i="2"/>
  <c r="AV91" i="2" s="1"/>
  <c r="AV96" i="2" s="1"/>
  <c r="AV97" i="2" s="1"/>
  <c r="AA79" i="2"/>
  <c r="AA91" i="2" s="1"/>
  <c r="AA96" i="2" s="1"/>
  <c r="AA97" i="2" s="1"/>
  <c r="C43" i="3" s="1"/>
  <c r="BK78" i="2"/>
  <c r="F79" i="2"/>
  <c r="F91" i="2" s="1"/>
  <c r="F96" i="2" s="1"/>
  <c r="F97" i="2" s="1"/>
  <c r="C22" i="3" s="1"/>
  <c r="D79" i="2"/>
  <c r="D91" i="2" s="1"/>
  <c r="D96" i="2" s="1"/>
  <c r="D97" i="2" s="1"/>
  <c r="C20" i="3" s="1"/>
  <c r="BK77" i="2"/>
  <c r="AO151" i="1"/>
  <c r="AO161" i="1" s="1"/>
  <c r="AO162" i="1" s="1"/>
  <c r="Y142" i="1"/>
  <c r="AM161" i="1"/>
  <c r="AM162" i="1" s="1"/>
  <c r="AM152" i="1"/>
  <c r="W152" i="1"/>
  <c r="W161" i="1"/>
  <c r="W162" i="1" s="1"/>
  <c r="Q152" i="1"/>
  <c r="Q161" i="1"/>
  <c r="Q162" i="1" s="1"/>
  <c r="Y161" i="1"/>
  <c r="Y162" i="1" s="1"/>
  <c r="Y152" i="1"/>
  <c r="AQ152" i="1"/>
  <c r="AQ161" i="1"/>
  <c r="AQ162" i="1" s="1"/>
  <c r="AY148" i="1"/>
  <c r="AY141" i="1"/>
  <c r="M152" i="1"/>
  <c r="M161" i="1"/>
  <c r="M162" i="1" s="1"/>
  <c r="AE161" i="1"/>
  <c r="AE162" i="1" s="1"/>
  <c r="AE152" i="1"/>
  <c r="G23" i="1" l="1"/>
  <c r="H23" i="1"/>
  <c r="I139" i="1"/>
  <c r="AO152" i="1"/>
  <c r="AI152" i="1"/>
  <c r="BK79" i="2"/>
  <c r="AY151" i="1"/>
  <c r="AY142" i="1"/>
  <c r="BK91" i="2"/>
  <c r="C96" i="2"/>
  <c r="B7" i="3"/>
  <c r="B13" i="2"/>
  <c r="O18" i="4" l="1"/>
  <c r="O19" i="4"/>
  <c r="G131" i="3"/>
  <c r="O20" i="4"/>
  <c r="B13" i="4"/>
  <c r="G129" i="3"/>
  <c r="O22" i="4"/>
  <c r="G133" i="3"/>
  <c r="O24" i="4"/>
  <c r="G130" i="3"/>
  <c r="G142" i="3"/>
  <c r="G143" i="3" s="1"/>
  <c r="O21" i="4"/>
  <c r="F142" i="3"/>
  <c r="G132" i="3"/>
  <c r="O23" i="4"/>
  <c r="E142" i="3"/>
  <c r="E143" i="3" s="1"/>
  <c r="Q20" i="4"/>
  <c r="R24" i="4"/>
  <c r="J20" i="4"/>
  <c r="F153" i="3"/>
  <c r="Q21" i="4"/>
  <c r="Q23" i="4"/>
  <c r="R19" i="4"/>
  <c r="R18" i="4"/>
  <c r="J17" i="4"/>
  <c r="I19" i="4"/>
  <c r="K132" i="3"/>
  <c r="G20" i="4"/>
  <c r="E20" i="4"/>
  <c r="Q18" i="4"/>
  <c r="I17" i="4"/>
  <c r="F17" i="4"/>
  <c r="G155" i="3"/>
  <c r="K17" i="4"/>
  <c r="G18" i="4"/>
  <c r="T18" i="4"/>
  <c r="G154" i="3"/>
  <c r="I111" i="3"/>
  <c r="H18" i="4"/>
  <c r="I130" i="3"/>
  <c r="F19" i="4"/>
  <c r="H112" i="3"/>
  <c r="E111" i="3"/>
  <c r="J133" i="3"/>
  <c r="K18" i="4"/>
  <c r="G16" i="4"/>
  <c r="F111" i="3"/>
  <c r="E18" i="4"/>
  <c r="I154" i="3"/>
  <c r="G17" i="4"/>
  <c r="J16" i="4"/>
  <c r="H156" i="3"/>
  <c r="T23" i="4"/>
  <c r="E156" i="3"/>
  <c r="E155" i="3"/>
  <c r="R23" i="4"/>
  <c r="E152" i="3"/>
  <c r="S22" i="4"/>
  <c r="H131" i="3"/>
  <c r="H155" i="3"/>
  <c r="H152" i="3"/>
  <c r="R20" i="4"/>
  <c r="I129" i="3"/>
  <c r="E154" i="3"/>
  <c r="K20" i="4"/>
  <c r="G153" i="3"/>
  <c r="R21" i="4"/>
  <c r="I152" i="3"/>
  <c r="G152" i="3"/>
  <c r="J131" i="3"/>
  <c r="F152" i="3"/>
  <c r="T20" i="4"/>
  <c r="T24" i="4"/>
  <c r="Q19" i="4"/>
  <c r="G112" i="3"/>
  <c r="H133" i="3"/>
  <c r="J19" i="4"/>
  <c r="H20" i="4"/>
  <c r="I132" i="3"/>
  <c r="K129" i="3"/>
  <c r="K131" i="3"/>
  <c r="S24" i="4"/>
  <c r="I18" i="4"/>
  <c r="J130" i="3"/>
  <c r="G19" i="4"/>
  <c r="T19" i="4"/>
  <c r="I133" i="3"/>
  <c r="S19" i="4"/>
  <c r="H132" i="3"/>
  <c r="E17" i="4"/>
  <c r="Q22" i="4"/>
  <c r="E112" i="3"/>
  <c r="H16" i="4"/>
  <c r="G111" i="3"/>
  <c r="F18" i="4"/>
  <c r="S18" i="4"/>
  <c r="F156" i="3"/>
  <c r="H111" i="3"/>
  <c r="H154" i="3"/>
  <c r="I156" i="3"/>
  <c r="E16" i="4"/>
  <c r="F20" i="4"/>
  <c r="H17" i="4"/>
  <c r="H153" i="3"/>
  <c r="H130" i="3"/>
  <c r="K133" i="3"/>
  <c r="Q24" i="4"/>
  <c r="S21" i="4"/>
  <c r="E19" i="4"/>
  <c r="F155" i="3"/>
  <c r="J18" i="4"/>
  <c r="F16" i="4"/>
  <c r="I131" i="3"/>
  <c r="K16" i="4"/>
  <c r="I20" i="4"/>
  <c r="E153" i="3"/>
  <c r="I16" i="4"/>
  <c r="J129" i="3"/>
  <c r="F154" i="3"/>
  <c r="K19" i="4"/>
  <c r="K130" i="3"/>
  <c r="H19" i="4"/>
  <c r="J132" i="3"/>
  <c r="I155" i="3"/>
  <c r="B86" i="3"/>
  <c r="B32" i="4" s="1"/>
  <c r="H129" i="3"/>
  <c r="T22" i="4"/>
  <c r="R22" i="4"/>
  <c r="F112" i="3"/>
  <c r="I153" i="3"/>
  <c r="T21" i="4"/>
  <c r="G156" i="3"/>
  <c r="S23" i="4"/>
  <c r="S20" i="4"/>
  <c r="I112" i="3"/>
  <c r="BK96" i="2"/>
  <c r="C97" i="2"/>
  <c r="AY152" i="1"/>
  <c r="AY161" i="1"/>
  <c r="E144" i="3" l="1"/>
  <c r="B8" i="3"/>
  <c r="B14" i="2"/>
  <c r="AY162" i="1"/>
  <c r="G144" i="3"/>
  <c r="C98" i="2"/>
  <c r="BK97" i="2"/>
  <c r="C19" i="3"/>
  <c r="I121" i="3" l="1"/>
  <c r="E98" i="3"/>
  <c r="B85" i="3"/>
  <c r="H121" i="3"/>
  <c r="I97" i="3"/>
  <c r="B84" i="3"/>
  <c r="G121" i="3"/>
  <c r="I100" i="3"/>
  <c r="H97" i="3"/>
  <c r="B83" i="3"/>
  <c r="F121" i="3"/>
  <c r="H100" i="3"/>
  <c r="G97" i="3"/>
  <c r="B82" i="3"/>
  <c r="E121" i="3"/>
  <c r="G100" i="3"/>
  <c r="F97" i="3"/>
  <c r="B81" i="3"/>
  <c r="I120" i="3"/>
  <c r="F100" i="3"/>
  <c r="E97" i="3"/>
  <c r="I123" i="3"/>
  <c r="H120" i="3"/>
  <c r="E100" i="3"/>
  <c r="I96" i="3"/>
  <c r="H123" i="3"/>
  <c r="G120" i="3"/>
  <c r="I99" i="3"/>
  <c r="H96" i="3"/>
  <c r="G123" i="3"/>
  <c r="F120" i="3"/>
  <c r="H99" i="3"/>
  <c r="G96" i="3"/>
  <c r="F123" i="3"/>
  <c r="E120" i="3"/>
  <c r="G99" i="3"/>
  <c r="E123" i="3"/>
  <c r="I119" i="3"/>
  <c r="F99" i="3"/>
  <c r="E96" i="3"/>
  <c r="I122" i="3"/>
  <c r="H119" i="3"/>
  <c r="E99" i="3"/>
  <c r="G122" i="3"/>
  <c r="F119" i="3"/>
  <c r="H98" i="3"/>
  <c r="E122" i="3"/>
  <c r="F96" i="3"/>
  <c r="H122" i="3"/>
  <c r="F122" i="3"/>
  <c r="G119" i="3"/>
  <c r="E119" i="3"/>
  <c r="F98" i="3"/>
  <c r="I98" i="3"/>
  <c r="G98" i="3"/>
  <c r="D98" i="2"/>
  <c r="D19" i="3"/>
  <c r="F144" i="3"/>
  <c r="F143" i="3"/>
  <c r="B19" i="4"/>
  <c r="B14" i="4"/>
  <c r="B88" i="3"/>
  <c r="B89" i="3"/>
  <c r="B20" i="4"/>
  <c r="E98" i="2" l="1"/>
  <c r="D20" i="3"/>
  <c r="P13" i="4"/>
  <c r="P11" i="4"/>
  <c r="O10" i="4"/>
  <c r="K9" i="4"/>
  <c r="J8" i="4"/>
  <c r="I7" i="4"/>
  <c r="G109" i="3"/>
  <c r="F106" i="3"/>
  <c r="O13" i="4"/>
  <c r="O11" i="4"/>
  <c r="N10" i="4"/>
  <c r="J9" i="4"/>
  <c r="I8" i="4"/>
  <c r="H7" i="4"/>
  <c r="G145" i="3"/>
  <c r="F109" i="3"/>
  <c r="E106" i="3"/>
  <c r="N13" i="4"/>
  <c r="N11" i="4"/>
  <c r="K10" i="4"/>
  <c r="I9" i="4"/>
  <c r="H8" i="4"/>
  <c r="G7" i="4"/>
  <c r="F145" i="3"/>
  <c r="E109" i="3"/>
  <c r="K11" i="4"/>
  <c r="J10" i="4"/>
  <c r="H9" i="4"/>
  <c r="G8" i="4"/>
  <c r="F7" i="4"/>
  <c r="E145" i="3"/>
  <c r="I108" i="3"/>
  <c r="T12" i="4"/>
  <c r="J11" i="4"/>
  <c r="I10" i="4"/>
  <c r="G9" i="4"/>
  <c r="F8" i="4"/>
  <c r="E7" i="4"/>
  <c r="H108" i="3"/>
  <c r="S12" i="4"/>
  <c r="I11" i="4"/>
  <c r="H10" i="4"/>
  <c r="F9" i="4"/>
  <c r="E8" i="4"/>
  <c r="G108" i="3"/>
  <c r="R12" i="4"/>
  <c r="H11" i="4"/>
  <c r="G10" i="4"/>
  <c r="E9" i="4"/>
  <c r="F108" i="3"/>
  <c r="Q12" i="4"/>
  <c r="G11" i="4"/>
  <c r="F10" i="4"/>
  <c r="T7" i="4"/>
  <c r="E108" i="3"/>
  <c r="P12" i="4"/>
  <c r="F11" i="4"/>
  <c r="E10" i="4"/>
  <c r="T8" i="4"/>
  <c r="S7" i="4"/>
  <c r="I107" i="3"/>
  <c r="O12" i="4"/>
  <c r="E11" i="4"/>
  <c r="T9" i="4"/>
  <c r="S8" i="4"/>
  <c r="R7" i="4"/>
  <c r="I110" i="3"/>
  <c r="H107" i="3"/>
  <c r="N12" i="4"/>
  <c r="S9" i="4"/>
  <c r="R8" i="4"/>
  <c r="Q7" i="4"/>
  <c r="H110" i="3"/>
  <c r="G107" i="3"/>
  <c r="T10" i="4"/>
  <c r="R9" i="4"/>
  <c r="Q8" i="4"/>
  <c r="P7" i="4"/>
  <c r="G110" i="3"/>
  <c r="F107" i="3"/>
  <c r="S13" i="4"/>
  <c r="S11" i="4"/>
  <c r="R10" i="4"/>
  <c r="P9" i="4"/>
  <c r="O8" i="4"/>
  <c r="N7" i="4"/>
  <c r="C130" i="3"/>
  <c r="E110" i="3"/>
  <c r="I106" i="3"/>
  <c r="Q13" i="4"/>
  <c r="Q11" i="4"/>
  <c r="P10" i="4"/>
  <c r="N9" i="4"/>
  <c r="K8" i="4"/>
  <c r="J7" i="4"/>
  <c r="Q9" i="4"/>
  <c r="D130" i="3"/>
  <c r="O9" i="4"/>
  <c r="B130" i="3"/>
  <c r="P8" i="4"/>
  <c r="N8" i="4"/>
  <c r="O7" i="4"/>
  <c r="K7" i="4"/>
  <c r="F110" i="3"/>
  <c r="I109" i="3"/>
  <c r="H109" i="3"/>
  <c r="T13" i="4"/>
  <c r="E107" i="3"/>
  <c r="R13" i="4"/>
  <c r="H106" i="3"/>
  <c r="T11" i="4"/>
  <c r="G106" i="3"/>
  <c r="Q10" i="4"/>
  <c r="R11" i="4"/>
  <c r="S10" i="4"/>
  <c r="F98" i="2" l="1"/>
  <c r="D21" i="3"/>
  <c r="G98" i="2" l="1"/>
  <c r="D22" i="3"/>
  <c r="H98" i="2" l="1"/>
  <c r="D23" i="3"/>
  <c r="D24" i="3" l="1"/>
  <c r="I98" i="2"/>
  <c r="D25" i="3" l="1"/>
  <c r="J98" i="2"/>
  <c r="K98" i="2" l="1"/>
  <c r="D26" i="3"/>
  <c r="D27" i="3" l="1"/>
  <c r="L98" i="2"/>
  <c r="D28" i="3" l="1"/>
  <c r="M98" i="2"/>
  <c r="N98" i="2" l="1"/>
  <c r="D29" i="3"/>
  <c r="D30" i="3" l="1"/>
  <c r="O98" i="2"/>
  <c r="D31" i="3" l="1"/>
  <c r="P98" i="2"/>
  <c r="D32" i="3" l="1"/>
  <c r="Q98" i="2"/>
  <c r="D33" i="3" l="1"/>
  <c r="R98" i="2"/>
  <c r="S98" i="2" l="1"/>
  <c r="D34" i="3"/>
  <c r="T98" i="2" l="1"/>
  <c r="D35" i="3"/>
  <c r="U98" i="2" l="1"/>
  <c r="D36" i="3"/>
  <c r="V98" i="2" l="1"/>
  <c r="D37" i="3"/>
  <c r="W98" i="2" l="1"/>
  <c r="D38" i="3"/>
  <c r="X98" i="2" l="1"/>
  <c r="Y98" i="2" s="1"/>
  <c r="D39" i="3"/>
  <c r="D41" i="3" l="1"/>
  <c r="Z98" i="2"/>
  <c r="D42" i="3" l="1"/>
  <c r="AA98" i="2"/>
  <c r="D43" i="3" l="1"/>
  <c r="AB98" i="2"/>
  <c r="AC98" i="2" l="1"/>
  <c r="D44" i="3"/>
  <c r="AD98" i="2" l="1"/>
  <c r="D45" i="3"/>
  <c r="D46" i="3" l="1"/>
  <c r="AE98" i="2"/>
  <c r="D47" i="3" l="1"/>
  <c r="AF98" i="2"/>
  <c r="D48" i="3" l="1"/>
  <c r="AG98" i="2"/>
  <c r="D49" i="3" l="1"/>
  <c r="AH98" i="2"/>
  <c r="D50" i="3" l="1"/>
  <c r="AI98" i="2"/>
  <c r="AJ98" i="2" l="1"/>
  <c r="D51" i="3"/>
  <c r="AK98" i="2" l="1"/>
  <c r="AL98" i="2" s="1"/>
  <c r="AM98" i="2" s="1"/>
  <c r="D52" i="3"/>
  <c r="AN98" i="2" l="1"/>
  <c r="D55" i="3"/>
  <c r="AO98" i="2" l="1"/>
  <c r="D56" i="3"/>
  <c r="D57" i="3" l="1"/>
  <c r="AP98" i="2"/>
  <c r="D58" i="3" l="1"/>
  <c r="AQ98" i="2"/>
  <c r="D59" i="3" l="1"/>
  <c r="AR98" i="2"/>
  <c r="D60" i="3" l="1"/>
  <c r="AS98" i="2"/>
  <c r="AT98" i="2" l="1"/>
  <c r="D61" i="3"/>
  <c r="D62" i="3" l="1"/>
  <c r="AU98" i="2"/>
  <c r="AV98" i="2" s="1"/>
  <c r="AW98" i="2" s="1"/>
  <c r="AX98" i="2" l="1"/>
  <c r="D65" i="3"/>
  <c r="AY98" i="2" l="1"/>
  <c r="D66" i="3"/>
  <c r="AZ98" i="2" l="1"/>
  <c r="D67" i="3"/>
  <c r="BA98" i="2" l="1"/>
  <c r="D68" i="3"/>
  <c r="BB98" i="2" l="1"/>
  <c r="D69" i="3"/>
  <c r="D70" i="3" l="1"/>
  <c r="BC98" i="2"/>
  <c r="BD98" i="2" l="1"/>
  <c r="D71" i="3"/>
  <c r="D72" i="3" l="1"/>
  <c r="BE98" i="2"/>
  <c r="BF98" i="2" s="1"/>
  <c r="BG98" i="2" s="1"/>
  <c r="D75" i="3" l="1"/>
  <c r="BH98" i="2"/>
  <c r="BI98" i="2" l="1"/>
  <c r="D76" i="3"/>
  <c r="D77" i="3" l="1"/>
  <c r="BJ98" i="2"/>
  <c r="BK99" i="2" s="1"/>
  <c r="D78" i="3" l="1"/>
  <c r="BK98" i="2"/>
  <c r="B12" i="3" s="1"/>
  <c r="B90" i="3"/>
  <c r="B17" i="4" l="1"/>
  <c r="B87" i="3"/>
  <c r="E146" i="3"/>
  <c r="G146" i="3"/>
  <c r="F146" i="3"/>
  <c r="B21" i="4"/>
  <c r="I39" i="1"/>
  <c r="I38" i="1"/>
  <c r="I151" i="1" l="1"/>
  <c r="I148" i="1"/>
  <c r="I142" i="1" l="1"/>
  <c r="I161" i="1"/>
  <c r="I162" i="1" s="1"/>
  <c r="I1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U3" authorId="0" shapeId="0" xr:uid="{00000000-0006-0000-0000-000011000000}">
      <text>
        <r>
          <rPr>
            <sz val="10"/>
            <rFont val="Arial"/>
            <family val="2"/>
          </rPr>
          <t xml:space="preserve">28185m2 - 12140.61m2 = 16044.39m2
</t>
        </r>
      </text>
    </comment>
    <comment ref="Y17" authorId="0" shapeId="0" xr:uid="{00000000-0006-0000-0000-00001A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AW17" authorId="0" shapeId="0" xr:uid="{00000000-0006-0000-0000-000045000000}">
      <text>
        <r>
          <rPr>
            <sz val="10"/>
            <rFont val="Arial"/>
            <family val="2"/>
          </rPr>
          <t>Jeremy Tan Jin Bang:
KM Condition:
- 4.40ac for Comm Plot
- 0.94ac for R.Pond
Only maximize comm plot.</t>
        </r>
      </text>
    </comment>
    <comment ref="BA41" authorId="0" shapeId="0" xr:uid="{00000000-0006-0000-0000-000054000000}">
      <text>
        <r>
          <rPr>
            <sz val="10"/>
            <rFont val="Arial"/>
            <family val="2"/>
          </rPr>
          <t>Jeremy Tan Jin Bang:
2% NDV</t>
        </r>
      </text>
    </comment>
    <comment ref="AE58" authorId="0" shapeId="0" xr:uid="{00000000-0006-0000-0000-000021000000}">
      <text>
        <r>
          <rPr>
            <sz val="10"/>
            <rFont val="Arial"/>
            <family val="2"/>
          </rPr>
          <t>Hana Nordin:
3.25%</t>
        </r>
      </text>
    </comment>
    <comment ref="AE62" authorId="0" shapeId="0" xr:uid="{00000000-0006-0000-0000-000022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GDV for all units 173</t>
        </r>
      </text>
    </comment>
    <comment ref="AE63" authorId="0" shapeId="0" xr:uid="{00000000-0006-0000-0000-000023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NDV for all units 173</t>
        </r>
      </text>
    </comment>
    <comment ref="U72" authorId="0" shapeId="0" xr:uid="{00000000-0006-0000-0000-000013000000}">
      <text>
        <r>
          <rPr>
            <sz val="10"/>
            <rFont val="Arial"/>
            <family val="2"/>
          </rPr>
          <t>Khairul Nadzrin Bin Hashim:
will be based on RM50 psf</t>
        </r>
      </text>
    </comment>
    <comment ref="M79" authorId="0" shapeId="0" xr:uid="{00000000-0006-0000-0000-000005000000}">
      <text>
        <r>
          <rPr>
            <sz val="10"/>
            <rFont val="Arial"/>
            <family val="2"/>
          </rPr>
          <t xml:space="preserve">35,815,413 - P1 common infra - common landscape = 33,516,525 ie Prinsiptek contract
</t>
        </r>
      </text>
    </comment>
    <comment ref="BA93" authorId="0" shapeId="0" xr:uid="{00000000-0006-0000-0000-00004E000000}">
      <text>
        <r>
          <rPr>
            <sz val="10"/>
            <rFont val="Arial"/>
            <family val="2"/>
          </rPr>
          <t>Jeremy Tan Jin Bang:
Follow QS estimate RM1.69 psf to GFA 1477653sqft</t>
        </r>
      </text>
    </comment>
    <comment ref="I96" authorId="0" shapeId="0" xr:uid="{00000000-0006-0000-0000-000001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K96" authorId="0" shapeId="0" xr:uid="{00000000-0006-0000-0000-00000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M96" authorId="0" shapeId="0" xr:uid="{00000000-0006-0000-0000-00000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O96" authorId="0" shapeId="0" xr:uid="{00000000-0006-0000-0000-000008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Q96" authorId="0" shapeId="0" xr:uid="{00000000-0006-0000-0000-00000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S96" authorId="0" shapeId="0" xr:uid="{00000000-0006-0000-0000-00000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U96" authorId="0" shapeId="0" xr:uid="{00000000-0006-0000-0000-00001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W96" authorId="0" shapeId="0" xr:uid="{00000000-0006-0000-0000-00001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Y96" authorId="0" shapeId="0" xr:uid="{00000000-0006-0000-0000-00001B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C96" authorId="0" shapeId="0" xr:uid="{00000000-0006-0000-0000-00001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E96" authorId="0" shapeId="0" xr:uid="{00000000-0006-0000-0000-000024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G96" authorId="0" shapeId="0" xr:uid="{00000000-0006-0000-0000-00002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I96" authorId="0" shapeId="0" xr:uid="{00000000-0006-0000-0000-00003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K96" authorId="0" shapeId="0" xr:uid="{00000000-0006-0000-0000-000036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M96" authorId="0" shapeId="0" xr:uid="{00000000-0006-0000-0000-00003A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O96" authorId="0" shapeId="0" xr:uid="{00000000-0006-0000-0000-00003C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Q96" authorId="0" shapeId="0" xr:uid="{00000000-0006-0000-0000-00003E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S96" authorId="0" shapeId="0" xr:uid="{00000000-0006-0000-0000-000040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U96" authorId="0" shapeId="0" xr:uid="{00000000-0006-0000-0000-000043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AW96" authorId="0" shapeId="0" xr:uid="{00000000-0006-0000-0000-000047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96" authorId="0" shapeId="0" xr:uid="{00000000-0006-0000-0000-00004F000000}">
      <text>
        <r>
          <rPr>
            <sz val="10"/>
            <rFont val="Arial"/>
            <family val="2"/>
          </rPr>
          <t xml:space="preserve">64.6+114.67=179.27ac + 20.3ac land for sale = 199.57ac
</t>
        </r>
      </text>
    </comment>
    <comment ref="BA99" authorId="0" shapeId="0" xr:uid="{00000000-0006-0000-0000-000050000000}">
      <text>
        <r>
          <rPr>
            <sz val="10"/>
            <rFont val="Arial"/>
            <family val="2"/>
          </rPr>
          <t>Jeremy Tan Jin Bang:
2% instead of 3%</t>
        </r>
      </text>
    </comment>
    <comment ref="Q100" authorId="0" shapeId="0" xr:uid="{00000000-0006-0000-0000-00000B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S100" authorId="0" shapeId="0" xr:uid="{00000000-0006-0000-0000-00000F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W100" authorId="0" shapeId="0" xr:uid="{00000000-0006-0000-0000-00001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Y100" authorId="0" shapeId="0" xr:uid="{00000000-0006-0000-0000-00001C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W100" authorId="0" shapeId="0" xr:uid="{00000000-0006-0000-0000-000048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Assume commercial area is 10% of total GFA</t>
        </r>
      </text>
    </comment>
    <comment ref="AZ109" authorId="0" shapeId="0" xr:uid="{00000000-0006-0000-0000-00004A000000}">
      <text>
        <r>
          <rPr>
            <sz val="10"/>
            <rFont val="Arial"/>
            <family val="2"/>
          </rPr>
          <t>Hana Nordin:
savings</t>
        </r>
      </text>
    </comment>
    <comment ref="BA112" authorId="0" shapeId="0" xr:uid="{00000000-0006-0000-0000-000051000000}">
      <text>
        <r>
          <rPr>
            <sz val="10"/>
            <rFont val="Arial"/>
            <family val="2"/>
          </rPr>
          <t>Jeremy Tan Jin Bang:
1% of GDV</t>
        </r>
      </text>
    </comment>
    <comment ref="I126" authorId="0" shapeId="0" xr:uid="{00000000-0006-0000-0000-00000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K126" authorId="0" shapeId="0" xr:uid="{00000000-0006-0000-0000-00000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M126" authorId="0" shapeId="0" xr:uid="{00000000-0006-0000-0000-00000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O126" authorId="0" shapeId="0" xr:uid="{00000000-0006-0000-0000-00000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Q126" authorId="0" shapeId="0" xr:uid="{00000000-0006-0000-0000-00000C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S126" authorId="0" shapeId="0" xr:uid="{00000000-0006-0000-0000-000010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U126" authorId="0" shapeId="0" xr:uid="{00000000-0006-0000-0000-00001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W126" authorId="0" shapeId="0" xr:uid="{00000000-0006-0000-0000-00001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Y126" authorId="0" shapeId="0" xr:uid="{00000000-0006-0000-0000-00001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C126" authorId="0" shapeId="0" xr:uid="{00000000-0006-0000-0000-00001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E126" authorId="0" shapeId="0" xr:uid="{00000000-0006-0000-0000-000025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G126" authorId="0" shapeId="0" xr:uid="{00000000-0006-0000-0000-00002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I126" authorId="0" shapeId="0" xr:uid="{00000000-0006-0000-0000-00003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K126" authorId="0" shapeId="0" xr:uid="{00000000-0006-0000-0000-000037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M126" authorId="0" shapeId="0" xr:uid="{00000000-0006-0000-0000-00003B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O126" authorId="0" shapeId="0" xr:uid="{00000000-0006-0000-0000-00003D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Q126" authorId="0" shapeId="0" xr:uid="{00000000-0006-0000-0000-00003F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S126" authorId="0" shapeId="0" xr:uid="{00000000-0006-0000-0000-000041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U126" authorId="0" shapeId="0" xr:uid="{00000000-0006-0000-0000-000044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AW126" authorId="0" shapeId="0" xr:uid="{00000000-0006-0000-0000-000049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26" authorId="0" shapeId="0" xr:uid="{00000000-0006-0000-0000-000052000000}">
      <text>
        <r>
          <rPr>
            <sz val="10"/>
            <rFont val="Arial"/>
            <family val="2"/>
          </rPr>
          <t xml:space="preserve">64.6+114.67-3=176.27ac
</t>
        </r>
      </text>
    </comment>
    <comment ref="BA129" authorId="0" shapeId="0" xr:uid="{00000000-0006-0000-0000-000053000000}">
      <text>
        <r>
          <rPr>
            <sz val="10"/>
            <rFont val="Arial"/>
            <family val="2"/>
          </rPr>
          <t>Jeremy Tan Jin Bang:
2% of GCC</t>
        </r>
      </text>
    </comment>
    <comment ref="AZ137" authorId="0" shapeId="0" xr:uid="{00000000-0006-0000-0000-00004B000000}">
      <text>
        <r>
          <rPr>
            <sz val="10"/>
            <rFont val="Arial"/>
            <family val="2"/>
          </rPr>
          <t>Hana Nordin:
savings</t>
        </r>
      </text>
    </comment>
  </commentList>
</comments>
</file>

<file path=xl/sharedStrings.xml><?xml version="1.0" encoding="utf-8"?>
<sst xmlns="http://schemas.openxmlformats.org/spreadsheetml/2006/main" count="1348" uniqueCount="556">
  <si>
    <t xml:space="preserve">Land Cost </t>
  </si>
  <si>
    <t>Acre to Sqft</t>
  </si>
  <si>
    <t>Phase 1b</t>
  </si>
  <si>
    <t>Phase 1c</t>
  </si>
  <si>
    <t>Phase 1d</t>
  </si>
  <si>
    <t>Phase 1e</t>
  </si>
  <si>
    <t>Phase 1f</t>
  </si>
  <si>
    <t>Phase 1g</t>
  </si>
  <si>
    <t>Phase 1h</t>
  </si>
  <si>
    <t xml:space="preserve">Phase 2a </t>
  </si>
  <si>
    <t>Phase 2B</t>
  </si>
  <si>
    <t>Phase 2c</t>
  </si>
  <si>
    <t>Phase 2d</t>
  </si>
  <si>
    <t>Phase 2e</t>
  </si>
  <si>
    <t>Phase 2f</t>
  </si>
  <si>
    <t>Phase 2g1</t>
  </si>
  <si>
    <t>Phase 2g2</t>
  </si>
  <si>
    <t>Phase 2g3</t>
  </si>
  <si>
    <t>Phase 2h</t>
  </si>
  <si>
    <t>LAUNCH DATE</t>
  </si>
  <si>
    <t>TBC</t>
  </si>
  <si>
    <t>TOTAL</t>
  </si>
  <si>
    <t>Phases Land Area (acres) =&gt;</t>
  </si>
  <si>
    <t>Phases Land Area (square meter) =&gt;</t>
  </si>
  <si>
    <t>Phases Land Area (square feet) =&gt;</t>
  </si>
  <si>
    <t>A</t>
  </si>
  <si>
    <t>GROSS DEVELOPMENT VALUE</t>
  </si>
  <si>
    <t>Mixed Comm</t>
  </si>
  <si>
    <t>Type of Development</t>
  </si>
  <si>
    <t>3 Sty Superlink</t>
  </si>
  <si>
    <t>Affordable Home</t>
  </si>
  <si>
    <t>Commercial</t>
  </si>
  <si>
    <t>S. Apartment</t>
  </si>
  <si>
    <t>S.Apartment</t>
  </si>
  <si>
    <t>2 Sty Linkhouse</t>
  </si>
  <si>
    <t>2 Sty Semi-D</t>
  </si>
  <si>
    <t xml:space="preserve"> Zero Lot Bungalow</t>
  </si>
  <si>
    <t>Condominium</t>
  </si>
  <si>
    <t>Recreational</t>
  </si>
  <si>
    <t>Terrace House</t>
  </si>
  <si>
    <t>Commercial Shoplot</t>
  </si>
  <si>
    <t xml:space="preserve">Total No of Units                                </t>
  </si>
  <si>
    <t xml:space="preserve">       a) Residential</t>
  </si>
  <si>
    <t>Shop-lot</t>
  </si>
  <si>
    <t>Retail Shoplots</t>
  </si>
  <si>
    <t>High Rise</t>
  </si>
  <si>
    <t>Park</t>
  </si>
  <si>
    <t xml:space="preserve">  a) Residential</t>
  </si>
  <si>
    <t xml:space="preserve">Net Selling Price psf                                        </t>
  </si>
  <si>
    <t xml:space="preserve"> a) Residential</t>
  </si>
  <si>
    <t>Unit Avg size</t>
  </si>
  <si>
    <t>Units</t>
  </si>
  <si>
    <t>Average Price/unit (Nett)</t>
  </si>
  <si>
    <t>GROSS DEVELOPMENT VALUE (GDV)</t>
  </si>
  <si>
    <t>of NDV</t>
  </si>
  <si>
    <t>*Net Development Value (NDV) have to be same with S&amp;M based on net selling price after deduction of all discounts (bumi discounts &amp; release penalty), incentives, early birds, Legal Fees &amp; any other items not stated in this Feasibility. Sales have to mark up the selling price accordingly.</t>
  </si>
  <si>
    <t>NET DEVELOPMENT VALUE (NDV)</t>
  </si>
  <si>
    <t>Net Selling Price psf</t>
  </si>
  <si>
    <t>B</t>
  </si>
  <si>
    <t>GROSS DEVELOPMENT COST (GDC)</t>
  </si>
  <si>
    <t>LAND &amp; OTHER RELATED COSTS</t>
  </si>
  <si>
    <t>Land Conversion Premium</t>
  </si>
  <si>
    <t>15% or 30%</t>
  </si>
  <si>
    <t xml:space="preserve">of Net Land Value </t>
  </si>
  <si>
    <t>Quit Rent</t>
  </si>
  <si>
    <t>Assessment</t>
  </si>
  <si>
    <t>GROSS CONSTRUCTION COST (GCC)</t>
  </si>
  <si>
    <t>% of NDV</t>
  </si>
  <si>
    <t>Construction Cost psf</t>
  </si>
  <si>
    <t>Building Work</t>
  </si>
  <si>
    <t xml:space="preserve">Residential </t>
  </si>
  <si>
    <t>Affordable Housing</t>
  </si>
  <si>
    <t>Commercial Shoplots</t>
  </si>
  <si>
    <t>Earthworks to platform level, Retaining structure, External &amp; Internal Infrastructure</t>
  </si>
  <si>
    <t xml:space="preserve">Soft Landscape &amp; Hard Landscape </t>
  </si>
  <si>
    <t>Clubhouse / Show Units</t>
  </si>
  <si>
    <t>Construction Cost (CC)</t>
  </si>
  <si>
    <t>Preliminary</t>
  </si>
  <si>
    <t>of Construction Cost</t>
  </si>
  <si>
    <t>Contingency</t>
  </si>
  <si>
    <t>SST</t>
  </si>
  <si>
    <t>Commercial Only</t>
  </si>
  <si>
    <t>STRATA TITLE APPLICATION FEES &amp; SURVEY FEES</t>
  </si>
  <si>
    <t>PLANNING SUBMISSION FEES &amp; BUILDING PLAN FEES</t>
  </si>
  <si>
    <t>CONTRIBUTION TO AUTHORITIES</t>
  </si>
  <si>
    <t>Development Charges</t>
  </si>
  <si>
    <t>SYABAS</t>
  </si>
  <si>
    <t>IWK &amp; JPS</t>
  </si>
  <si>
    <t xml:space="preserve">TNB </t>
  </si>
  <si>
    <t>per Unit</t>
  </si>
  <si>
    <t>TM Fibre Optic</t>
  </si>
  <si>
    <t>Road &amp; Drainage</t>
  </si>
  <si>
    <t>per Acre</t>
  </si>
  <si>
    <t>School Contribution</t>
  </si>
  <si>
    <t>Improvement Service Fund ("ISF")</t>
  </si>
  <si>
    <t>CONSULTANCY FEES</t>
  </si>
  <si>
    <t>of GCC</t>
  </si>
  <si>
    <t>OTHER CONSTRUCTION COST</t>
  </si>
  <si>
    <t>Soil Investigation</t>
  </si>
  <si>
    <t>SITE ADMINISTRATION COST</t>
  </si>
  <si>
    <t>SHORT TERM OPERATING COST - I.E. SITE SECURITY, SERVICE CHARGES FOR PROVISIONAL BLOCKS</t>
  </si>
  <si>
    <t>MARKETING &amp; SELLING EXPENSES</t>
  </si>
  <si>
    <t>Marketing Expenses</t>
  </si>
  <si>
    <t xml:space="preserve">    General Marketing Expenses</t>
  </si>
  <si>
    <t xml:space="preserve">    Architectural Models</t>
  </si>
  <si>
    <t xml:space="preserve">    Market Research</t>
  </si>
  <si>
    <t xml:space="preserve">    Construction Sales Gallery </t>
  </si>
  <si>
    <t xml:space="preserve">Yenom Final Acc SG,G/Houseinc landscape </t>
  </si>
  <si>
    <t>Land Cost Interest</t>
  </si>
  <si>
    <t>of Land Cost</t>
  </si>
  <si>
    <t>Construction Loan Interest</t>
  </si>
  <si>
    <t>PROJECT DEPARTMENT OVERHEAD</t>
  </si>
  <si>
    <t>HEAD OFFICE OVERHEAD</t>
  </si>
  <si>
    <t>MARKETING DEPARTMENT OVERHEAD</t>
  </si>
  <si>
    <t>CORPORATE OVERHEAD</t>
  </si>
  <si>
    <t xml:space="preserve">NET DEVELOPMENT PROFIT (NDP) AFTER HEAD OFFICE OVERHEAD </t>
  </si>
  <si>
    <t>% (NDP/NDV)</t>
  </si>
  <si>
    <t>BRDB LAND — MONTHLY CASHFLOW MODEL (RM'000)</t>
  </si>
  <si>
    <t>All values RM'000  |  Blue = inputs  |  Black = formulas  |  Green = linked from Feasibility Study</t>
  </si>
  <si>
    <t>Year 1</t>
  </si>
  <si>
    <t>Year 2</t>
  </si>
  <si>
    <t>Year 3</t>
  </si>
  <si>
    <t>Year 4</t>
  </si>
  <si>
    <t>Year 5</t>
  </si>
  <si>
    <t>DESCRIPTION</t>
  </si>
  <si>
    <t>BASIS / TOTAL (RM'000)</t>
  </si>
  <si>
    <t>Jan
'26</t>
  </si>
  <si>
    <t>Feb
'26</t>
  </si>
  <si>
    <t>Mar
'26</t>
  </si>
  <si>
    <t>Apr
'26</t>
  </si>
  <si>
    <t>May
'26</t>
  </si>
  <si>
    <t>Jun
'26</t>
  </si>
  <si>
    <t>Jul
'26</t>
  </si>
  <si>
    <t>Aug
'26</t>
  </si>
  <si>
    <t>Sep
'26</t>
  </si>
  <si>
    <t>Oct
'26</t>
  </si>
  <si>
    <t>Nov
'26</t>
  </si>
  <si>
    <t>Dec
'26</t>
  </si>
  <si>
    <t>Jan
'27</t>
  </si>
  <si>
    <t>Feb
'27</t>
  </si>
  <si>
    <t>Mar
'27</t>
  </si>
  <si>
    <t>Apr
'27</t>
  </si>
  <si>
    <t>May
'27</t>
  </si>
  <si>
    <t>Jun
'27</t>
  </si>
  <si>
    <t>Jul
'27</t>
  </si>
  <si>
    <t>Aug
'27</t>
  </si>
  <si>
    <t>Sep
'27</t>
  </si>
  <si>
    <t>Oct
'27</t>
  </si>
  <si>
    <t>Nov
'27</t>
  </si>
  <si>
    <t>Dec
'27</t>
  </si>
  <si>
    <t>Jan
'28</t>
  </si>
  <si>
    <t>Feb
'28</t>
  </si>
  <si>
    <t>Mar
'28</t>
  </si>
  <si>
    <t>Apr
'28</t>
  </si>
  <si>
    <t>May
'28</t>
  </si>
  <si>
    <t>Jun
'28</t>
  </si>
  <si>
    <t>Jul
'28</t>
  </si>
  <si>
    <t>Aug
'28</t>
  </si>
  <si>
    <t>Sep
'28</t>
  </si>
  <si>
    <t>Oct
'28</t>
  </si>
  <si>
    <t>Nov
'28</t>
  </si>
  <si>
    <t>Dec
'28</t>
  </si>
  <si>
    <t>Jan
'29</t>
  </si>
  <si>
    <t>Feb
'29</t>
  </si>
  <si>
    <t>Mar
'29</t>
  </si>
  <si>
    <t>Apr
'29</t>
  </si>
  <si>
    <t>May
'29</t>
  </si>
  <si>
    <t>Jun
'29</t>
  </si>
  <si>
    <t>Jul
'29</t>
  </si>
  <si>
    <t>Aug
'29</t>
  </si>
  <si>
    <t>Sep
'29</t>
  </si>
  <si>
    <t>Oct
'29</t>
  </si>
  <si>
    <t>Nov
'29</t>
  </si>
  <si>
    <t>Dec
'29</t>
  </si>
  <si>
    <t>Jan
'30</t>
  </si>
  <si>
    <t>Feb
'30</t>
  </si>
  <si>
    <t>Mar
'30</t>
  </si>
  <si>
    <t>Apr
'30</t>
  </si>
  <si>
    <t>May
'30</t>
  </si>
  <si>
    <t>Jun
'30</t>
  </si>
  <si>
    <t>Jul
'30</t>
  </si>
  <si>
    <t>Aug
'30</t>
  </si>
  <si>
    <t>Sep
'30</t>
  </si>
  <si>
    <t>Oct
'30</t>
  </si>
  <si>
    <t>Nov
'30</t>
  </si>
  <si>
    <t>Dec
'30</t>
  </si>
  <si>
    <t>Start date</t>
  </si>
  <si>
    <t>A. PROJECT ASSUMPTIONS</t>
  </si>
  <si>
    <t>Project name</t>
  </si>
  <si>
    <t>BRDB Land Development</t>
  </si>
  <si>
    <t>Development period (years)</t>
  </si>
  <si>
    <t>Project start</t>
  </si>
  <si>
    <t>January 2026</t>
  </si>
  <si>
    <t>Total GDV (RM'000)</t>
  </si>
  <si>
    <t>Total NDV (RM'000)</t>
  </si>
  <si>
    <t>Total GDC (RM'000)</t>
  </si>
  <si>
    <t>Total NDP (RM'000)</t>
  </si>
  <si>
    <t>Land cost (RM'000)</t>
  </si>
  <si>
    <t>Construction cost (RM'000)</t>
  </si>
  <si>
    <t>Annual interest rate</t>
  </si>
  <si>
    <t>Target IRR (hurdle)</t>
  </si>
  <si>
    <t>B. MONTHLY SALES ABSORPTION SCHEDULE (% of NDV collected per month)</t>
  </si>
  <si>
    <t>S-curve absorption — slow launch M1–M6, peak Y2–Y3, tail-off Y4–Y5. Edit % in blue.</t>
  </si>
  <si>
    <t>Phase</t>
  </si>
  <si>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</si>
  <si>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</si>
  <si>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</si>
  <si>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</si>
  <si>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</si>
  <si>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</si>
  <si>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</si>
  <si>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</si>
  <si>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</si>
  <si>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</si>
  <si>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</si>
  <si>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</si>
  <si>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</si>
  <si>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%</t>
  </si>
  <si>
    <t>Ph 1a</t>
  </si>
  <si>
    <t>residential</t>
  </si>
  <si>
    <t>Ph 1b</t>
  </si>
  <si>
    <t>Ph 1c</t>
  </si>
  <si>
    <t>affordable</t>
  </si>
  <si>
    <t>Ph 1d</t>
  </si>
  <si>
    <t>Ph 1e</t>
  </si>
  <si>
    <t>commercial</t>
  </si>
  <si>
    <t>Ph 1f</t>
  </si>
  <si>
    <t>Ph 1g</t>
  </si>
  <si>
    <t>Ph 1h</t>
  </si>
  <si>
    <t>Ph 2a</t>
  </si>
  <si>
    <t>Ph 2b</t>
  </si>
  <si>
    <t>Ph 2c</t>
  </si>
  <si>
    <t>Ph 2d</t>
  </si>
  <si>
    <t>Ph 2e</t>
  </si>
  <si>
    <t>Ph 2f</t>
  </si>
  <si>
    <t>Ph 2g1</t>
  </si>
  <si>
    <t>Ph 2g2</t>
  </si>
  <si>
    <t>Ph 2h</t>
  </si>
  <si>
    <t>Ph 2j</t>
  </si>
  <si>
    <t>C. SALES RECEIPTS (RM'000) — NDV × Monthly Absorption %</t>
  </si>
  <si>
    <t>NDV (RM'000)</t>
  </si>
  <si>
    <t>Total</t>
  </si>
  <si>
    <t>TOTAL SALES RECEIPTS</t>
  </si>
  <si>
    <t>D. LAND COST (RM'000) — Deposit M1, Balance spread M2–M12</t>
  </si>
  <si>
    <t>Item</t>
  </si>
  <si>
    <t>Deposit (10%)</t>
  </si>
  <si>
    <t>-</t>
  </si>
  <si>
    <t>Balance SPA — M2–M6</t>
  </si>
  <si>
    <t>Balance SPA — M7–M12</t>
  </si>
  <si>
    <t>Land conversion premium</t>
  </si>
  <si>
    <t>TOTAL LAND COST</t>
  </si>
  <si>
    <t>E. CONSTRUCTION COST (RM'000) — S-curve drawdown over 48 months</t>
  </si>
  <si>
    <t>Total (RM'000)</t>
  </si>
  <si>
    <t>Building works — residential (55%)</t>
  </si>
  <si>
    <t>Building works — commercial (15%)</t>
  </si>
  <si>
    <t>Earthworks &amp; infrastructure (15%)</t>
  </si>
  <si>
    <t>Prelims &amp; contingency (13%)</t>
  </si>
  <si>
    <t>Consultancy fees (6.5% of GCC)</t>
  </si>
  <si>
    <t>TOTAL CONSTRUCTION COST</t>
  </si>
  <si>
    <t>F. OVERHEADS &amp; MARKETING (RM'000) — spread evenly over 60 months</t>
  </si>
  <si>
    <t>Marketing &amp; selling expenses (4% NDV)</t>
  </si>
  <si>
    <t>Project dept overhead (1.4% NDV)</t>
  </si>
  <si>
    <t>Head office overhead (3% NDV)</t>
  </si>
  <si>
    <t>Corporate overhead (1% NDV)</t>
  </si>
  <si>
    <t>Site admin cost (2% GCC)</t>
  </si>
  <si>
    <t>Statutory contributions (3% NDV)</t>
  </si>
  <si>
    <t>TOTAL OVERHEADS &amp; MARKETING</t>
  </si>
  <si>
    <t>TOTAL OUTFLOWS</t>
  </si>
  <si>
    <t>G. NET CASHFLOW SUMMARY</t>
  </si>
  <si>
    <t>Total inflows (sales receipts)</t>
  </si>
  <si>
    <t>Total outflows</t>
  </si>
  <si>
    <t>NET CASHFLOW</t>
  </si>
  <si>
    <t>CUMULATIVE CASHFLOW</t>
  </si>
  <si>
    <t>PEAK EQUITY EXPOSURE (minimum cumulative cashflow)</t>
  </si>
  <si>
    <t>BRDB LAND — RETURNS &amp; SENSITIVITY ANALYSIS</t>
  </si>
  <si>
    <t>All values RM'000  |  XIRR on 60 monthly cashflows  |  Blue = inputs  |  Green = linked from other sheets</t>
  </si>
  <si>
    <t>A. PROJECT SUMMARY</t>
  </si>
  <si>
    <t>Gross dev cost — GDC (RM'000)</t>
  </si>
  <si>
    <t>Net dev profit — NDP (RM'000)</t>
  </si>
  <si>
    <t>Dev margin % on NDV</t>
  </si>
  <si>
    <t>Peak equity exposure (RM'000)</t>
  </si>
  <si>
    <t>B. EQUITY CASHFLOW SCHEDULE — Input for XIRR</t>
  </si>
  <si>
    <t>Equity invested = outflows up to peak; equity repaid = inflows after peak. Dates set to quarterly from project start.</t>
  </si>
  <si>
    <t>Quarter</t>
  </si>
  <si>
    <t>Date</t>
  </si>
  <si>
    <t>Net CF (RM'000)</t>
  </si>
  <si>
    <t>Cumulative (RM'000)</t>
  </si>
  <si>
    <t>Y1 M01</t>
  </si>
  <si>
    <t>Y1 M02</t>
  </si>
  <si>
    <t>Y1 M03</t>
  </si>
  <si>
    <t>Y1 M04</t>
  </si>
  <si>
    <t>Y1 M05</t>
  </si>
  <si>
    <t>Y1 M06</t>
  </si>
  <si>
    <t>Y1 M07</t>
  </si>
  <si>
    <t>Y1 M08</t>
  </si>
  <si>
    <t>Y1 M09</t>
  </si>
  <si>
    <t>Y1 M10</t>
  </si>
  <si>
    <t>Y1 M11</t>
  </si>
  <si>
    <t>Y1 M12</t>
  </si>
  <si>
    <t>Y2 M01</t>
  </si>
  <si>
    <t>Y2 M02</t>
  </si>
  <si>
    <t>Y2 M03</t>
  </si>
  <si>
    <t>Y2 M04</t>
  </si>
  <si>
    <t>Y2 M05</t>
  </si>
  <si>
    <t>Y2 M06</t>
  </si>
  <si>
    <t>Y2 M07</t>
  </si>
  <si>
    <t>Y2 M08</t>
  </si>
  <si>
    <t>Y2 M09</t>
  </si>
  <si>
    <t>Y2 M10</t>
  </si>
  <si>
    <t>Y2 M11</t>
  </si>
  <si>
    <t>Y2 M12</t>
  </si>
  <si>
    <t>Y3 M01</t>
  </si>
  <si>
    <t>Y3 M02</t>
  </si>
  <si>
    <t>Y3 M03</t>
  </si>
  <si>
    <t>Y3 M04</t>
  </si>
  <si>
    <t>Y3 M05</t>
  </si>
  <si>
    <t>Y3 M06</t>
  </si>
  <si>
    <t>Y3 M07</t>
  </si>
  <si>
    <t>Y3 M08</t>
  </si>
  <si>
    <t>Y3 M09</t>
  </si>
  <si>
    <t>Y3 M10</t>
  </si>
  <si>
    <t>Y3 M11</t>
  </si>
  <si>
    <t>Y3 M12</t>
  </si>
  <si>
    <t>Y4 M01</t>
  </si>
  <si>
    <t>Y4 M02</t>
  </si>
  <si>
    <t>Y4 M03</t>
  </si>
  <si>
    <t>Y4 M04</t>
  </si>
  <si>
    <t>Y4 M05</t>
  </si>
  <si>
    <t>Y4 M06</t>
  </si>
  <si>
    <t>Y4 M07</t>
  </si>
  <si>
    <t>Y4 M08</t>
  </si>
  <si>
    <t>Y4 M09</t>
  </si>
  <si>
    <t>Y4 M10</t>
  </si>
  <si>
    <t>Y4 M11</t>
  </si>
  <si>
    <t>Y4 M12</t>
  </si>
  <si>
    <t>Y5 M01</t>
  </si>
  <si>
    <t>Y5 M02</t>
  </si>
  <si>
    <t>Y5 M03</t>
  </si>
  <si>
    <t>Y5 M04</t>
  </si>
  <si>
    <t>Y5 M05</t>
  </si>
  <si>
    <t>Y5 M06</t>
  </si>
  <si>
    <t>Y5 M07</t>
  </si>
  <si>
    <t>Y5 M08</t>
  </si>
  <si>
    <t>Y5 M09</t>
  </si>
  <si>
    <t>Y5 M10</t>
  </si>
  <si>
    <t>Y5 M11</t>
  </si>
  <si>
    <t>Y5 M12</t>
  </si>
  <si>
    <t>C. RETURN METRICS — Based on 60 monthly cashflows (XIRR &amp; NPV)</t>
  </si>
  <si>
    <t>XIRR annualises internal rate of return on exact dated cashflows. NPV uses monthly discount rate. MOIC = total cash return ÷ peak equity invested.</t>
  </si>
  <si>
    <t>Project IRR  (XIRR — 60 monthly CFs)</t>
  </si>
  <si>
    <t>Equity IRR  (XIRR on equity cashflows)</t>
  </si>
  <si>
    <t>NPV @ 12% hurdle  (RM'000)</t>
  </si>
  <si>
    <t>NPV @ 15% hurdle  (RM'000)</t>
  </si>
  <si>
    <t>NPV @ 18% hurdle  (RM'000)</t>
  </si>
  <si>
    <t>Total return  NDV − GDC  (RM'000)</t>
  </si>
  <si>
    <t>Equity multiple  MOIC</t>
  </si>
  <si>
    <t>Dev margin % on GDV</t>
  </si>
  <si>
    <t>Payback period  (months to positive cumulative CF)</t>
  </si>
  <si>
    <t>D. IRR SENSITIVITY — ASP psf vs Absorption Rate  (Excel Data Table)</t>
  </si>
  <si>
    <t>Yellow = base case (RM680 psf / 80% absorption). Green ≥ 16% hurdle | Amber 12–15.9% | Red &lt; 12%. This is a live Excel Data Table — changing Cashflow inputs auto-updates all cells.</t>
  </si>
  <si>
    <t>Abs →  /  ASP ↓</t>
  </si>
  <si>
    <t>60%</t>
  </si>
  <si>
    <t>70%</t>
  </si>
  <si>
    <t>★ 80%</t>
  </si>
  <si>
    <t>90%</t>
  </si>
  <si>
    <t>100%</t>
  </si>
  <si>
    <t>RM 544
(−20%)</t>
  </si>
  <si>
    <t>RM 612
(−10%)</t>
  </si>
  <si>
    <t>RM 680
(Base)</t>
  </si>
  <si>
    <t>RM 748
(+10%)</t>
  </si>
  <si>
    <t>RM 816
(+20%)</t>
  </si>
  <si>
    <t>Colour guide:</t>
  </si>
  <si>
    <t>≥ 16% — above hurdle</t>
  </si>
  <si>
    <t>12–15.9% — below hurdle</t>
  </si>
  <si>
    <t>&lt; 12% — significantly below</t>
  </si>
  <si>
    <t>E. NDP MARGIN SENSITIVITY — ASP psf vs Absorption Rate</t>
  </si>
  <si>
    <t>NDP margin = (NDV_adj − GDC) ÷ NDV_adj. NDV adjusted by ASP and absorption factors relative to base case. GDC held constant.</t>
  </si>
  <si>
    <t>≥ 25% margin</t>
  </si>
  <si>
    <t>15–24.9%</t>
  </si>
  <si>
    <t>&lt; 15%</t>
  </si>
  <si>
    <t>F. NPV SENSITIVITY — Discount Rate vs Absorption Rate  (RM'000)</t>
  </si>
  <si>
    <t>Monthly NPV scaled by absorption factor. Shows how NPV changes as both required return and sales velocity vary.</t>
  </si>
  <si>
    <t>Abs →
Discount ↓</t>
  </si>
  <si>
    <t>10%</t>
  </si>
  <si>
    <t>12%</t>
  </si>
  <si>
    <t>15%  (hurdle)</t>
  </si>
  <si>
    <t>18%</t>
  </si>
  <si>
    <t>20%</t>
  </si>
  <si>
    <t>G. LAND COST BREAKEVEN — Max land cost to achieve target IRR  (RM'000)</t>
  </si>
  <si>
    <t>Max land = NDV_adj × (1 − target margin) − GDC_ex_land.  GDC_ex_land = GDC − current land cost.  Target margin = 25%.  Use these figures in SPA price negotiation.</t>
  </si>
  <si>
    <t>ASP psf</t>
  </si>
  <si>
    <t>Base NDV</t>
  </si>
  <si>
    <t>NDV_adj</t>
  </si>
  <si>
    <t>GDC ex-land</t>
  </si>
  <si>
    <t>Max land (25% margin)</t>
  </si>
  <si>
    <t>Max land psf</t>
  </si>
  <si>
    <t>vs current</t>
  </si>
  <si>
    <t>Deal indicator</t>
  </si>
  <si>
    <t>RM 544</t>
  </si>
  <si>
    <t>RM 680</t>
  </si>
  <si>
    <t>RM 748</t>
  </si>
  <si>
    <t>RM 816</t>
  </si>
  <si>
    <t>H. SCENARIO COMPARISON — Bear / Base / Bull</t>
  </si>
  <si>
    <t>Bear: ASP −20%, absorption 60%, 1yr delay. Base: as modelled. Bull: ASP +15%, absorption 100%, faster launch.</t>
  </si>
  <si>
    <t>Metric</t>
  </si>
  <si>
    <t>Bear  🐻</t>
  </si>
  <si>
    <t>Base  ★</t>
  </si>
  <si>
    <t>Bull  🐂</t>
  </si>
  <si>
    <t>RM 782</t>
  </si>
  <si>
    <t>Absorption rate</t>
  </si>
  <si>
    <t>80%</t>
  </si>
  <si>
    <t>NDV adj (RM'000)</t>
  </si>
  <si>
    <t>GDC (RM'000)</t>
  </si>
  <si>
    <t>NDP (RM'000)</t>
  </si>
  <si>
    <t>NDP margin</t>
  </si>
  <si>
    <t>Approx. IRR</t>
  </si>
  <si>
    <t>MOIC</t>
  </si>
  <si>
    <t>I. CONSTRUCTION COST SENSITIVITY — Build Cost psf vs ASP psf  (NDP Margin %)</t>
  </si>
  <si>
    <t>Shows NDP margin as construction cost varies ±20%. Useful for stress-testing build cost inflation against selling price assumptions.</t>
  </si>
  <si>
    <t>ASP →
Build cost ↓</t>
  </si>
  <si>
    <t>RM 544
(-2%)</t>
  </si>
  <si>
    <t>RM 612
(-1%)</t>
  </si>
  <si>
    <t>RM 680
(★ Base)</t>
  </si>
  <si>
    <t>RM 748
(+1%)</t>
  </si>
  <si>
    <t>RM 816
(+2%)</t>
  </si>
  <si>
    <t>RM 224 (−20%)</t>
  </si>
  <si>
    <t>RM 252 (−10%)</t>
  </si>
  <si>
    <t>RM 280 (Base)</t>
  </si>
  <si>
    <t>RM 308 (+10%)</t>
  </si>
  <si>
    <t>RM 336 (+20%)</t>
  </si>
  <si>
    <t>NOTES:  (1) XIRR formula requires non-zero cashflows — populate unit counts and pricing in Feasibility Study tab first.  (2) Sensitivity matrices use linear factor scaling of base XIRR — indicative only; actual IRR will differ due to non-linear CF timing.  (3) Land cost breakeven assumes 25% target NDP margin on adjusted NDV.  (4) NPV uses monthly discount rate (annual ÷ 12).</t>
  </si>
  <si>
    <t>BRDB LAND — IRR, NPV &amp; SENSITIVITY ANALYSIS</t>
  </si>
  <si>
    <t>XIRR on 60 monthly cashflows  |  NPV @ 3 hurdle rates  |  Colour-coded sensitivity matrices  |  Land cost breakeven  |  Blue = inputs changeable by user</t>
  </si>
  <si>
    <t>A. ASSUMPTIONS &amp; INPUTS</t>
  </si>
  <si>
    <t>C. SENSITIVITY — PROJECT IRR (%) vs ASP × ABSORPTION</t>
  </si>
  <si>
    <t>E. SENSITIVITY — IRR (%) vs CONSTRUCTION COST × ASP</t>
  </si>
  <si>
    <t>Base ASP (RM psf)</t>
  </si>
  <si>
    <t>IRR scales with ASP (revenue) and absorption rate. Yellow = base case. Green ≥ hurdle. Red &lt; hurdle.</t>
  </si>
  <si>
    <t>Construction cost deviation vs ASP deviation. Base: RM 280 psf build cost, RM 680 psf ASP.</t>
  </si>
  <si>
    <t>Base absorption rate</t>
  </si>
  <si>
    <t>Absorption
↓   ASP →</t>
  </si>
  <si>
    <t>RM 476
−30%</t>
  </si>
  <si>
    <t>RM 544
−20%</t>
  </si>
  <si>
    <t>RM 612
−10%</t>
  </si>
  <si>
    <t>RM 680
Base</t>
  </si>
  <si>
    <t>RM 748
+10%</t>
  </si>
  <si>
    <t>RM 816
+20%</t>
  </si>
  <si>
    <t>RM 884
+30%</t>
  </si>
  <si>
    <t>Constr cost
↓   ASP →</t>
  </si>
  <si>
    <t>Base build cost (RM psf)</t>
  </si>
  <si>
    <t>50% absorption</t>
  </si>
  <si>
    <t>CC −30%</t>
  </si>
  <si>
    <t>Target hurdle IRR</t>
  </si>
  <si>
    <t>65% absorption</t>
  </si>
  <si>
    <t>CC −20%</t>
  </si>
  <si>
    <t>80% absorption</t>
  </si>
  <si>
    <t>CC −10%</t>
  </si>
  <si>
    <t>95% absorption</t>
  </si>
  <si>
    <t>CC Base</t>
  </si>
  <si>
    <t>110% absorption</t>
  </si>
  <si>
    <t>CC +10%</t>
  </si>
  <si>
    <t>CC +20%</t>
  </si>
  <si>
    <t>D. SENSITIVITY — NDP MARGIN (%) vs ASP × ABSORPTION</t>
  </si>
  <si>
    <t>CC +30%</t>
  </si>
  <si>
    <t>NDP margin = (NDV×ASP×Abs − GDC) / (NDV×ASP×Abs).  Green ≥ 25%  |  Amber 15–25%  |  Red &lt; 15%</t>
  </si>
  <si>
    <t>F. MAX LAND COST BREAKEVEN vs ASP (RM'000)</t>
  </si>
  <si>
    <t>Max land cost payable to still achieve target IRR (16%). Useful for land price negotiation.</t>
  </si>
  <si>
    <t>ASP (RM psf)</t>
  </si>
  <si>
    <t>NDV adj
(RM'000)</t>
  </si>
  <si>
    <t>GDC
ex-land</t>
  </si>
  <si>
    <t>Target
return</t>
  </si>
  <si>
    <t>Max land
cost (RM'000)</t>
  </si>
  <si>
    <t>Max land
psf (RM)</t>
  </si>
  <si>
    <t>vs current
land cost</t>
  </si>
  <si>
    <t>Viable?</t>
  </si>
  <si>
    <t>RM 476</t>
  </si>
  <si>
    <t>RM 612</t>
  </si>
  <si>
    <t>MOIC (NDP / peak equity)</t>
  </si>
  <si>
    <t>KEY &amp; NOTES</t>
  </si>
  <si>
    <t>Green cells</t>
  </si>
  <si>
    <t>IRR ≥ hurdle (Cashflow!B18) or NDP margin ≥ 25%</t>
  </si>
  <si>
    <t>RM 884</t>
  </si>
  <si>
    <t>Red cells</t>
  </si>
  <si>
    <t>IRR &lt; hurdle or NDP margin &lt; 15%</t>
  </si>
  <si>
    <t>Amber cells</t>
  </si>
  <si>
    <t>NDP margin between 15–25%</t>
  </si>
  <si>
    <t>Yellow cell</t>
  </si>
  <si>
    <t>Base case (RM 680 psf ASP, 80% absorption)</t>
  </si>
  <si>
    <t>XIRR formula</t>
  </si>
  <si>
    <t>Monthly cash flows; dates auto-linked from Returns sheet rows 19–78</t>
  </si>
  <si>
    <t>IRR scaling</t>
  </si>
  <si>
    <t>Proportional to revenue (ASP × Abs); accurate within ±15% of base case</t>
  </si>
  <si>
    <t>Land breakeven</t>
  </si>
  <si>
    <t>Target dev margin = 25% of NDV; edit formula directly to change target</t>
  </si>
  <si>
    <t>Update model</t>
  </si>
  <si>
    <t>Fill unit counts &amp; prices in Feasibility Study — all cells auto-update</t>
  </si>
  <si>
    <t>Total NDP — absolute return (RM'000)</t>
  </si>
  <si>
    <t>Acre to Sqm</t>
  </si>
  <si>
    <t>Carpark Bays =&gt;</t>
  </si>
  <si>
    <t>Construction Floor Area include Carpark (CFA) =&gt;</t>
  </si>
  <si>
    <t>Gross Floor Area exclude Carpark (GFA) =&gt;</t>
  </si>
  <si>
    <t>Net Floor/Saleable area (NFA) =&gt;</t>
  </si>
  <si>
    <t>Jalan Desa Sentosa</t>
  </si>
  <si>
    <t>Lot 1423, Jalan Desa Sentosa KL</t>
  </si>
  <si>
    <t>BRDB Development Sdn Bhd</t>
  </si>
  <si>
    <t>Feasibility Study</t>
  </si>
  <si>
    <t>Typical Apartment Floor =&gt;</t>
  </si>
  <si>
    <t>Net Floor/Saleable Area (NFA)</t>
  </si>
  <si>
    <t>No of units in the Phase =&gt;</t>
  </si>
  <si>
    <t>Typical Apartment (2 units per floor)</t>
  </si>
  <si>
    <t xml:space="preserve">    Construction of Show units (inc. ID) or I.D &amp; Landscape cost for actual unit at site</t>
  </si>
  <si>
    <t>Selling Expenses</t>
  </si>
  <si>
    <t xml:space="preserve">    Commission &amp; Brokerage</t>
  </si>
  <si>
    <t xml:space="preserve">    Bumi Discount</t>
  </si>
  <si>
    <t xml:space="preserve">    Running &amp; maintainance Cost of Sales Gallery &amp; Show unit </t>
  </si>
  <si>
    <t>of GDV</t>
  </si>
  <si>
    <t xml:space="preserve">    Repeat Buyers/BGB</t>
  </si>
  <si>
    <t xml:space="preserve">    Director/Staff Discount </t>
  </si>
  <si>
    <t>12 months</t>
  </si>
  <si>
    <t xml:space="preserve">    Free SPA &amp; Loan Legal Fees</t>
  </si>
  <si>
    <t xml:space="preserve">   Maintenance &amp; Sinking Fund</t>
  </si>
  <si>
    <t xml:space="preserve">     VIP Discount/Discount/Early Bird</t>
  </si>
  <si>
    <t>/unit</t>
  </si>
  <si>
    <t>RM'psf (Nett to Dev)</t>
  </si>
  <si>
    <t>Total NFA</t>
  </si>
  <si>
    <t>per Annum for 4 years</t>
  </si>
  <si>
    <t>Valuation Report</t>
  </si>
  <si>
    <t>Legal Fees</t>
  </si>
  <si>
    <t>Land &amp; Other Related Cost psf</t>
  </si>
  <si>
    <t>White Goods</t>
  </si>
  <si>
    <t>Freebies (Optional):</t>
  </si>
  <si>
    <t>Wardrobe</t>
  </si>
  <si>
    <t>Contract Stamping Fee</t>
  </si>
  <si>
    <t>CONQUAS &amp; QLASSIC</t>
  </si>
  <si>
    <t xml:space="preserve">Green RE </t>
  </si>
  <si>
    <t>Hoarding Fee</t>
  </si>
  <si>
    <t>Utility Mapping</t>
  </si>
  <si>
    <t>Site Security</t>
  </si>
  <si>
    <t>Service Charges for Provisional Blocks</t>
  </si>
  <si>
    <t>per month for 2 years</t>
  </si>
  <si>
    <t>FINANCE CHARGES</t>
  </si>
  <si>
    <t>NET DEVELOPMENT PROFIT (NDP) AFTER FINANCIAL CHARGES</t>
  </si>
  <si>
    <t>NET DEVELOPMENT COST (GDC) AFTER FINANCIAL CHARGES</t>
  </si>
  <si>
    <t>NET DEVELOPMENT PROFIT BEFORE FINANCE CHARGES</t>
  </si>
  <si>
    <t>Plot Ratio (commercial) / Density (per acres) =&gt;</t>
  </si>
  <si>
    <t>Net Development Value (NDV) =&gt;</t>
  </si>
  <si>
    <t>Land Cost =&gt;</t>
  </si>
  <si>
    <t>%</t>
  </si>
  <si>
    <t>Construction Cost =&gt;</t>
  </si>
  <si>
    <t>Soft Cost =&gt;</t>
  </si>
  <si>
    <t>Finance Cost  =&gt;</t>
  </si>
  <si>
    <t>Summary</t>
  </si>
  <si>
    <t>NET DEVELOPMENT COST (GDC) BEFORE FINANCE CHARGES</t>
  </si>
  <si>
    <t xml:space="preserve">NET DEVELOPMENT COST (GDC) BEFORE LAND COST </t>
  </si>
  <si>
    <t>Net Profit Margin</t>
  </si>
  <si>
    <t>Net Development Profit (NDP)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</si>
</sst>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6">
    <numFmt numFmtId="6" formatCode="&quot;RM&quot;#,##0;[Red]\-&quot;RM&quot;#,##0"/>
    <numFmt numFmtId="43" formatCode="_-* #,##0.00_-;\-* #,##0.00_-;_-* &quot;-&quot;??_-;_-@_-"/>
    <numFmt numFmtId="164" formatCode="_(* #,##0.00_);_(* \(#,##0.00\);_(* \-??_);_(@_)"/>
    <numFmt numFmtId="165" formatCode="m/d/yyyy"/>
    <numFmt numFmtId="166" formatCode="#,##0&quot;  sqm&quot;"/>
    <numFmt numFmtId="167" formatCode="0&quot; acres&quot;"/>
    <numFmt numFmtId="168" formatCode="0.00&quot; acres&quot;"/>
    <numFmt numFmtId="169" formatCode="#,##0&quot;  sqft&quot;"/>
    <numFmt numFmtId="170" formatCode="0.0%"/>
    <numFmt numFmtId="171" formatCode="0.0&quot; acres&quot;"/>
    <numFmt numFmtId="172" formatCode="0&quot; units&quot;"/>
    <numFmt numFmtId="173" formatCode="_(* #,##0_);_(* \(#,##0\);_(* \-??_);_(@_)"/>
    <numFmt numFmtId="174" formatCode="#,##0&quot; units/acres&quot;"/>
    <numFmt numFmtId="175" formatCode="0.0"/>
    <numFmt numFmtId="176" formatCode="#,##0_);\(#,##0\)"/>
    <numFmt numFmtId="177" formatCode="&quot;RM&quot;#,##0&quot; psf&quot;"/>
    <numFmt numFmtId="178" formatCode="#,##0&quot;  sq.ft.&quot;"/>
    <numFmt numFmtId="179" formatCode="#,##0_);[Red]\(#,##0\)"/>
    <numFmt numFmtId="180" formatCode="&quot;for &quot;0%&quot; of NDV&quot;"/>
    <numFmt numFmtId="181" formatCode="#,##0%&quot; Agri to Resi&quot;"/>
    <numFmt numFmtId="182" formatCode="#,##0%&quot; Agri to Comm&quot;"/>
    <numFmt numFmtId="183" formatCode="&quot;RM&quot;#,##0_);[Red]&quot;(RM&quot;#,##0\)"/>
    <numFmt numFmtId="186" formatCode="&quot;RM&quot;#,##0"/>
    <numFmt numFmtId="187" formatCode="&quot;RM&quot;#,##0&quot; per acre&quot;"/>
    <numFmt numFmtId="188" formatCode="&quot;Balance RM&quot;#,##0"/>
    <numFmt numFmtId="189" formatCode="#,##0&quot; units&quot;"/>
    <numFmt numFmtId="190" formatCode="&quot;x RM&quot;#,##0&quot; per Unit&quot;"/>
    <numFmt numFmtId="191" formatCode="_-* #,##0_-;\-* #,##0_-;_-* \-??_-;_-@_-"/>
    <numFmt numFmtId="192" formatCode="_-* #,##0.00_-;\-* #,##0.00_-;_-* \-??_-;_-@_-"/>
    <numFmt numFmtId="193" formatCode="&quot;&quot;#,##0%&quot;  of GCC&quot;"/>
    <numFmt numFmtId="194" formatCode="#,##0.00%&quot; Interest Rate&quot;"/>
    <numFmt numFmtId="195" formatCode="&quot;over &quot;0&quot; years &quot;"/>
    <numFmt numFmtId="196" formatCode="&quot;&quot;#,##0.0&quot; yrs&quot;"/>
    <numFmt numFmtId="197" formatCode="0.000%"/>
    <numFmt numFmtId="198" formatCode="#,##0;\(#,##0\);\-"/>
    <numFmt numFmtId="199" formatCode="0.0%;\(0.0%\);\-"/>
    <numFmt numFmtId="200" formatCode="mmm\-yyyy"/>
    <numFmt numFmtId="201" formatCode="0.00\x"/>
    <numFmt numFmtId="202" formatCode="\+0.0%;\(0.0%\);\-"/>
    <numFmt numFmtId="203" formatCode="#,##0&quot;  bays&quot;"/>
    <numFmt numFmtId="204" formatCode="#,##0&quot;  Floors&quot;"/>
    <numFmt numFmtId="205" formatCode="&quot;for&quot;\ 0%\ &quot;of NDV&quot;"/>
    <numFmt numFmtId="206" formatCode="_(* #,##0.00_);_(* \(#,##0.00\);_(* &quot;-&quot;??_);_(@_)"/>
    <numFmt numFmtId="207" formatCode="&quot;RM&quot;#,##0.00&quot; psf&quot;"/>
    <numFmt numFmtId="211" formatCode="_-* #,##0_-;\-* #,##0_-;_-* &quot;-&quot;??_-;_-@_-"/>
    <numFmt numFmtId="216" formatCode="_(* #,##0.0_);_(* \(#,##0.0\);_(* \-??_);_(@_)"/>
  </numFmts>
  <fonts count="81" x14ac:knownFonts="1">
    <font>
      <sz val="10"/>
      <name val="Arial"/>
      <charset val="1"/>
    </font>
    <font>
      <sz val="10"/>
      <name val="Arial"/>
      <family val="2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sz val="9"/>
      <name val="Arial"/>
      <family val="2"/>
      <charset val="1"/>
    </font>
    <font>
      <b/>
      <sz val="14"/>
      <name val="Arial"/>
      <family val="2"/>
      <charset val="1"/>
    </font>
    <font>
      <sz val="7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theme="3" tint="-0.499984740745262"/>
      <name val="Arial"/>
      <family val="2"/>
      <charset val="1"/>
    </font>
    <font>
      <b/>
      <sz val="10"/>
      <color theme="3" tint="-0.499984740745262"/>
      <name val="Arial"/>
      <family val="2"/>
      <charset val="1"/>
    </font>
    <font>
      <sz val="10"/>
      <color theme="6" tint="0.39988402966399123"/>
      <name val="Arial"/>
      <family val="2"/>
      <charset val="1"/>
    </font>
    <font>
      <sz val="8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i/>
      <sz val="10"/>
      <color rgb="FFFF0000"/>
      <name val="Arial"/>
      <family val="2"/>
      <charset val="1"/>
    </font>
    <font>
      <i/>
      <sz val="10"/>
      <color theme="3" tint="-0.499984740745262"/>
      <name val="Arial"/>
      <family val="2"/>
      <charset val="1"/>
    </font>
    <font>
      <i/>
      <sz val="10"/>
      <name val="Arial"/>
      <family val="2"/>
      <charset val="1"/>
    </font>
    <font>
      <i/>
      <sz val="10"/>
      <color rgb="FFFF0000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i/>
      <sz val="10"/>
      <color theme="9"/>
      <name val="Arial"/>
      <family val="2"/>
      <charset val="1"/>
    </font>
    <font>
      <b/>
      <i/>
      <u/>
      <sz val="10"/>
      <name val="Arial"/>
      <family val="2"/>
      <charset val="1"/>
    </font>
    <font>
      <i/>
      <sz val="10"/>
      <color rgb="FF808080"/>
      <name val="Arial"/>
      <family val="2"/>
      <charset val="1"/>
    </font>
    <font>
      <b/>
      <i/>
      <sz val="10"/>
      <color rgb="FF7030A0"/>
      <name val="Arial"/>
      <family val="2"/>
      <charset val="1"/>
    </font>
    <font>
      <i/>
      <sz val="10"/>
      <color rgb="FF7030A0"/>
      <name val="Arial"/>
      <family val="2"/>
      <charset val="1"/>
    </font>
    <font>
      <b/>
      <i/>
      <sz val="10"/>
      <color theme="3" tint="-0.499984740745262"/>
      <name val="Arial"/>
      <family val="2"/>
      <charset val="1"/>
    </font>
    <font>
      <b/>
      <sz val="8"/>
      <name val="Arial"/>
      <family val="2"/>
      <charset val="1"/>
    </font>
    <font>
      <i/>
      <sz val="10"/>
      <color theme="1"/>
      <name val="Arial"/>
      <family val="2"/>
      <charset val="1"/>
    </font>
    <font>
      <b/>
      <sz val="12"/>
      <name val="Arial"/>
      <family val="2"/>
      <charset val="1"/>
    </font>
    <font>
      <b/>
      <i/>
      <sz val="12"/>
      <name val="Arial"/>
      <family val="2"/>
      <charset val="1"/>
    </font>
    <font>
      <b/>
      <sz val="10"/>
      <color theme="8" tint="-0.499984740745262"/>
      <name val="Arial"/>
      <family val="2"/>
      <charset val="1"/>
    </font>
    <font>
      <b/>
      <sz val="10"/>
      <color rgb="FF0070C0"/>
      <name val="Arial"/>
      <family val="2"/>
      <charset val="1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0"/>
      <color rgb="FF000000"/>
      <name val="Arial"/>
      <family val="2"/>
    </font>
    <font>
      <b/>
      <sz val="9"/>
      <color rgb="FF1F4E79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sz val="7"/>
      <color rgb="FF595959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6400"/>
      <name val="Arial"/>
      <family val="2"/>
    </font>
    <font>
      <sz val="9"/>
      <color rgb="FF595959"/>
      <name val="Arial"/>
      <family val="2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9"/>
      <color rgb="FFBFBFBF"/>
      <name val="Arial"/>
      <family val="2"/>
    </font>
    <font>
      <b/>
      <sz val="10"/>
      <color rgb="FF375623"/>
      <name val="Arial"/>
      <family val="2"/>
    </font>
    <font>
      <b/>
      <sz val="10"/>
      <color rgb="FF843C0C"/>
      <name val="Arial"/>
      <family val="2"/>
    </font>
    <font>
      <b/>
      <sz val="11"/>
      <color rgb="FFC00000"/>
      <name val="Arial"/>
      <family val="2"/>
    </font>
    <font>
      <b/>
      <sz val="10"/>
      <color rgb="FF006400"/>
      <name val="Arial"/>
      <family val="2"/>
    </font>
    <font>
      <sz val="9"/>
      <name val="Arial"/>
      <family val="2"/>
    </font>
    <font>
      <sz val="9"/>
      <color rgb="FF0000FF"/>
      <name val="Arial"/>
      <family val="2"/>
    </font>
    <font>
      <sz val="9"/>
      <color rgb="FF006400"/>
      <name val="Arial"/>
      <family val="2"/>
    </font>
    <font>
      <b/>
      <sz val="11"/>
      <color rgb="FF27500A"/>
      <name val="Arial"/>
      <family val="2"/>
    </font>
    <font>
      <sz val="9"/>
      <color rgb="FFFFFFFF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rgb="FF27500A"/>
      <name val="Arial"/>
      <family val="2"/>
    </font>
    <font>
      <sz val="9"/>
      <color rgb="FF000000"/>
      <name val="Arial"/>
      <family val="2"/>
    </font>
    <font>
      <b/>
      <sz val="10"/>
      <color rgb="FF27500A"/>
      <name val="Arial"/>
      <family val="2"/>
    </font>
    <font>
      <b/>
      <sz val="9"/>
      <color rgb="FF000000"/>
      <name val="Arial"/>
      <family val="2"/>
    </font>
    <font>
      <i/>
      <sz val="8"/>
      <color rgb="FF595959"/>
      <name val="Arial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b/>
      <sz val="9"/>
      <color rgb="FFFFFF00"/>
      <name val="Arial"/>
      <family val="2"/>
    </font>
    <font>
      <b/>
      <sz val="9"/>
      <color rgb="FF4D4D4D"/>
      <name val="Arial"/>
      <family val="2"/>
    </font>
    <font>
      <b/>
      <u/>
      <sz val="10"/>
      <name val="Arial"/>
      <family val="2"/>
    </font>
    <font>
      <sz val="10"/>
      <name val="Arial"/>
      <charset val="1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i/>
      <sz val="10"/>
      <name val="Arial"/>
      <family val="2"/>
    </font>
    <font>
      <b/>
      <i/>
      <sz val="10"/>
      <color rgb="FF0000FF"/>
      <name val="Arial"/>
      <family val="2"/>
    </font>
    <font>
      <b/>
      <i/>
      <sz val="10"/>
      <color theme="8"/>
      <name val="Arial"/>
      <family val="2"/>
    </font>
    <font>
      <i/>
      <sz val="10"/>
      <color rgb="FF00B05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theme="9" tint="0.79989013336588644"/>
        <bgColor rgb="FFE2EFDA"/>
      </patternFill>
    </fill>
    <fill>
      <patternFill patternType="solid">
        <fgColor theme="7" tint="0.79989013336588644"/>
        <bgColor rgb="FFFCE4D6"/>
      </patternFill>
    </fill>
    <fill>
      <patternFill patternType="solid">
        <fgColor rgb="FFFFFF00"/>
        <bgColor rgb="FFFFC000"/>
      </patternFill>
    </fill>
    <fill>
      <patternFill patternType="solid">
        <fgColor theme="9" tint="0.59987182226020086"/>
        <bgColor rgb="FFC6EFCE"/>
      </patternFill>
    </fill>
    <fill>
      <patternFill patternType="solid">
        <fgColor rgb="FFFFC000"/>
        <bgColor rgb="FFFFFF00"/>
      </patternFill>
    </fill>
    <fill>
      <patternFill patternType="solid">
        <fgColor rgb="FF00B0F0"/>
        <bgColor rgb="FF0070C0"/>
      </patternFill>
    </fill>
    <fill>
      <patternFill patternType="solid">
        <fgColor rgb="FFC0C0C0"/>
        <bgColor rgb="FFBFBFBF"/>
      </patternFill>
    </fill>
    <fill>
      <patternFill patternType="solid">
        <fgColor rgb="FF99CCFF"/>
        <bgColor rgb="FFC0C0C0"/>
      </patternFill>
    </fill>
    <fill>
      <patternFill patternType="solid">
        <fgColor rgb="FFFFCC99"/>
        <bgColor rgb="FFFFC7CE"/>
      </patternFill>
    </fill>
    <fill>
      <patternFill patternType="solid">
        <fgColor rgb="FF00FFFF"/>
        <bgColor rgb="FF00B0F0"/>
      </patternFill>
    </fill>
    <fill>
      <patternFill patternType="solid">
        <fgColor rgb="FF1F4E79"/>
        <bgColor rgb="FF1A5276"/>
      </patternFill>
    </fill>
    <fill>
      <patternFill patternType="solid">
        <fgColor rgb="FF2E75B6"/>
        <bgColor rgb="FF0070C0"/>
      </patternFill>
    </fill>
    <fill>
      <patternFill patternType="solid">
        <fgColor rgb="FF375623"/>
        <bgColor rgb="FF276221"/>
      </patternFill>
    </fill>
    <fill>
      <patternFill patternType="solid">
        <fgColor rgb="FFEBF3FA"/>
        <bgColor rgb="FFF2F2F2"/>
      </patternFill>
    </fill>
    <fill>
      <patternFill patternType="solid">
        <fgColor rgb="FFD6E4F0"/>
        <bgColor rgb="FFDAE3F3"/>
      </patternFill>
    </fill>
    <fill>
      <patternFill patternType="solid">
        <fgColor rgb="FFC6EFCE"/>
        <bgColor rgb="FFC5E0B4"/>
      </patternFill>
    </fill>
    <fill>
      <patternFill patternType="solid">
        <fgColor rgb="FF843C0C"/>
        <bgColor rgb="FF7B241C"/>
      </patternFill>
    </fill>
    <fill>
      <patternFill patternType="solid">
        <fgColor rgb="FFFCE4D6"/>
        <bgColor rgb="FFFFF2CC"/>
      </patternFill>
    </fill>
    <fill>
      <patternFill patternType="solid">
        <fgColor rgb="FF4A0000"/>
        <bgColor rgb="FF7B241C"/>
      </patternFill>
    </fill>
    <fill>
      <patternFill patternType="solid">
        <fgColor rgb="FFF5F5F5"/>
        <bgColor rgb="FFF2F2F2"/>
      </patternFill>
    </fill>
    <fill>
      <patternFill patternType="solid">
        <fgColor rgb="FFE2EFDA"/>
        <bgColor rgb="FFE2F0D9"/>
      </patternFill>
    </fill>
    <fill>
      <patternFill patternType="solid">
        <fgColor rgb="FF1F7A4E"/>
        <bgColor rgb="FF1E8449"/>
      </patternFill>
    </fill>
    <fill>
      <patternFill patternType="solid">
        <fgColor rgb="FFFFFFFF"/>
        <bgColor rgb="FFFAFAF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CC99"/>
      </patternFill>
    </fill>
    <fill>
      <patternFill patternType="solid">
        <fgColor rgb="FFA32D2D"/>
        <bgColor rgb="FF843C0C"/>
      </patternFill>
    </fill>
    <fill>
      <patternFill patternType="solid">
        <fgColor rgb="FF154360"/>
        <bgColor rgb="FF203864"/>
      </patternFill>
    </fill>
    <fill>
      <patternFill patternType="solid">
        <fgColor rgb="FF4A235A"/>
        <bgColor rgb="FF222A35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F5F5F5"/>
      </patternFill>
    </fill>
    <fill>
      <patternFill patternType="solid">
        <fgColor rgb="FF1A5276"/>
        <bgColor rgb="FF1F4E79"/>
      </patternFill>
    </fill>
    <fill>
      <patternFill patternType="solid">
        <fgColor rgb="FF6C3483"/>
        <bgColor rgb="FF7030A0"/>
      </patternFill>
    </fill>
    <fill>
      <patternFill patternType="solid">
        <fgColor rgb="FF145A32"/>
        <bgColor rgb="FF276221"/>
      </patternFill>
    </fill>
    <fill>
      <patternFill patternType="solid">
        <fgColor rgb="FF1E8449"/>
        <bgColor rgb="FF1F7A4E"/>
      </patternFill>
    </fill>
    <fill>
      <patternFill patternType="solid">
        <fgColor rgb="FF7B241C"/>
        <bgColor rgb="FF843C0C"/>
      </patternFill>
    </fill>
    <fill>
      <patternFill patternType="solid">
        <fgColor rgb="FF4D4D4D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double">
        <color indexed="64"/>
      </bottom>
      <diagonal/>
    </border>
  </borders>
  <cellStyleXfs count="19">
    <xf numFmtId="0" fontId="0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0" borderId="0"/>
    <xf numFmtId="164" fontId="3" fillId="0" borderId="0"/>
    <xf numFmtId="0" fontId="4" fillId="0" borderId="0"/>
    <xf numFmtId="0" fontId="2" fillId="0" borderId="0"/>
    <xf numFmtId="0" fontId="3" fillId="0" borderId="0"/>
    <xf numFmtId="0" fontId="2" fillId="0" borderId="0"/>
    <xf numFmtId="9" fontId="2" fillId="0" borderId="0"/>
    <xf numFmtId="9" fontId="3" fillId="0" borderId="0"/>
    <xf numFmtId="9" fontId="3" fillId="0" borderId="0"/>
    <xf numFmtId="43" fontId="74" fillId="0" borderId="0" applyFont="0" applyFill="0" applyBorder="0" applyAlignment="0" applyProtection="0"/>
    <xf numFmtId="9" fontId="74" fillId="0" borderId="0" applyFont="0" applyFill="0" applyBorder="0" applyAlignment="0" applyProtection="0"/>
    <xf numFmtId="0" fontId="1" fillId="0" borderId="0"/>
    <xf numFmtId="206" fontId="1" fillId="0" borderId="0" applyFont="0" applyFill="0" applyBorder="0" applyAlignment="0" applyProtection="0"/>
  </cellStyleXfs>
  <cellXfs count="659">
    <xf numFmtId="0" fontId="0" fillId="0" borderId="0" xfId="0"/>
    <xf numFmtId="3" fontId="2" fillId="0" borderId="0" xfId="0" applyNumberFormat="1" applyFont="1"/>
    <xf numFmtId="173" fontId="24" fillId="5" borderId="13" xfId="0" applyNumberFormat="1" applyFont="1" applyFill="1" applyBorder="1" applyAlignment="1">
      <alignment vertical="center"/>
    </xf>
    <xf numFmtId="173" fontId="24" fillId="8" borderId="13" xfId="0" applyNumberFormat="1" applyFont="1" applyFill="1" applyBorder="1" applyAlignment="1">
      <alignment vertical="center"/>
    </xf>
    <xf numFmtId="0" fontId="24" fillId="8" borderId="11" xfId="0" applyFont="1" applyFill="1" applyBorder="1" applyAlignment="1">
      <alignment vertical="center"/>
    </xf>
    <xf numFmtId="175" fontId="6" fillId="9" borderId="6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9" fillId="0" borderId="0" xfId="0" applyFont="1" applyAlignment="1">
      <alignment horizontal="left" vertical="top" wrapText="1"/>
    </xf>
    <xf numFmtId="0" fontId="2" fillId="0" borderId="0" xfId="0" applyFont="1"/>
    <xf numFmtId="0" fontId="2" fillId="2" borderId="0" xfId="0" applyFont="1" applyFill="1"/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5" fontId="2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  <xf numFmtId="0" fontId="8" fillId="0" borderId="0" xfId="0" applyFont="1"/>
    <xf numFmtId="0" fontId="6" fillId="0" borderId="0" xfId="0" applyFont="1"/>
    <xf numFmtId="165" fontId="6" fillId="0" borderId="0" xfId="0" applyNumberFormat="1" applyFont="1" applyAlignment="1">
      <alignment horizontal="center" vertical="center"/>
    </xf>
    <xf numFmtId="15" fontId="2" fillId="0" borderId="0" xfId="0" applyNumberFormat="1" applyFont="1" applyAlignment="1">
      <alignment horizontal="right"/>
    </xf>
    <xf numFmtId="164" fontId="6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left"/>
    </xf>
    <xf numFmtId="166" fontId="2" fillId="0" borderId="0" xfId="0" applyNumberFormat="1" applyFont="1"/>
    <xf numFmtId="165" fontId="10" fillId="0" borderId="0" xfId="0" applyNumberFormat="1" applyFont="1"/>
    <xf numFmtId="0" fontId="11" fillId="0" borderId="0" xfId="0" applyFont="1"/>
    <xf numFmtId="166" fontId="11" fillId="0" borderId="0" xfId="0" applyNumberFormat="1" applyFont="1" applyAlignment="1">
      <alignment horizontal="center" vertical="center"/>
    </xf>
    <xf numFmtId="166" fontId="11" fillId="0" borderId="0" xfId="0" applyNumberFormat="1" applyFont="1"/>
    <xf numFmtId="0" fontId="2" fillId="0" borderId="0" xfId="0" applyFont="1" applyAlignment="1">
      <alignment horizontal="center"/>
    </xf>
    <xf numFmtId="167" fontId="12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0" borderId="5" xfId="0" applyFont="1" applyBorder="1"/>
    <xf numFmtId="0" fontId="2" fillId="5" borderId="4" xfId="0" applyFont="1" applyFill="1" applyBorder="1"/>
    <xf numFmtId="0" fontId="2" fillId="6" borderId="4" xfId="0" applyFont="1" applyFill="1" applyBorder="1"/>
    <xf numFmtId="0" fontId="13" fillId="7" borderId="4" xfId="0" applyFont="1" applyFill="1" applyBorder="1"/>
    <xf numFmtId="0" fontId="6" fillId="4" borderId="6" xfId="0" applyFont="1" applyFill="1" applyBorder="1"/>
    <xf numFmtId="0" fontId="2" fillId="4" borderId="0" xfId="0" applyFont="1" applyFill="1"/>
    <xf numFmtId="17" fontId="2" fillId="0" borderId="5" xfId="0" applyNumberFormat="1" applyFont="1" applyBorder="1" applyAlignment="1">
      <alignment horizontal="center"/>
    </xf>
    <xf numFmtId="17" fontId="2" fillId="5" borderId="7" xfId="0" applyNumberFormat="1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17" fontId="2" fillId="6" borderId="7" xfId="0" applyNumberFormat="1" applyFont="1" applyFill="1" applyBorder="1" applyAlignment="1">
      <alignment horizontal="center"/>
    </xf>
    <xf numFmtId="17" fontId="14" fillId="7" borderId="7" xfId="0" applyNumberFormat="1" applyFont="1" applyFill="1" applyBorder="1" applyAlignment="1">
      <alignment horizontal="center"/>
    </xf>
    <xf numFmtId="0" fontId="2" fillId="4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0" fontId="2" fillId="5" borderId="10" xfId="0" applyFont="1" applyFill="1" applyBorder="1"/>
    <xf numFmtId="17" fontId="2" fillId="4" borderId="10" xfId="0" applyNumberFormat="1" applyFont="1" applyFill="1" applyBorder="1" applyAlignment="1">
      <alignment horizontal="center"/>
    </xf>
    <xf numFmtId="0" fontId="2" fillId="6" borderId="10" xfId="0" applyFont="1" applyFill="1" applyBorder="1"/>
    <xf numFmtId="17" fontId="12" fillId="6" borderId="7" xfId="0" applyNumberFormat="1" applyFont="1" applyFill="1" applyBorder="1" applyAlignment="1">
      <alignment horizontal="center"/>
    </xf>
    <xf numFmtId="0" fontId="13" fillId="7" borderId="10" xfId="0" applyFont="1" applyFill="1" applyBorder="1"/>
    <xf numFmtId="171" fontId="2" fillId="0" borderId="0" xfId="0" applyNumberFormat="1" applyFont="1"/>
    <xf numFmtId="0" fontId="2" fillId="0" borderId="6" xfId="0" applyFont="1" applyBorder="1"/>
    <xf numFmtId="0" fontId="2" fillId="0" borderId="0" xfId="0" applyFont="1" applyAlignment="1">
      <alignment horizontal="right" vertical="center"/>
    </xf>
    <xf numFmtId="171" fontId="2" fillId="0" borderId="5" xfId="0" applyNumberFormat="1" applyFont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66" fontId="2" fillId="0" borderId="7" xfId="0" applyNumberFormat="1" applyFont="1" applyBorder="1" applyAlignment="1">
      <alignment horizontal="center"/>
    </xf>
    <xf numFmtId="166" fontId="2" fillId="0" borderId="5" xfId="0" applyNumberFormat="1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169" fontId="2" fillId="0" borderId="7" xfId="0" applyNumberFormat="1" applyFont="1" applyBorder="1" applyAlignment="1">
      <alignment horizontal="center"/>
    </xf>
    <xf numFmtId="169" fontId="2" fillId="0" borderId="0" xfId="0" applyNumberFormat="1" applyFont="1" applyAlignment="1">
      <alignment horizontal="center"/>
    </xf>
    <xf numFmtId="172" fontId="2" fillId="0" borderId="7" xfId="0" applyNumberFormat="1" applyFont="1" applyBorder="1" applyAlignment="1">
      <alignment horizontal="center"/>
    </xf>
    <xf numFmtId="172" fontId="2" fillId="0" borderId="5" xfId="0" applyNumberFormat="1" applyFont="1" applyBorder="1" applyAlignment="1">
      <alignment horizontal="center"/>
    </xf>
    <xf numFmtId="172" fontId="2" fillId="0" borderId="0" xfId="0" applyNumberFormat="1" applyFont="1" applyAlignment="1">
      <alignment horizontal="center"/>
    </xf>
    <xf numFmtId="172" fontId="10" fillId="0" borderId="7" xfId="0" applyNumberFormat="1" applyFont="1" applyBorder="1" applyAlignment="1">
      <alignment horizontal="center"/>
    </xf>
    <xf numFmtId="173" fontId="2" fillId="0" borderId="0" xfId="0" applyNumberFormat="1" applyFont="1"/>
    <xf numFmtId="164" fontId="2" fillId="0" borderId="0" xfId="0" applyNumberFormat="1" applyFont="1"/>
    <xf numFmtId="169" fontId="2" fillId="0" borderId="5" xfId="0" applyNumberFormat="1" applyFont="1" applyBorder="1" applyAlignment="1">
      <alignment horizontal="center"/>
    </xf>
    <xf numFmtId="169" fontId="10" fillId="0" borderId="7" xfId="0" applyNumberFormat="1" applyFont="1" applyBorder="1" applyAlignment="1">
      <alignment horizontal="center"/>
    </xf>
    <xf numFmtId="169" fontId="13" fillId="0" borderId="7" xfId="0" applyNumberFormat="1" applyFont="1" applyBorder="1" applyAlignment="1">
      <alignment horizontal="center"/>
    </xf>
    <xf numFmtId="174" fontId="2" fillId="0" borderId="7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74" fontId="10" fillId="0" borderId="7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173" fontId="2" fillId="0" borderId="0" xfId="0" applyNumberFormat="1" applyFont="1" applyAlignment="1">
      <alignment vertical="center"/>
    </xf>
    <xf numFmtId="164" fontId="15" fillId="0" borderId="0" xfId="0" applyNumberFormat="1" applyFont="1"/>
    <xf numFmtId="10" fontId="2" fillId="0" borderId="7" xfId="0" applyNumberFormat="1" applyFont="1" applyBorder="1"/>
    <xf numFmtId="10" fontId="2" fillId="0" borderId="5" xfId="0" applyNumberFormat="1" applyFont="1" applyBorder="1"/>
    <xf numFmtId="10" fontId="2" fillId="0" borderId="7" xfId="0" applyNumberFormat="1" applyFont="1" applyBorder="1" applyAlignment="1">
      <alignment horizontal="center"/>
    </xf>
    <xf numFmtId="10" fontId="2" fillId="0" borderId="0" xfId="0" applyNumberFormat="1" applyFont="1"/>
    <xf numFmtId="10" fontId="10" fillId="0" borderId="7" xfId="0" applyNumberFormat="1" applyFont="1" applyBorder="1"/>
    <xf numFmtId="10" fontId="13" fillId="0" borderId="7" xfId="0" applyNumberFormat="1" applyFont="1" applyBorder="1"/>
    <xf numFmtId="0" fontId="2" fillId="0" borderId="7" xfId="0" applyFont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10" fontId="2" fillId="0" borderId="7" xfId="0" applyNumberFormat="1" applyFont="1" applyBorder="1" applyAlignment="1">
      <alignment horizontal="left"/>
    </xf>
    <xf numFmtId="175" fontId="2" fillId="0" borderId="6" xfId="0" applyNumberFormat="1" applyFont="1" applyBorder="1" applyAlignment="1">
      <alignment horizontal="center" vertical="center"/>
    </xf>
    <xf numFmtId="173" fontId="2" fillId="0" borderId="0" xfId="0" applyNumberFormat="1" applyFont="1" applyAlignment="1">
      <alignment horizontal="right" vertical="center"/>
    </xf>
    <xf numFmtId="10" fontId="2" fillId="4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3" fontId="2" fillId="4" borderId="7" xfId="0" applyNumberFormat="1" applyFont="1" applyFill="1" applyBorder="1" applyAlignment="1">
      <alignment horizontal="center"/>
    </xf>
    <xf numFmtId="10" fontId="2" fillId="0" borderId="5" xfId="0" applyNumberFormat="1" applyFont="1" applyBorder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7" xfId="0" applyNumberFormat="1" applyFont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4" borderId="7" xfId="0" applyNumberFormat="1" applyFont="1" applyFill="1" applyBorder="1" applyAlignment="1">
      <alignment horizontal="center" vertical="center" wrapText="1"/>
    </xf>
    <xf numFmtId="3" fontId="2" fillId="0" borderId="7" xfId="0" applyNumberFormat="1" applyFont="1" applyBorder="1" applyAlignment="1">
      <alignment horizontal="center" vertical="center"/>
    </xf>
    <xf numFmtId="3" fontId="2" fillId="4" borderId="7" xfId="0" applyNumberFormat="1" applyFont="1" applyFill="1" applyBorder="1" applyAlignment="1">
      <alignment vertical="center" wrapText="1"/>
    </xf>
    <xf numFmtId="3" fontId="2" fillId="4" borderId="7" xfId="0" applyNumberFormat="1" applyFont="1" applyFill="1" applyBorder="1" applyAlignment="1">
      <alignment horizontal="center" vertical="center" wrapText="1"/>
    </xf>
    <xf numFmtId="3" fontId="2" fillId="0" borderId="0" xfId="0" applyNumberFormat="1" applyFont="1" applyAlignment="1">
      <alignment horizontal="left" vertical="top" wrapText="1"/>
    </xf>
    <xf numFmtId="10" fontId="2" fillId="0" borderId="7" xfId="0" applyNumberFormat="1" applyFont="1" applyBorder="1" applyAlignment="1">
      <alignment vertical="center" wrapText="1"/>
    </xf>
    <xf numFmtId="3" fontId="2" fillId="0" borderId="7" xfId="0" applyNumberFormat="1" applyFont="1" applyBorder="1"/>
    <xf numFmtId="3" fontId="2" fillId="0" borderId="0" xfId="0" applyNumberFormat="1" applyFont="1" applyAlignment="1">
      <alignment horizontal="left" vertical="top"/>
    </xf>
    <xf numFmtId="1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vertical="center"/>
    </xf>
    <xf numFmtId="173" fontId="6" fillId="0" borderId="0" xfId="0" applyNumberFormat="1" applyFont="1" applyAlignment="1">
      <alignment horizontal="center" vertical="center"/>
    </xf>
    <xf numFmtId="173" fontId="16" fillId="0" borderId="0" xfId="0" applyNumberFormat="1" applyFont="1"/>
    <xf numFmtId="177" fontId="17" fillId="0" borderId="7" xfId="0" applyNumberFormat="1" applyFont="1" applyBorder="1" applyAlignment="1">
      <alignment horizontal="center" vertical="center"/>
    </xf>
    <xf numFmtId="3" fontId="2" fillId="0" borderId="5" xfId="0" applyNumberFormat="1" applyFont="1" applyBorder="1"/>
    <xf numFmtId="177" fontId="17" fillId="5" borderId="7" xfId="0" applyNumberFormat="1" applyFont="1" applyFill="1" applyBorder="1" applyAlignment="1">
      <alignment horizontal="center" vertical="center"/>
    </xf>
    <xf numFmtId="177" fontId="17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1" fontId="6" fillId="0" borderId="7" xfId="0" applyNumberFormat="1" applyFont="1" applyBorder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177" fontId="19" fillId="0" borderId="7" xfId="0" applyNumberFormat="1" applyFont="1" applyBorder="1" applyAlignment="1">
      <alignment horizontal="center" vertical="center"/>
    </xf>
    <xf numFmtId="10" fontId="18" fillId="0" borderId="7" xfId="0" applyNumberFormat="1" applyFont="1" applyBorder="1" applyAlignment="1">
      <alignment horizontal="center"/>
    </xf>
    <xf numFmtId="178" fontId="2" fillId="0" borderId="0" xfId="0" applyNumberFormat="1" applyFont="1" applyAlignment="1">
      <alignment horizontal="center"/>
    </xf>
    <xf numFmtId="176" fontId="2" fillId="0" borderId="0" xfId="0" applyNumberFormat="1" applyFont="1" applyAlignment="1">
      <alignment horizontal="center"/>
    </xf>
    <xf numFmtId="173" fontId="2" fillId="0" borderId="7" xfId="0" applyNumberFormat="1" applyFont="1" applyBorder="1" applyAlignment="1">
      <alignment horizontal="right"/>
    </xf>
    <xf numFmtId="173" fontId="2" fillId="0" borderId="0" xfId="0" applyNumberFormat="1" applyFont="1" applyAlignment="1">
      <alignment horizontal="right"/>
    </xf>
    <xf numFmtId="173" fontId="2" fillId="0" borderId="5" xfId="0" applyNumberFormat="1" applyFont="1" applyBorder="1" applyAlignment="1">
      <alignment horizontal="right"/>
    </xf>
    <xf numFmtId="173" fontId="17" fillId="0" borderId="7" xfId="0" applyNumberFormat="1" applyFont="1" applyBorder="1" applyAlignment="1">
      <alignment horizontal="right" vertical="center"/>
    </xf>
    <xf numFmtId="173" fontId="20" fillId="0" borderId="7" xfId="0" applyNumberFormat="1" applyFont="1" applyBorder="1"/>
    <xf numFmtId="0" fontId="21" fillId="0" borderId="0" xfId="0" applyFont="1"/>
    <xf numFmtId="175" fontId="2" fillId="0" borderId="6" xfId="0" applyNumberFormat="1" applyFont="1" applyBorder="1"/>
    <xf numFmtId="164" fontId="23" fillId="0" borderId="0" xfId="0" applyNumberFormat="1" applyFont="1"/>
    <xf numFmtId="173" fontId="6" fillId="0" borderId="0" xfId="0" applyNumberFormat="1" applyFont="1"/>
    <xf numFmtId="3" fontId="13" fillId="0" borderId="7" xfId="0" applyNumberFormat="1" applyFont="1" applyBorder="1"/>
    <xf numFmtId="0" fontId="6" fillId="0" borderId="11" xfId="0" applyFont="1" applyBorder="1" applyAlignment="1">
      <alignment vertical="center"/>
    </xf>
    <xf numFmtId="0" fontId="2" fillId="0" borderId="12" xfId="0" applyFont="1" applyBorder="1"/>
    <xf numFmtId="0" fontId="6" fillId="0" borderId="12" xfId="0" applyFont="1" applyBorder="1" applyAlignment="1">
      <alignment vertical="center"/>
    </xf>
    <xf numFmtId="173" fontId="6" fillId="0" borderId="13" xfId="0" applyNumberFormat="1" applyFont="1" applyBorder="1" applyAlignment="1">
      <alignment vertical="center"/>
    </xf>
    <xf numFmtId="173" fontId="6" fillId="0" borderId="5" xfId="0" applyNumberFormat="1" applyFont="1" applyBorder="1" applyAlignment="1">
      <alignment vertical="center"/>
    </xf>
    <xf numFmtId="173" fontId="6" fillId="0" borderId="0" xfId="0" applyNumberFormat="1" applyFont="1" applyAlignment="1">
      <alignment vertical="center"/>
    </xf>
    <xf numFmtId="0" fontId="6" fillId="0" borderId="6" xfId="0" applyFont="1" applyBorder="1" applyAlignment="1">
      <alignment vertical="center"/>
    </xf>
    <xf numFmtId="173" fontId="6" fillId="0" borderId="7" xfId="0" applyNumberFormat="1" applyFont="1" applyBorder="1" applyAlignment="1">
      <alignment vertical="center"/>
    </xf>
    <xf numFmtId="173" fontId="14" fillId="0" borderId="7" xfId="0" applyNumberFormat="1" applyFont="1" applyBorder="1" applyAlignment="1">
      <alignment vertical="center"/>
    </xf>
    <xf numFmtId="0" fontId="24" fillId="0" borderId="0" xfId="0" applyFont="1" applyAlignment="1">
      <alignment vertical="center"/>
    </xf>
    <xf numFmtId="9" fontId="21" fillId="0" borderId="0" xfId="0" applyNumberFormat="1" applyFont="1"/>
    <xf numFmtId="180" fontId="21" fillId="0" borderId="0" xfId="0" applyNumberFormat="1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vertical="center"/>
    </xf>
    <xf numFmtId="0" fontId="24" fillId="8" borderId="12" xfId="0" applyFont="1" applyFill="1" applyBorder="1" applyAlignment="1">
      <alignment vertical="center"/>
    </xf>
    <xf numFmtId="173" fontId="24" fillId="0" borderId="5" xfId="0" applyNumberFormat="1" applyFont="1" applyBorder="1" applyAlignment="1">
      <alignment vertical="center"/>
    </xf>
    <xf numFmtId="173" fontId="24" fillId="0" borderId="0" xfId="0" applyNumberFormat="1" applyFont="1" applyAlignment="1">
      <alignment vertical="center"/>
    </xf>
    <xf numFmtId="0" fontId="25" fillId="0" borderId="17" xfId="0" applyFont="1" applyBorder="1"/>
    <xf numFmtId="0" fontId="24" fillId="0" borderId="15" xfId="0" applyFont="1" applyBorder="1" applyAlignment="1">
      <alignment vertical="center"/>
    </xf>
    <xf numFmtId="0" fontId="25" fillId="0" borderId="15" xfId="0" applyFont="1" applyBorder="1"/>
    <xf numFmtId="173" fontId="24" fillId="0" borderId="18" xfId="0" applyNumberFormat="1" applyFont="1" applyBorder="1" applyAlignment="1">
      <alignment vertical="center"/>
    </xf>
    <xf numFmtId="173" fontId="24" fillId="4" borderId="18" xfId="0" applyNumberFormat="1" applyFont="1" applyFill="1" applyBorder="1" applyAlignment="1">
      <alignment vertical="center"/>
    </xf>
    <xf numFmtId="173" fontId="14" fillId="0" borderId="18" xfId="0" applyNumberFormat="1" applyFont="1" applyBorder="1" applyAlignment="1">
      <alignment vertical="center"/>
    </xf>
    <xf numFmtId="0" fontId="25" fillId="0" borderId="6" xfId="0" applyFont="1" applyBorder="1"/>
    <xf numFmtId="0" fontId="25" fillId="0" borderId="0" xfId="0" applyFont="1"/>
    <xf numFmtId="173" fontId="24" fillId="0" borderId="7" xfId="0" applyNumberFormat="1" applyFont="1" applyBorder="1" applyAlignment="1">
      <alignment vertical="center"/>
    </xf>
    <xf numFmtId="173" fontId="24" fillId="4" borderId="7" xfId="0" applyNumberFormat="1" applyFont="1" applyFill="1" applyBorder="1" applyAlignment="1">
      <alignment vertical="center"/>
    </xf>
    <xf numFmtId="164" fontId="6" fillId="0" borderId="7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14" fillId="0" borderId="7" xfId="0" applyNumberFormat="1" applyFont="1" applyBorder="1" applyAlignment="1">
      <alignment vertical="center"/>
    </xf>
    <xf numFmtId="0" fontId="25" fillId="0" borderId="8" xfId="0" applyFont="1" applyBorder="1"/>
    <xf numFmtId="0" fontId="24" fillId="0" borderId="9" xfId="0" applyFont="1" applyBorder="1" applyAlignment="1">
      <alignment vertical="center"/>
    </xf>
    <xf numFmtId="0" fontId="25" fillId="0" borderId="9" xfId="0" applyFont="1" applyBorder="1"/>
    <xf numFmtId="173" fontId="24" fillId="0" borderId="10" xfId="0" applyNumberFormat="1" applyFont="1" applyBorder="1" applyAlignment="1">
      <alignment vertical="center"/>
    </xf>
    <xf numFmtId="173" fontId="14" fillId="0" borderId="10" xfId="0" applyNumberFormat="1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9" fontId="2" fillId="0" borderId="7" xfId="0" applyNumberFormat="1" applyFont="1" applyBorder="1" applyAlignment="1">
      <alignment horizontal="right"/>
    </xf>
    <xf numFmtId="173" fontId="2" fillId="0" borderId="5" xfId="0" applyNumberFormat="1" applyFont="1" applyBorder="1"/>
    <xf numFmtId="170" fontId="2" fillId="0" borderId="7" xfId="0" applyNumberFormat="1" applyFont="1" applyBorder="1" applyAlignment="1">
      <alignment horizontal="right"/>
    </xf>
    <xf numFmtId="173" fontId="2" fillId="0" borderId="7" xfId="0" applyNumberFormat="1" applyFont="1" applyBorder="1"/>
    <xf numFmtId="173" fontId="13" fillId="0" borderId="7" xfId="0" applyNumberFormat="1" applyFont="1" applyBorder="1"/>
    <xf numFmtId="0" fontId="26" fillId="0" borderId="6" xfId="0" applyFont="1" applyBorder="1"/>
    <xf numFmtId="0" fontId="26" fillId="0" borderId="0" xfId="0" applyFont="1"/>
    <xf numFmtId="173" fontId="26" fillId="0" borderId="0" xfId="0" applyNumberFormat="1" applyFont="1"/>
    <xf numFmtId="0" fontId="26" fillId="0" borderId="7" xfId="0" applyFont="1" applyBorder="1"/>
    <xf numFmtId="0" fontId="26" fillId="0" borderId="0" xfId="0" applyFont="1" applyAlignment="1">
      <alignment vertical="center"/>
    </xf>
    <xf numFmtId="0" fontId="26" fillId="0" borderId="5" xfId="0" applyFont="1" applyBorder="1"/>
    <xf numFmtId="3" fontId="26" fillId="0" borderId="0" xfId="0" applyNumberFormat="1" applyFont="1"/>
    <xf numFmtId="175" fontId="6" fillId="9" borderId="6" xfId="0" applyNumberFormat="1" applyFont="1" applyFill="1" applyBorder="1" applyAlignment="1">
      <alignment horizontal="center"/>
    </xf>
    <xf numFmtId="0" fontId="6" fillId="9" borderId="0" xfId="0" applyFont="1" applyFill="1"/>
    <xf numFmtId="0" fontId="2" fillId="9" borderId="0" xfId="0" applyFont="1" applyFill="1"/>
    <xf numFmtId="173" fontId="2" fillId="9" borderId="0" xfId="0" applyNumberFormat="1" applyFont="1" applyFill="1"/>
    <xf numFmtId="173" fontId="6" fillId="9" borderId="7" xfId="0" applyNumberFormat="1" applyFont="1" applyFill="1" applyBorder="1"/>
    <xf numFmtId="173" fontId="6" fillId="0" borderId="5" xfId="0" applyNumberFormat="1" applyFont="1" applyBorder="1"/>
    <xf numFmtId="173" fontId="6" fillId="5" borderId="7" xfId="0" applyNumberFormat="1" applyFont="1" applyFill="1" applyBorder="1"/>
    <xf numFmtId="173" fontId="14" fillId="9" borderId="7" xfId="0" applyNumberFormat="1" applyFont="1" applyFill="1" applyBorder="1"/>
    <xf numFmtId="0" fontId="27" fillId="0" borderId="0" xfId="0" applyFont="1"/>
    <xf numFmtId="0" fontId="21" fillId="0" borderId="6" xfId="0" applyFont="1" applyBorder="1"/>
    <xf numFmtId="173" fontId="21" fillId="0" borderId="7" xfId="0" applyNumberFormat="1" applyFont="1" applyBorder="1"/>
    <xf numFmtId="173" fontId="21" fillId="0" borderId="5" xfId="0" applyNumberFormat="1" applyFont="1" applyBorder="1"/>
    <xf numFmtId="173" fontId="21" fillId="0" borderId="0" xfId="0" applyNumberFormat="1" applyFont="1"/>
    <xf numFmtId="9" fontId="6" fillId="0" borderId="0" xfId="0" applyNumberFormat="1" applyFont="1" applyAlignment="1">
      <alignment vertical="center"/>
    </xf>
    <xf numFmtId="175" fontId="17" fillId="0" borderId="6" xfId="0" applyNumberFormat="1" applyFont="1" applyBorder="1" applyAlignment="1">
      <alignment horizontal="center" vertical="center"/>
    </xf>
    <xf numFmtId="181" fontId="21" fillId="0" borderId="0" xfId="0" applyNumberFormat="1" applyFont="1"/>
    <xf numFmtId="182" fontId="21" fillId="0" borderId="0" xfId="0" applyNumberFormat="1" applyFont="1"/>
    <xf numFmtId="0" fontId="21" fillId="0" borderId="0" xfId="0" applyFont="1" applyAlignment="1">
      <alignment vertical="center"/>
    </xf>
    <xf numFmtId="173" fontId="22" fillId="0" borderId="0" xfId="0" applyNumberFormat="1" applyFont="1"/>
    <xf numFmtId="0" fontId="21" fillId="0" borderId="7" xfId="0" applyFont="1" applyBorder="1"/>
    <xf numFmtId="0" fontId="28" fillId="0" borderId="0" xfId="0" applyFont="1" applyAlignment="1">
      <alignment vertical="center"/>
    </xf>
    <xf numFmtId="175" fontId="6" fillId="0" borderId="6" xfId="0" applyNumberFormat="1" applyFont="1" applyBorder="1" applyAlignment="1">
      <alignment horizontal="center" vertical="center"/>
    </xf>
    <xf numFmtId="173" fontId="6" fillId="0" borderId="7" xfId="0" applyNumberFormat="1" applyFont="1" applyBorder="1"/>
    <xf numFmtId="173" fontId="14" fillId="0" borderId="7" xfId="0" applyNumberFormat="1" applyFont="1" applyBorder="1"/>
    <xf numFmtId="0" fontId="2" fillId="9" borderId="0" xfId="0" applyFont="1" applyFill="1" applyAlignment="1">
      <alignment horizontal="center"/>
    </xf>
    <xf numFmtId="0" fontId="21" fillId="9" borderId="0" xfId="0" applyFont="1" applyFill="1" applyAlignment="1">
      <alignment vertical="center"/>
    </xf>
    <xf numFmtId="10" fontId="24" fillId="9" borderId="7" xfId="0" applyNumberFormat="1" applyFont="1" applyFill="1" applyBorder="1"/>
    <xf numFmtId="10" fontId="24" fillId="0" borderId="5" xfId="0" applyNumberFormat="1" applyFont="1" applyBorder="1"/>
    <xf numFmtId="10" fontId="24" fillId="5" borderId="7" xfId="0" applyNumberFormat="1" applyFont="1" applyFill="1" applyBorder="1"/>
    <xf numFmtId="10" fontId="24" fillId="0" borderId="0" xfId="0" applyNumberFormat="1" applyFont="1"/>
    <xf numFmtId="10" fontId="14" fillId="9" borderId="7" xfId="0" applyNumberFormat="1" applyFont="1" applyFill="1" applyBorder="1"/>
    <xf numFmtId="9" fontId="2" fillId="0" borderId="0" xfId="0" applyNumberFormat="1" applyFont="1"/>
    <xf numFmtId="0" fontId="24" fillId="9" borderId="7" xfId="0" applyFont="1" applyFill="1" applyBorder="1"/>
    <xf numFmtId="175" fontId="21" fillId="0" borderId="6" xfId="0" applyNumberFormat="1" applyFont="1" applyBorder="1" applyAlignment="1">
      <alignment horizontal="center" vertical="center"/>
    </xf>
    <xf numFmtId="173" fontId="17" fillId="0" borderId="0" xfId="0" applyNumberFormat="1" applyFont="1"/>
    <xf numFmtId="173" fontId="29" fillId="0" borderId="7" xfId="0" applyNumberFormat="1" applyFont="1" applyBorder="1"/>
    <xf numFmtId="173" fontId="30" fillId="0" borderId="7" xfId="0" applyNumberFormat="1" applyFont="1" applyBorder="1"/>
    <xf numFmtId="164" fontId="21" fillId="0" borderId="7" xfId="0" applyNumberFormat="1" applyFont="1" applyBorder="1"/>
    <xf numFmtId="186" fontId="21" fillId="0" borderId="0" xfId="0" applyNumberFormat="1" applyFont="1"/>
    <xf numFmtId="173" fontId="19" fillId="0" borderId="0" xfId="0" applyNumberFormat="1" applyFont="1"/>
    <xf numFmtId="164" fontId="21" fillId="0" borderId="5" xfId="0" applyNumberFormat="1" applyFont="1" applyBorder="1"/>
    <xf numFmtId="164" fontId="21" fillId="0" borderId="0" xfId="0" applyNumberFormat="1" applyFont="1"/>
    <xf numFmtId="168" fontId="21" fillId="0" borderId="0" xfId="0" applyNumberFormat="1" applyFont="1"/>
    <xf numFmtId="187" fontId="19" fillId="0" borderId="0" xfId="0" applyNumberFormat="1" applyFont="1"/>
    <xf numFmtId="173" fontId="21" fillId="0" borderId="10" xfId="0" applyNumberFormat="1" applyFont="1" applyBorder="1"/>
    <xf numFmtId="173" fontId="20" fillId="0" borderId="10" xfId="0" applyNumberFormat="1" applyFont="1" applyBorder="1"/>
    <xf numFmtId="0" fontId="17" fillId="0" borderId="0" xfId="0" applyFont="1"/>
    <xf numFmtId="186" fontId="17" fillId="0" borderId="0" xfId="0" applyNumberFormat="1" applyFont="1"/>
    <xf numFmtId="173" fontId="17" fillId="0" borderId="7" xfId="0" applyNumberFormat="1" applyFont="1" applyBorder="1"/>
    <xf numFmtId="173" fontId="17" fillId="0" borderId="5" xfId="0" applyNumberFormat="1" applyFont="1" applyBorder="1"/>
    <xf numFmtId="176" fontId="17" fillId="0" borderId="0" xfId="0" applyNumberFormat="1" applyFont="1"/>
    <xf numFmtId="173" fontId="31" fillId="0" borderId="7" xfId="0" applyNumberFormat="1" applyFont="1" applyBorder="1"/>
    <xf numFmtId="3" fontId="6" fillId="0" borderId="0" xfId="0" applyNumberFormat="1" applyFont="1"/>
    <xf numFmtId="176" fontId="21" fillId="0" borderId="0" xfId="0" applyNumberFormat="1" applyFont="1"/>
    <xf numFmtId="188" fontId="32" fillId="0" borderId="19" xfId="0" applyNumberFormat="1" applyFont="1" applyBorder="1" applyAlignment="1">
      <alignment horizontal="center"/>
    </xf>
    <xf numFmtId="0" fontId="33" fillId="0" borderId="0" xfId="0" applyFont="1"/>
    <xf numFmtId="173" fontId="19" fillId="0" borderId="7" xfId="0" applyNumberFormat="1" applyFont="1" applyBorder="1"/>
    <xf numFmtId="0" fontId="12" fillId="0" borderId="0" xfId="0" applyFont="1"/>
    <xf numFmtId="0" fontId="6" fillId="9" borderId="0" xfId="0" applyFont="1" applyFill="1" applyAlignment="1">
      <alignment vertical="center"/>
    </xf>
    <xf numFmtId="10" fontId="2" fillId="9" borderId="0" xfId="0" applyNumberFormat="1" applyFont="1" applyFill="1" applyAlignment="1">
      <alignment vertical="center"/>
    </xf>
    <xf numFmtId="189" fontId="21" fillId="9" borderId="0" xfId="0" applyNumberFormat="1" applyFont="1" applyFill="1" applyAlignment="1">
      <alignment vertical="center"/>
    </xf>
    <xf numFmtId="190" fontId="21" fillId="9" borderId="0" xfId="0" applyNumberFormat="1" applyFont="1" applyFill="1" applyAlignment="1">
      <alignment horizontal="left" vertical="center"/>
    </xf>
    <xf numFmtId="3" fontId="22" fillId="9" borderId="0" xfId="0" applyNumberFormat="1" applyFont="1" applyFill="1" applyAlignment="1">
      <alignment horizontal="left" vertical="center"/>
    </xf>
    <xf numFmtId="173" fontId="6" fillId="9" borderId="7" xfId="0" applyNumberFormat="1" applyFont="1" applyFill="1" applyBorder="1" applyAlignment="1">
      <alignment vertical="center"/>
    </xf>
    <xf numFmtId="191" fontId="6" fillId="5" borderId="7" xfId="0" applyNumberFormat="1" applyFont="1" applyFill="1" applyBorder="1" applyAlignment="1">
      <alignment vertical="center"/>
    </xf>
    <xf numFmtId="10" fontId="2" fillId="0" borderId="0" xfId="0" applyNumberFormat="1" applyFont="1" applyAlignment="1">
      <alignment vertical="center"/>
    </xf>
    <xf numFmtId="189" fontId="21" fillId="0" borderId="0" xfId="0" applyNumberFormat="1" applyFont="1" applyAlignment="1">
      <alignment vertical="center"/>
    </xf>
    <xf numFmtId="190" fontId="21" fillId="0" borderId="0" xfId="0" applyNumberFormat="1" applyFont="1" applyAlignment="1">
      <alignment horizontal="left" vertical="center"/>
    </xf>
    <xf numFmtId="3" fontId="22" fillId="0" borderId="0" xfId="0" applyNumberFormat="1" applyFont="1" applyAlignment="1">
      <alignment horizontal="left" vertical="center"/>
    </xf>
    <xf numFmtId="0" fontId="2" fillId="9" borderId="0" xfId="0" applyFont="1" applyFill="1" applyAlignment="1">
      <alignment vertical="center"/>
    </xf>
    <xf numFmtId="0" fontId="2" fillId="9" borderId="0" xfId="0" applyFont="1" applyFill="1" applyAlignment="1">
      <alignment horizontal="center" vertical="center"/>
    </xf>
    <xf numFmtId="3" fontId="22" fillId="9" borderId="0" xfId="0" applyNumberFormat="1" applyFont="1" applyFill="1" applyAlignment="1">
      <alignment horizontal="right" vertical="center"/>
    </xf>
    <xf numFmtId="3" fontId="22" fillId="0" borderId="0" xfId="0" applyNumberFormat="1" applyFont="1" applyAlignment="1">
      <alignment horizontal="right" vertical="center"/>
    </xf>
    <xf numFmtId="191" fontId="6" fillId="0" borderId="7" xfId="0" applyNumberFormat="1" applyFont="1" applyBorder="1" applyAlignment="1">
      <alignment vertical="center"/>
    </xf>
    <xf numFmtId="179" fontId="18" fillId="0" borderId="0" xfId="0" applyNumberFormat="1" applyFont="1" applyAlignment="1">
      <alignment vertical="center"/>
    </xf>
    <xf numFmtId="173" fontId="6" fillId="5" borderId="7" xfId="0" applyNumberFormat="1" applyFont="1" applyFill="1" applyBorder="1" applyAlignment="1">
      <alignment vertical="center"/>
    </xf>
    <xf numFmtId="173" fontId="14" fillId="9" borderId="7" xfId="0" applyNumberFormat="1" applyFont="1" applyFill="1" applyBorder="1" applyAlignment="1">
      <alignment vertical="center"/>
    </xf>
    <xf numFmtId="2" fontId="2" fillId="0" borderId="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192" fontId="21" fillId="0" borderId="7" xfId="0" applyNumberFormat="1" applyFont="1" applyBorder="1"/>
    <xf numFmtId="10" fontId="21" fillId="0" borderId="0" xfId="0" applyNumberFormat="1" applyFont="1"/>
    <xf numFmtId="0" fontId="2" fillId="0" borderId="7" xfId="0" applyFont="1" applyBorder="1"/>
    <xf numFmtId="0" fontId="13" fillId="0" borderId="7" xfId="0" applyFont="1" applyBorder="1"/>
    <xf numFmtId="10" fontId="21" fillId="9" borderId="0" xfId="0" applyNumberFormat="1" applyFont="1" applyFill="1" applyAlignment="1">
      <alignment vertical="center"/>
    </xf>
    <xf numFmtId="170" fontId="2" fillId="9" borderId="0" xfId="0" applyNumberFormat="1" applyFont="1" applyFill="1" applyAlignment="1">
      <alignment vertical="center"/>
    </xf>
    <xf numFmtId="170" fontId="2" fillId="0" borderId="0" xfId="0" applyNumberFormat="1" applyFont="1" applyAlignment="1">
      <alignment vertical="center"/>
    </xf>
    <xf numFmtId="0" fontId="2" fillId="0" borderId="7" xfId="0" applyFont="1" applyBorder="1" applyAlignment="1">
      <alignment vertical="center"/>
    </xf>
    <xf numFmtId="173" fontId="2" fillId="0" borderId="5" xfId="0" applyNumberFormat="1" applyFont="1" applyBorder="1" applyAlignment="1">
      <alignment vertical="center"/>
    </xf>
    <xf numFmtId="173" fontId="2" fillId="0" borderId="7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70" fontId="18" fillId="0" borderId="7" xfId="0" applyNumberFormat="1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93" fontId="21" fillId="0" borderId="7" xfId="0" applyNumberFormat="1" applyFont="1" applyBorder="1"/>
    <xf numFmtId="0" fontId="13" fillId="0" borderId="7" xfId="0" applyFont="1" applyBorder="1" applyAlignment="1">
      <alignment vertical="center"/>
    </xf>
    <xf numFmtId="3" fontId="21" fillId="0" borderId="0" xfId="0" applyNumberFormat="1" applyFont="1"/>
    <xf numFmtId="10" fontId="19" fillId="9" borderId="0" xfId="0" applyNumberFormat="1" applyFont="1" applyFill="1" applyAlignment="1">
      <alignment vertical="center"/>
    </xf>
    <xf numFmtId="10" fontId="22" fillId="0" borderId="0" xfId="0" applyNumberFormat="1" applyFont="1" applyAlignment="1">
      <alignment vertical="center"/>
    </xf>
    <xf numFmtId="0" fontId="2" fillId="9" borderId="0" xfId="0" applyFont="1" applyFill="1" applyAlignment="1">
      <alignment horizontal="right" vertical="center"/>
    </xf>
    <xf numFmtId="9" fontId="21" fillId="9" borderId="0" xfId="0" applyNumberFormat="1" applyFont="1" applyFill="1"/>
    <xf numFmtId="180" fontId="21" fillId="9" borderId="0" xfId="0" applyNumberFormat="1" applyFont="1" applyFill="1" applyAlignment="1">
      <alignment horizontal="left"/>
    </xf>
    <xf numFmtId="10" fontId="22" fillId="9" borderId="0" xfId="0" applyNumberFormat="1" applyFont="1" applyFill="1" applyAlignment="1">
      <alignment vertical="center"/>
    </xf>
    <xf numFmtId="0" fontId="25" fillId="8" borderId="15" xfId="0" applyFont="1" applyFill="1" applyBorder="1"/>
    <xf numFmtId="173" fontId="24" fillId="5" borderId="18" xfId="0" applyNumberFormat="1" applyFont="1" applyFill="1" applyBorder="1" applyAlignment="1">
      <alignment vertical="center"/>
    </xf>
    <xf numFmtId="0" fontId="25" fillId="8" borderId="9" xfId="0" applyFont="1" applyFill="1" applyBorder="1"/>
    <xf numFmtId="173" fontId="24" fillId="5" borderId="10" xfId="0" applyNumberFormat="1" applyFont="1" applyFill="1" applyBorder="1" applyAlignment="1">
      <alignment vertical="center"/>
    </xf>
    <xf numFmtId="173" fontId="2" fillId="0" borderId="6" xfId="0" applyNumberFormat="1" applyFont="1" applyBorder="1"/>
    <xf numFmtId="175" fontId="6" fillId="10" borderId="6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vertical="center"/>
    </xf>
    <xf numFmtId="0" fontId="2" fillId="10" borderId="0" xfId="0" applyFont="1" applyFill="1"/>
    <xf numFmtId="173" fontId="6" fillId="10" borderId="7" xfId="0" applyNumberFormat="1" applyFont="1" applyFill="1" applyBorder="1"/>
    <xf numFmtId="173" fontId="14" fillId="10" borderId="7" xfId="0" applyNumberFormat="1" applyFont="1" applyFill="1" applyBorder="1"/>
    <xf numFmtId="2" fontId="21" fillId="0" borderId="6" xfId="0" applyNumberFormat="1" applyFont="1" applyBorder="1" applyAlignment="1">
      <alignment horizontal="center" vertical="center"/>
    </xf>
    <xf numFmtId="175" fontId="21" fillId="0" borderId="0" xfId="0" applyNumberFormat="1" applyFont="1"/>
    <xf numFmtId="0" fontId="2" fillId="0" borderId="21" xfId="0" applyFont="1" applyBorder="1"/>
    <xf numFmtId="0" fontId="21" fillId="0" borderId="7" xfId="0" applyFont="1" applyBorder="1" applyAlignment="1">
      <alignment horizontal="right"/>
    </xf>
    <xf numFmtId="173" fontId="21" fillId="0" borderId="0" xfId="0" applyNumberFormat="1" applyFont="1" applyAlignment="1">
      <alignment vertical="center"/>
    </xf>
    <xf numFmtId="0" fontId="21" fillId="0" borderId="0" xfId="0" applyFont="1" applyAlignment="1">
      <alignment horizontal="right"/>
    </xf>
    <xf numFmtId="173" fontId="2" fillId="0" borderId="0" xfId="0" applyNumberFormat="1" applyFont="1" applyAlignment="1">
      <alignment horizontal="center"/>
    </xf>
    <xf numFmtId="0" fontId="25" fillId="0" borderId="5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5" fillId="4" borderId="15" xfId="0" applyFont="1" applyFill="1" applyBorder="1"/>
    <xf numFmtId="173" fontId="24" fillId="4" borderId="18" xfId="0" applyNumberFormat="1" applyFont="1" applyFill="1" applyBorder="1"/>
    <xf numFmtId="173" fontId="24" fillId="0" borderId="5" xfId="0" applyNumberFormat="1" applyFont="1" applyBorder="1"/>
    <xf numFmtId="173" fontId="24" fillId="5" borderId="18" xfId="0" applyNumberFormat="1" applyFont="1" applyFill="1" applyBorder="1"/>
    <xf numFmtId="173" fontId="24" fillId="0" borderId="0" xfId="0" applyNumberFormat="1" applyFont="1"/>
    <xf numFmtId="173" fontId="14" fillId="4" borderId="18" xfId="0" applyNumberFormat="1" applyFont="1" applyFill="1" applyBorder="1"/>
    <xf numFmtId="0" fontId="25" fillId="4" borderId="9" xfId="0" applyFont="1" applyFill="1" applyBorder="1"/>
    <xf numFmtId="10" fontId="24" fillId="4" borderId="10" xfId="0" applyNumberFormat="1" applyFont="1" applyFill="1" applyBorder="1"/>
    <xf numFmtId="10" fontId="24" fillId="5" borderId="10" xfId="0" applyNumberFormat="1" applyFont="1" applyFill="1" applyBorder="1"/>
    <xf numFmtId="10" fontId="14" fillId="4" borderId="10" xfId="0" applyNumberFormat="1" applyFont="1" applyFill="1" applyBorder="1"/>
    <xf numFmtId="175" fontId="6" fillId="11" borderId="6" xfId="0" applyNumberFormat="1" applyFont="1" applyFill="1" applyBorder="1" applyAlignment="1">
      <alignment horizontal="center"/>
    </xf>
    <xf numFmtId="0" fontId="6" fillId="11" borderId="0" xfId="0" applyFont="1" applyFill="1"/>
    <xf numFmtId="173" fontId="17" fillId="11" borderId="7" xfId="0" applyNumberFormat="1" applyFont="1" applyFill="1" applyBorder="1"/>
    <xf numFmtId="164" fontId="17" fillId="0" borderId="5" xfId="0" applyNumberFormat="1" applyFont="1" applyBorder="1"/>
    <xf numFmtId="173" fontId="14" fillId="11" borderId="7" xfId="0" applyNumberFormat="1" applyFont="1" applyFill="1" applyBorder="1"/>
    <xf numFmtId="175" fontId="6" fillId="0" borderId="6" xfId="0" applyNumberFormat="1" applyFont="1" applyBorder="1" applyAlignment="1">
      <alignment horizontal="center"/>
    </xf>
    <xf numFmtId="194" fontId="2" fillId="0" borderId="0" xfId="0" applyNumberFormat="1" applyFont="1"/>
    <xf numFmtId="9" fontId="2" fillId="0" borderId="0" xfId="0" applyNumberFormat="1" applyFont="1" applyAlignment="1">
      <alignment horizontal="left"/>
    </xf>
    <xf numFmtId="195" fontId="2" fillId="0" borderId="0" xfId="0" applyNumberFormat="1" applyFont="1" applyAlignment="1">
      <alignment horizontal="left"/>
    </xf>
    <xf numFmtId="170" fontId="21" fillId="0" borderId="0" xfId="0" applyNumberFormat="1" applyFont="1"/>
    <xf numFmtId="195" fontId="21" fillId="0" borderId="0" xfId="0" applyNumberFormat="1" applyFont="1" applyAlignment="1">
      <alignment horizontal="left"/>
    </xf>
    <xf numFmtId="196" fontId="17" fillId="0" borderId="10" xfId="0" applyNumberFormat="1" applyFont="1" applyBorder="1" applyAlignment="1">
      <alignment horizontal="center" vertical="center"/>
    </xf>
    <xf numFmtId="196" fontId="17" fillId="0" borderId="0" xfId="0" applyNumberFormat="1" applyFont="1" applyAlignment="1">
      <alignment horizontal="center" vertical="center"/>
    </xf>
    <xf numFmtId="173" fontId="25" fillId="0" borderId="0" xfId="0" applyNumberFormat="1" applyFont="1" applyAlignment="1">
      <alignment vertical="center"/>
    </xf>
    <xf numFmtId="0" fontId="24" fillId="4" borderId="15" xfId="0" applyFont="1" applyFill="1" applyBorder="1"/>
    <xf numFmtId="0" fontId="24" fillId="4" borderId="9" xfId="0" applyFont="1" applyFill="1" applyBorder="1"/>
    <xf numFmtId="0" fontId="21" fillId="9" borderId="0" xfId="0" applyFont="1" applyFill="1"/>
    <xf numFmtId="197" fontId="6" fillId="9" borderId="0" xfId="0" applyNumberFormat="1" applyFont="1" applyFill="1" applyAlignment="1">
      <alignment horizontal="right" vertical="center"/>
    </xf>
    <xf numFmtId="173" fontId="21" fillId="9" borderId="7" xfId="0" applyNumberFormat="1" applyFont="1" applyFill="1" applyBorder="1"/>
    <xf numFmtId="164" fontId="6" fillId="0" borderId="0" xfId="0" applyNumberFormat="1" applyFont="1" applyAlignment="1">
      <alignment horizontal="right" vertical="center"/>
    </xf>
    <xf numFmtId="173" fontId="18" fillId="0" borderId="7" xfId="0" applyNumberFormat="1" applyFont="1" applyBorder="1"/>
    <xf numFmtId="175" fontId="6" fillId="10" borderId="6" xfId="0" applyNumberFormat="1" applyFont="1" applyFill="1" applyBorder="1" applyAlignment="1">
      <alignment horizontal="center"/>
    </xf>
    <xf numFmtId="0" fontId="6" fillId="10" borderId="0" xfId="0" applyFont="1" applyFill="1"/>
    <xf numFmtId="0" fontId="21" fillId="10" borderId="0" xfId="0" applyFont="1" applyFill="1"/>
    <xf numFmtId="164" fontId="6" fillId="10" borderId="0" xfId="0" applyNumberFormat="1" applyFont="1" applyFill="1" applyAlignment="1">
      <alignment horizontal="right" vertical="center"/>
    </xf>
    <xf numFmtId="173" fontId="21" fillId="10" borderId="7" xfId="0" applyNumberFormat="1" applyFont="1" applyFill="1" applyBorder="1"/>
    <xf numFmtId="0" fontId="21" fillId="11" borderId="0" xfId="0" applyFont="1" applyFill="1"/>
    <xf numFmtId="164" fontId="6" fillId="11" borderId="0" xfId="0" applyNumberFormat="1" applyFont="1" applyFill="1" applyAlignment="1">
      <alignment horizontal="right" vertical="center"/>
    </xf>
    <xf numFmtId="173" fontId="21" fillId="11" borderId="7" xfId="0" applyNumberFormat="1" applyFont="1" applyFill="1" applyBorder="1"/>
    <xf numFmtId="170" fontId="2" fillId="0" borderId="0" xfId="0" applyNumberFormat="1" applyFont="1"/>
    <xf numFmtId="173" fontId="6" fillId="0" borderId="13" xfId="0" applyNumberFormat="1" applyFont="1" applyBorder="1"/>
    <xf numFmtId="173" fontId="14" fillId="0" borderId="13" xfId="0" applyNumberFormat="1" applyFont="1" applyBorder="1"/>
    <xf numFmtId="0" fontId="24" fillId="4" borderId="17" xfId="0" applyFont="1" applyFill="1" applyBorder="1" applyAlignment="1">
      <alignment vertical="center"/>
    </xf>
    <xf numFmtId="0" fontId="25" fillId="4" borderId="15" xfId="0" applyFont="1" applyFill="1" applyBorder="1" applyAlignment="1">
      <alignment vertical="center"/>
    </xf>
    <xf numFmtId="0" fontId="24" fillId="4" borderId="22" xfId="0" applyFont="1" applyFill="1" applyBorder="1" applyAlignment="1">
      <alignment vertical="center"/>
    </xf>
    <xf numFmtId="0" fontId="25" fillId="4" borderId="1" xfId="0" applyFont="1" applyFill="1" applyBorder="1" applyAlignment="1">
      <alignment vertical="center"/>
    </xf>
    <xf numFmtId="0" fontId="24" fillId="4" borderId="1" xfId="0" applyFont="1" applyFill="1" applyBorder="1"/>
    <xf numFmtId="10" fontId="24" fillId="4" borderId="23" xfId="0" applyNumberFormat="1" applyFont="1" applyFill="1" applyBorder="1"/>
    <xf numFmtId="10" fontId="24" fillId="5" borderId="23" xfId="0" applyNumberFormat="1" applyFont="1" applyFill="1" applyBorder="1"/>
    <xf numFmtId="10" fontId="14" fillId="4" borderId="23" xfId="0" applyNumberFormat="1" applyFont="1" applyFill="1" applyBorder="1"/>
    <xf numFmtId="0" fontId="34" fillId="0" borderId="0" xfId="0" applyFont="1"/>
    <xf numFmtId="0" fontId="35" fillId="0" borderId="0" xfId="0" applyFont="1"/>
    <xf numFmtId="0" fontId="24" fillId="0" borderId="0" xfId="0" applyFont="1"/>
    <xf numFmtId="10" fontId="18" fillId="0" borderId="0" xfId="0" applyNumberFormat="1" applyFont="1"/>
    <xf numFmtId="0" fontId="36" fillId="0" borderId="0" xfId="0" applyFont="1"/>
    <xf numFmtId="10" fontId="37" fillId="0" borderId="0" xfId="0" applyNumberFormat="1" applyFont="1"/>
    <xf numFmtId="0" fontId="6" fillId="0" borderId="0" xfId="0" applyFont="1" applyAlignment="1">
      <alignment horizontal="right" vertical="center" wrapText="1"/>
    </xf>
    <xf numFmtId="0" fontId="40" fillId="0" borderId="0" xfId="0" applyFont="1" applyAlignment="1">
      <alignment horizontal="left" vertical="center"/>
    </xf>
    <xf numFmtId="0" fontId="42" fillId="12" borderId="0" xfId="0" applyFont="1" applyFill="1" applyAlignment="1">
      <alignment horizontal="left" vertical="center"/>
    </xf>
    <xf numFmtId="0" fontId="43" fillId="12" borderId="1" xfId="0" applyFont="1" applyFill="1" applyBorder="1" applyAlignment="1">
      <alignment horizontal="center" vertical="center"/>
    </xf>
    <xf numFmtId="0" fontId="44" fillId="12" borderId="1" xfId="0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0" fontId="42" fillId="14" borderId="1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17" fontId="45" fillId="0" borderId="0" xfId="0" applyNumberFormat="1" applyFont="1" applyAlignment="1">
      <alignment horizontal="center" vertical="center"/>
    </xf>
    <xf numFmtId="0" fontId="46" fillId="15" borderId="0" xfId="0" applyFont="1" applyFill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7" fillId="0" borderId="0" xfId="0" applyFont="1" applyAlignment="1">
      <alignment horizontal="center" vertical="center"/>
    </xf>
    <xf numFmtId="198" fontId="48" fillId="0" borderId="0" xfId="0" applyNumberFormat="1" applyFont="1" applyAlignment="1">
      <alignment horizontal="center" vertical="center"/>
    </xf>
    <xf numFmtId="10" fontId="47" fillId="0" borderId="0" xfId="0" applyNumberFormat="1" applyFont="1" applyAlignment="1">
      <alignment horizontal="center" vertical="center"/>
    </xf>
    <xf numFmtId="170" fontId="47" fillId="0" borderId="0" xfId="0" applyNumberFormat="1" applyFont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44" fillId="13" borderId="0" xfId="0" applyFont="1" applyFill="1" applyAlignment="1">
      <alignment horizontal="center" vertical="center"/>
    </xf>
    <xf numFmtId="0" fontId="43" fillId="14" borderId="0" xfId="0" applyFont="1" applyFill="1" applyAlignment="1">
      <alignment horizontal="center" vertical="center"/>
    </xf>
    <xf numFmtId="0" fontId="49" fillId="0" borderId="0" xfId="0" applyFont="1" applyAlignment="1">
      <alignment horizontal="center"/>
    </xf>
    <xf numFmtId="199" fontId="47" fillId="0" borderId="0" xfId="0" applyNumberFormat="1" applyFont="1" applyAlignment="1">
      <alignment horizontal="center"/>
    </xf>
    <xf numFmtId="199" fontId="40" fillId="16" borderId="0" xfId="0" applyNumberFormat="1" applyFont="1" applyFill="1" applyAlignment="1">
      <alignment horizontal="center"/>
    </xf>
    <xf numFmtId="0" fontId="44" fillId="14" borderId="0" xfId="0" applyFont="1" applyFill="1" applyAlignment="1">
      <alignment horizontal="center" vertical="center"/>
    </xf>
    <xf numFmtId="198" fontId="46" fillId="0" borderId="0" xfId="0" applyNumberFormat="1" applyFont="1" applyAlignment="1">
      <alignment horizontal="center" vertical="center"/>
    </xf>
    <xf numFmtId="198" fontId="50" fillId="16" borderId="24" xfId="0" applyNumberFormat="1" applyFont="1" applyFill="1" applyBorder="1" applyAlignment="1">
      <alignment horizontal="center" vertical="center"/>
    </xf>
    <xf numFmtId="0" fontId="51" fillId="14" borderId="0" xfId="0" applyFont="1" applyFill="1" applyAlignment="1">
      <alignment horizontal="left" vertical="center"/>
    </xf>
    <xf numFmtId="198" fontId="50" fillId="17" borderId="24" xfId="0" applyNumberFormat="1" applyFont="1" applyFill="1" applyBorder="1" applyAlignment="1">
      <alignment horizontal="center" vertical="center"/>
    </xf>
    <xf numFmtId="0" fontId="43" fillId="18" borderId="0" xfId="0" applyFont="1" applyFill="1" applyAlignment="1">
      <alignment horizontal="center" vertical="center"/>
    </xf>
    <xf numFmtId="0" fontId="44" fillId="18" borderId="0" xfId="0" applyFont="1" applyFill="1" applyAlignment="1">
      <alignment horizontal="center" vertical="center"/>
    </xf>
    <xf numFmtId="0" fontId="46" fillId="0" borderId="0" xfId="0" applyFont="1" applyAlignment="1">
      <alignment vertical="center" indent="1"/>
    </xf>
    <xf numFmtId="0" fontId="52" fillId="0" borderId="0" xfId="0" applyFont="1" applyAlignment="1">
      <alignment horizontal="center" vertical="center"/>
    </xf>
    <xf numFmtId="198" fontId="50" fillId="19" borderId="24" xfId="0" applyNumberFormat="1" applyFont="1" applyFill="1" applyBorder="1" applyAlignment="1">
      <alignment horizontal="center" vertical="center"/>
    </xf>
    <xf numFmtId="0" fontId="51" fillId="18" borderId="0" xfId="0" applyFont="1" applyFill="1" applyAlignment="1">
      <alignment horizontal="left" vertical="center"/>
    </xf>
    <xf numFmtId="0" fontId="42" fillId="20" borderId="0" xfId="0" applyFont="1" applyFill="1" applyAlignment="1">
      <alignment horizontal="left" vertical="center"/>
    </xf>
    <xf numFmtId="198" fontId="51" fillId="20" borderId="24" xfId="0" applyNumberFormat="1" applyFont="1" applyFill="1" applyBorder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0" fontId="44" fillId="12" borderId="0" xfId="0" applyFont="1" applyFill="1" applyAlignment="1">
      <alignment horizontal="center" vertical="center"/>
    </xf>
    <xf numFmtId="0" fontId="40" fillId="15" borderId="0" xfId="0" applyFont="1" applyFill="1" applyAlignment="1">
      <alignment horizontal="left" vertical="center"/>
    </xf>
    <xf numFmtId="198" fontId="53" fillId="0" borderId="0" xfId="0" applyNumberFormat="1" applyFont="1" applyAlignment="1">
      <alignment horizontal="center" vertical="center"/>
    </xf>
    <xf numFmtId="198" fontId="53" fillId="16" borderId="0" xfId="0" applyNumberFormat="1" applyFont="1" applyFill="1" applyAlignment="1">
      <alignment horizontal="center" vertical="center"/>
    </xf>
    <xf numFmtId="198" fontId="54" fillId="0" borderId="0" xfId="0" applyNumberFormat="1" applyFont="1" applyAlignment="1">
      <alignment horizontal="center" vertical="center"/>
    </xf>
    <xf numFmtId="198" fontId="54" fillId="16" borderId="0" xfId="0" applyNumberFormat="1" applyFont="1" applyFill="1" applyAlignment="1">
      <alignment horizontal="center" vertical="center"/>
    </xf>
    <xf numFmtId="0" fontId="51" fillId="12" borderId="0" xfId="0" applyFont="1" applyFill="1" applyAlignment="1">
      <alignment horizontal="left" vertical="center"/>
    </xf>
    <xf numFmtId="198" fontId="51" fillId="12" borderId="24" xfId="0" applyNumberFormat="1" applyFont="1" applyFill="1" applyBorder="1" applyAlignment="1">
      <alignment horizontal="center" vertical="center"/>
    </xf>
    <xf numFmtId="0" fontId="51" fillId="13" borderId="0" xfId="0" applyFont="1" applyFill="1" applyAlignment="1">
      <alignment horizontal="left" vertical="center"/>
    </xf>
    <xf numFmtId="198" fontId="51" fillId="13" borderId="0" xfId="0" applyNumberFormat="1" applyFont="1" applyFill="1" applyAlignment="1">
      <alignment horizontal="center" vertical="center"/>
    </xf>
    <xf numFmtId="198" fontId="55" fillId="19" borderId="0" xfId="0" applyNumberFormat="1" applyFont="1" applyFill="1" applyAlignment="1">
      <alignment horizontal="center" vertical="center"/>
    </xf>
    <xf numFmtId="198" fontId="56" fillId="15" borderId="0" xfId="0" applyNumberFormat="1" applyFont="1" applyFill="1" applyAlignment="1">
      <alignment horizontal="center" vertical="center"/>
    </xf>
    <xf numFmtId="0" fontId="46" fillId="21" borderId="0" xfId="0" applyFont="1" applyFill="1" applyAlignment="1">
      <alignment horizontal="left" vertical="center"/>
    </xf>
    <xf numFmtId="198" fontId="56" fillId="21" borderId="0" xfId="0" applyNumberFormat="1" applyFont="1" applyFill="1" applyAlignment="1">
      <alignment horizontal="center" vertical="center"/>
    </xf>
    <xf numFmtId="199" fontId="56" fillId="15" borderId="0" xfId="0" applyNumberFormat="1" applyFont="1" applyFill="1" applyAlignment="1">
      <alignment horizontal="center" vertical="center"/>
    </xf>
    <xf numFmtId="1" fontId="56" fillId="15" borderId="0" xfId="0" applyNumberFormat="1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200" fontId="58" fillId="15" borderId="0" xfId="0" applyNumberFormat="1" applyFont="1" applyFill="1" applyAlignment="1">
      <alignment horizontal="center" vertical="center"/>
    </xf>
    <xf numFmtId="198" fontId="59" fillId="15" borderId="0" xfId="0" applyNumberFormat="1" applyFont="1" applyFill="1" applyAlignment="1">
      <alignment horizontal="center" vertical="center"/>
    </xf>
    <xf numFmtId="0" fontId="57" fillId="21" borderId="0" xfId="0" applyFont="1" applyFill="1" applyAlignment="1">
      <alignment horizontal="center" vertical="center"/>
    </xf>
    <xf numFmtId="200" fontId="58" fillId="21" borderId="0" xfId="0" applyNumberFormat="1" applyFont="1" applyFill="1" applyAlignment="1">
      <alignment horizontal="center" vertical="center"/>
    </xf>
    <xf numFmtId="198" fontId="59" fillId="21" borderId="0" xfId="0" applyNumberFormat="1" applyFont="1" applyFill="1" applyAlignment="1">
      <alignment horizontal="center" vertical="center"/>
    </xf>
    <xf numFmtId="10" fontId="51" fillId="12" borderId="14" xfId="0" applyNumberFormat="1" applyFont="1" applyFill="1" applyBorder="1" applyAlignment="1">
      <alignment horizontal="center" vertical="center"/>
    </xf>
    <xf numFmtId="10" fontId="51" fillId="13" borderId="14" xfId="0" applyNumberFormat="1" applyFont="1" applyFill="1" applyBorder="1" applyAlignment="1">
      <alignment horizontal="center" vertical="center"/>
    </xf>
    <xf numFmtId="198" fontId="0" fillId="0" borderId="0" xfId="0" applyNumberFormat="1"/>
    <xf numFmtId="198" fontId="60" fillId="22" borderId="14" xfId="0" applyNumberFormat="1" applyFont="1" applyFill="1" applyBorder="1" applyAlignment="1">
      <alignment horizontal="center" vertical="center"/>
    </xf>
    <xf numFmtId="198" fontId="50" fillId="15" borderId="14" xfId="0" applyNumberFormat="1" applyFont="1" applyFill="1" applyBorder="1" applyAlignment="1">
      <alignment horizontal="center" vertical="center"/>
    </xf>
    <xf numFmtId="201" fontId="50" fillId="15" borderId="14" xfId="0" applyNumberFormat="1" applyFont="1" applyFill="1" applyBorder="1" applyAlignment="1">
      <alignment horizontal="center" vertical="center"/>
    </xf>
    <xf numFmtId="170" fontId="50" fillId="15" borderId="14" xfId="0" applyNumberFormat="1" applyFont="1" applyFill="1" applyBorder="1" applyAlignment="1">
      <alignment horizontal="center" vertical="center"/>
    </xf>
    <xf numFmtId="1" fontId="50" fillId="15" borderId="14" xfId="0" applyNumberFormat="1" applyFont="1" applyFill="1" applyBorder="1" applyAlignment="1">
      <alignment horizontal="center" vertical="center"/>
    </xf>
    <xf numFmtId="3" fontId="58" fillId="0" borderId="0" xfId="0" applyNumberFormat="1" applyFont="1" applyAlignment="1">
      <alignment horizontal="center"/>
    </xf>
    <xf numFmtId="9" fontId="58" fillId="0" borderId="0" xfId="0" applyNumberFormat="1" applyFont="1" applyAlignment="1">
      <alignment horizontal="center"/>
    </xf>
    <xf numFmtId="0" fontId="43" fillId="12" borderId="14" xfId="0" applyFont="1" applyFill="1" applyBorder="1" applyAlignment="1">
      <alignment horizontal="center" vertical="center" wrapText="1"/>
    </xf>
    <xf numFmtId="0" fontId="42" fillId="13" borderId="14" xfId="0" applyFont="1" applyFill="1" applyBorder="1" applyAlignment="1">
      <alignment horizontal="center" vertical="center"/>
    </xf>
    <xf numFmtId="0" fontId="42" fillId="23" borderId="25" xfId="0" applyFont="1" applyFill="1" applyBorder="1" applyAlignment="1">
      <alignment horizontal="center" vertical="center"/>
    </xf>
    <xf numFmtId="0" fontId="61" fillId="13" borderId="14" xfId="0" applyFont="1" applyFill="1" applyBorder="1" applyAlignment="1">
      <alignment horizontal="center" vertical="center" wrapText="1"/>
    </xf>
    <xf numFmtId="10" fontId="0" fillId="24" borderId="14" xfId="0" applyNumberFormat="1" applyFill="1" applyBorder="1" applyAlignment="1">
      <alignment horizontal="center" vertical="center"/>
    </xf>
    <xf numFmtId="0" fontId="43" fillId="23" borderId="25" xfId="0" applyFont="1" applyFill="1" applyBorder="1" applyAlignment="1">
      <alignment horizontal="center" vertical="center" wrapText="1"/>
    </xf>
    <xf numFmtId="10" fontId="62" fillId="4" borderId="25" xfId="0" applyNumberFormat="1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/>
    </xf>
    <xf numFmtId="0" fontId="63" fillId="17" borderId="14" xfId="0" applyFont="1" applyFill="1" applyBorder="1" applyAlignment="1">
      <alignment horizontal="center" vertical="center"/>
    </xf>
    <xf numFmtId="0" fontId="63" fillId="25" borderId="14" xfId="0" applyFont="1" applyFill="1" applyBorder="1" applyAlignment="1">
      <alignment horizontal="center" vertical="center"/>
    </xf>
    <xf numFmtId="0" fontId="63" fillId="26" borderId="14" xfId="0" applyFont="1" applyFill="1" applyBorder="1" applyAlignment="1">
      <alignment horizontal="center" vertical="center"/>
    </xf>
    <xf numFmtId="199" fontId="58" fillId="0" borderId="0" xfId="0" applyNumberFormat="1" applyFont="1" applyAlignment="1">
      <alignment horizontal="center" vertical="center"/>
    </xf>
    <xf numFmtId="199" fontId="0" fillId="0" borderId="0" xfId="0" applyNumberFormat="1" applyAlignment="1">
      <alignment horizontal="center" vertical="center"/>
    </xf>
    <xf numFmtId="0" fontId="43" fillId="14" borderId="14" xfId="0" applyFont="1" applyFill="1" applyBorder="1" applyAlignment="1">
      <alignment horizontal="center" vertical="center" wrapText="1"/>
    </xf>
    <xf numFmtId="199" fontId="42" fillId="14" borderId="14" xfId="0" applyNumberFormat="1" applyFont="1" applyFill="1" applyBorder="1" applyAlignment="1">
      <alignment horizontal="center" vertical="center"/>
    </xf>
    <xf numFmtId="199" fontId="42" fillId="23" borderId="25" xfId="0" applyNumberFormat="1" applyFont="1" applyFill="1" applyBorder="1" applyAlignment="1">
      <alignment horizontal="center" vertical="center"/>
    </xf>
    <xf numFmtId="0" fontId="61" fillId="14" borderId="14" xfId="0" applyFont="1" applyFill="1" applyBorder="1" applyAlignment="1">
      <alignment horizontal="center" vertical="center" wrapText="1"/>
    </xf>
    <xf numFmtId="199" fontId="0" fillId="24" borderId="14" xfId="0" applyNumberFormat="1" applyFill="1" applyBorder="1" applyAlignment="1">
      <alignment horizontal="center" vertical="center"/>
    </xf>
    <xf numFmtId="199" fontId="62" fillId="4" borderId="25" xfId="0" applyNumberFormat="1" applyFont="1" applyFill="1" applyBorder="1" applyAlignment="1">
      <alignment horizontal="center" vertical="center"/>
    </xf>
    <xf numFmtId="170" fontId="0" fillId="24" borderId="14" xfId="0" applyNumberFormat="1" applyFill="1" applyBorder="1" applyAlignment="1">
      <alignment horizontal="center" vertical="center"/>
    </xf>
    <xf numFmtId="0" fontId="61" fillId="13" borderId="14" xfId="0" applyFont="1" applyFill="1" applyBorder="1" applyAlignment="1">
      <alignment horizontal="center" vertical="center"/>
    </xf>
    <xf numFmtId="198" fontId="0" fillId="24" borderId="14" xfId="0" applyNumberFormat="1" applyFill="1" applyBorder="1" applyAlignment="1">
      <alignment horizontal="center" vertical="center"/>
    </xf>
    <xf numFmtId="0" fontId="43" fillId="23" borderId="25" xfId="0" applyFont="1" applyFill="1" applyBorder="1" applyAlignment="1">
      <alignment horizontal="center" vertical="center"/>
    </xf>
    <xf numFmtId="198" fontId="62" fillId="4" borderId="25" xfId="0" applyNumberFormat="1" applyFont="1" applyFill="1" applyBorder="1" applyAlignment="1">
      <alignment horizontal="center" vertical="center"/>
    </xf>
    <xf numFmtId="0" fontId="43" fillId="18" borderId="14" xfId="0" applyFont="1" applyFill="1" applyBorder="1" applyAlignment="1">
      <alignment horizontal="center" vertical="center" wrapText="1"/>
    </xf>
    <xf numFmtId="49" fontId="46" fillId="15" borderId="14" xfId="0" applyNumberFormat="1" applyFont="1" applyFill="1" applyBorder="1" applyAlignment="1">
      <alignment horizontal="center" vertical="center"/>
    </xf>
    <xf numFmtId="198" fontId="48" fillId="15" borderId="14" xfId="0" applyNumberFormat="1" applyFont="1" applyFill="1" applyBorder="1" applyAlignment="1">
      <alignment horizontal="center" vertical="center"/>
    </xf>
    <xf numFmtId="198" fontId="46" fillId="15" borderId="14" xfId="0" applyNumberFormat="1" applyFont="1" applyFill="1" applyBorder="1" applyAlignment="1">
      <alignment horizontal="center" vertical="center"/>
    </xf>
    <xf numFmtId="202" fontId="64" fillId="15" borderId="14" xfId="0" applyNumberFormat="1" applyFont="1" applyFill="1" applyBorder="1" applyAlignment="1">
      <alignment horizontal="center" vertical="center"/>
    </xf>
    <xf numFmtId="49" fontId="65" fillId="15" borderId="14" xfId="0" applyNumberFormat="1" applyFont="1" applyFill="1" applyBorder="1" applyAlignment="1">
      <alignment horizontal="left" vertical="center"/>
    </xf>
    <xf numFmtId="199" fontId="0" fillId="0" borderId="0" xfId="0" applyNumberFormat="1"/>
    <xf numFmtId="199" fontId="46" fillId="21" borderId="14" xfId="0" applyNumberFormat="1" applyFont="1" applyFill="1" applyBorder="1" applyAlignment="1">
      <alignment horizontal="center" vertical="center"/>
    </xf>
    <xf numFmtId="198" fontId="48" fillId="21" borderId="14" xfId="0" applyNumberFormat="1" applyFont="1" applyFill="1" applyBorder="1" applyAlignment="1">
      <alignment horizontal="center" vertical="center"/>
    </xf>
    <xf numFmtId="198" fontId="46" fillId="21" borderId="14" xfId="0" applyNumberFormat="1" applyFont="1" applyFill="1" applyBorder="1" applyAlignment="1">
      <alignment horizontal="center" vertical="center"/>
    </xf>
    <xf numFmtId="202" fontId="64" fillId="21" borderId="14" xfId="0" applyNumberFormat="1" applyFont="1" applyFill="1" applyBorder="1" applyAlignment="1">
      <alignment horizontal="center" vertical="center"/>
    </xf>
    <xf numFmtId="49" fontId="65" fillId="21" borderId="14" xfId="0" applyNumberFormat="1" applyFont="1" applyFill="1" applyBorder="1" applyAlignment="1">
      <alignment horizontal="left" vertical="center"/>
    </xf>
    <xf numFmtId="49" fontId="40" fillId="15" borderId="25" xfId="0" applyNumberFormat="1" applyFont="1" applyFill="1" applyBorder="1" applyAlignment="1">
      <alignment horizontal="center" vertical="center"/>
    </xf>
    <xf numFmtId="198" fontId="56" fillId="15" borderId="25" xfId="0" applyNumberFormat="1" applyFont="1" applyFill="1" applyBorder="1" applyAlignment="1">
      <alignment horizontal="center" vertical="center"/>
    </xf>
    <xf numFmtId="198" fontId="40" fillId="4" borderId="25" xfId="0" applyNumberFormat="1" applyFont="1" applyFill="1" applyBorder="1" applyAlignment="1">
      <alignment horizontal="center" vertical="center"/>
    </xf>
    <xf numFmtId="198" fontId="40" fillId="15" borderId="25" xfId="0" applyNumberFormat="1" applyFont="1" applyFill="1" applyBorder="1" applyAlignment="1">
      <alignment horizontal="center" vertical="center"/>
    </xf>
    <xf numFmtId="198" fontId="42" fillId="12" borderId="25" xfId="0" applyNumberFormat="1" applyFont="1" applyFill="1" applyBorder="1" applyAlignment="1">
      <alignment horizontal="center" vertical="center"/>
    </xf>
    <xf numFmtId="202" fontId="66" fillId="15" borderId="25" xfId="0" applyNumberFormat="1" applyFont="1" applyFill="1" applyBorder="1" applyAlignment="1">
      <alignment horizontal="center" vertical="center"/>
    </xf>
    <xf numFmtId="49" fontId="67" fillId="15" borderId="25" xfId="0" applyNumberFormat="1" applyFont="1" applyFill="1" applyBorder="1" applyAlignment="1">
      <alignment horizontal="left" vertical="center"/>
    </xf>
    <xf numFmtId="49" fontId="46" fillId="21" borderId="14" xfId="0" applyNumberFormat="1" applyFont="1" applyFill="1" applyBorder="1" applyAlignment="1">
      <alignment horizontal="center" vertical="center"/>
    </xf>
    <xf numFmtId="0" fontId="42" fillId="12" borderId="1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/>
    </xf>
    <xf numFmtId="0" fontId="42" fillId="23" borderId="14" xfId="0" applyFont="1" applyFill="1" applyBorder="1" applyAlignment="1">
      <alignment horizontal="center" vertical="center"/>
    </xf>
    <xf numFmtId="0" fontId="0" fillId="15" borderId="14" xfId="0" applyFill="1" applyBorder="1" applyAlignment="1">
      <alignment horizontal="left" vertical="center"/>
    </xf>
    <xf numFmtId="49" fontId="46" fillId="26" borderId="14" xfId="0" applyNumberFormat="1" applyFont="1" applyFill="1" applyBorder="1" applyAlignment="1">
      <alignment horizontal="center" vertical="center"/>
    </xf>
    <xf numFmtId="49" fontId="40" fillId="4" borderId="25" xfId="0" applyNumberFormat="1" applyFont="1" applyFill="1" applyBorder="1" applyAlignment="1">
      <alignment horizontal="center" vertical="center"/>
    </xf>
    <xf numFmtId="49" fontId="46" fillId="17" borderId="14" xfId="0" applyNumberFormat="1" applyFont="1" applyFill="1" applyBorder="1" applyAlignment="1">
      <alignment horizontal="center" vertical="center"/>
    </xf>
    <xf numFmtId="0" fontId="0" fillId="21" borderId="14" xfId="0" applyFill="1" applyBorder="1" applyAlignment="1">
      <alignment horizontal="left" vertical="center"/>
    </xf>
    <xf numFmtId="198" fontId="46" fillId="26" borderId="14" xfId="0" applyNumberFormat="1" applyFont="1" applyFill="1" applyBorder="1" applyAlignment="1">
      <alignment horizontal="center" vertical="center"/>
    </xf>
    <xf numFmtId="198" fontId="46" fillId="17" borderId="14" xfId="0" applyNumberFormat="1" applyFont="1" applyFill="1" applyBorder="1" applyAlignment="1">
      <alignment horizontal="center" vertical="center"/>
    </xf>
    <xf numFmtId="170" fontId="46" fillId="26" borderId="14" xfId="0" applyNumberFormat="1" applyFont="1" applyFill="1" applyBorder="1" applyAlignment="1">
      <alignment horizontal="center" vertical="center"/>
    </xf>
    <xf numFmtId="170" fontId="40" fillId="4" borderId="25" xfId="0" applyNumberFormat="1" applyFont="1" applyFill="1" applyBorder="1" applyAlignment="1">
      <alignment horizontal="center" vertical="center"/>
    </xf>
    <xf numFmtId="170" fontId="46" fillId="17" borderId="14" xfId="0" applyNumberFormat="1" applyFont="1" applyFill="1" applyBorder="1" applyAlignment="1">
      <alignment horizontal="center" vertical="center"/>
    </xf>
    <xf numFmtId="10" fontId="46" fillId="26" borderId="14" xfId="0" applyNumberFormat="1" applyFont="1" applyFill="1" applyBorder="1" applyAlignment="1">
      <alignment horizontal="center" vertical="center"/>
    </xf>
    <xf numFmtId="10" fontId="40" fillId="4" borderId="25" xfId="0" applyNumberFormat="1" applyFont="1" applyFill="1" applyBorder="1" applyAlignment="1">
      <alignment horizontal="center" vertical="center"/>
    </xf>
    <xf numFmtId="10" fontId="46" fillId="17" borderId="14" xfId="0" applyNumberFormat="1" applyFont="1" applyFill="1" applyBorder="1" applyAlignment="1">
      <alignment horizontal="center" vertical="center"/>
    </xf>
    <xf numFmtId="201" fontId="46" fillId="26" borderId="14" xfId="0" applyNumberFormat="1" applyFont="1" applyFill="1" applyBorder="1" applyAlignment="1">
      <alignment horizontal="center" vertical="center"/>
    </xf>
    <xf numFmtId="201" fontId="40" fillId="4" borderId="25" xfId="0" applyNumberFormat="1" applyFont="1" applyFill="1" applyBorder="1" applyAlignment="1">
      <alignment horizontal="center" vertical="center"/>
    </xf>
    <xf numFmtId="201" fontId="46" fillId="17" borderId="14" xfId="0" applyNumberFormat="1" applyFont="1" applyFill="1" applyBorder="1" applyAlignment="1">
      <alignment horizontal="center" vertical="center"/>
    </xf>
    <xf numFmtId="0" fontId="43" fillId="20" borderId="14" xfId="0" applyFont="1" applyFill="1" applyBorder="1" applyAlignment="1">
      <alignment horizontal="center" vertical="center" wrapText="1"/>
    </xf>
    <xf numFmtId="0" fontId="61" fillId="20" borderId="14" xfId="0" applyFont="1" applyFill="1" applyBorder="1" applyAlignment="1">
      <alignment horizontal="center" vertical="center"/>
    </xf>
    <xf numFmtId="170" fontId="62" fillId="4" borderId="25" xfId="0" applyNumberFormat="1" applyFont="1" applyFill="1" applyBorder="1" applyAlignment="1">
      <alignment horizontal="center" vertical="center"/>
    </xf>
    <xf numFmtId="0" fontId="49" fillId="30" borderId="0" xfId="0" applyFont="1" applyFill="1" applyAlignment="1">
      <alignment horizontal="left" vertical="center"/>
    </xf>
    <xf numFmtId="3" fontId="47" fillId="3" borderId="14" xfId="0" applyNumberFormat="1" applyFont="1" applyFill="1" applyBorder="1" applyAlignment="1">
      <alignment horizontal="center" vertical="center"/>
    </xf>
    <xf numFmtId="0" fontId="49" fillId="31" borderId="0" xfId="0" applyFont="1" applyFill="1" applyAlignment="1">
      <alignment horizontal="left" vertical="center"/>
    </xf>
    <xf numFmtId="170" fontId="47" fillId="3" borderId="14" xfId="0" applyNumberFormat="1" applyFont="1" applyFill="1" applyBorder="1" applyAlignment="1">
      <alignment horizontal="center" vertical="center"/>
    </xf>
    <xf numFmtId="0" fontId="69" fillId="28" borderId="0" xfId="0" applyFont="1" applyFill="1" applyAlignment="1">
      <alignment horizontal="center" vertical="center" wrapText="1"/>
    </xf>
    <xf numFmtId="0" fontId="69" fillId="28" borderId="14" xfId="0" applyFont="1" applyFill="1" applyBorder="1" applyAlignment="1">
      <alignment horizontal="center" vertical="center" wrapText="1"/>
    </xf>
    <xf numFmtId="0" fontId="70" fillId="32" borderId="25" xfId="0" applyFont="1" applyFill="1" applyBorder="1" applyAlignment="1">
      <alignment horizontal="center" vertical="center" wrapText="1"/>
    </xf>
    <xf numFmtId="0" fontId="69" fillId="29" borderId="0" xfId="0" applyFont="1" applyFill="1" applyAlignment="1">
      <alignment horizontal="center" vertical="center" wrapText="1"/>
    </xf>
    <xf numFmtId="0" fontId="69" fillId="29" borderId="14" xfId="0" applyFont="1" applyFill="1" applyBorder="1" applyAlignment="1">
      <alignment horizontal="center" vertical="center" wrapText="1"/>
    </xf>
    <xf numFmtId="0" fontId="70" fillId="33" borderId="25" xfId="0" applyFont="1" applyFill="1" applyBorder="1" applyAlignment="1">
      <alignment horizontal="center" vertical="center" wrapText="1"/>
    </xf>
    <xf numFmtId="0" fontId="43" fillId="28" borderId="0" xfId="0" applyFont="1" applyFill="1" applyAlignment="1">
      <alignment horizontal="center" vertical="center"/>
    </xf>
    <xf numFmtId="199" fontId="0" fillId="24" borderId="0" xfId="0" applyNumberFormat="1" applyFill="1" applyAlignment="1">
      <alignment horizontal="center" vertical="center"/>
    </xf>
    <xf numFmtId="0" fontId="43" fillId="29" borderId="0" xfId="0" applyFont="1" applyFill="1" applyAlignment="1">
      <alignment horizontal="center" vertical="center"/>
    </xf>
    <xf numFmtId="170" fontId="48" fillId="15" borderId="14" xfId="0" applyNumberFormat="1" applyFont="1" applyFill="1" applyBorder="1" applyAlignment="1">
      <alignment horizontal="center" vertical="center"/>
    </xf>
    <xf numFmtId="10" fontId="48" fillId="15" borderId="14" xfId="0" applyNumberFormat="1" applyFont="1" applyFill="1" applyBorder="1" applyAlignment="1">
      <alignment horizontal="center" vertical="center"/>
    </xf>
    <xf numFmtId="0" fontId="71" fillId="32" borderId="24" xfId="0" applyFont="1" applyFill="1" applyBorder="1" applyAlignment="1">
      <alignment horizontal="center" vertical="center"/>
    </xf>
    <xf numFmtId="199" fontId="40" fillId="4" borderId="25" xfId="0" applyNumberFormat="1" applyFont="1" applyFill="1" applyBorder="1" applyAlignment="1">
      <alignment horizontal="center" vertical="center"/>
    </xf>
    <xf numFmtId="0" fontId="71" fillId="33" borderId="0" xfId="0" applyFont="1" applyFill="1" applyAlignment="1">
      <alignment horizontal="center" vertical="center"/>
    </xf>
    <xf numFmtId="0" fontId="69" fillId="34" borderId="0" xfId="0" applyFont="1" applyFill="1" applyAlignment="1">
      <alignment horizontal="center" vertical="center" wrapText="1"/>
    </xf>
    <xf numFmtId="0" fontId="69" fillId="34" borderId="14" xfId="0" applyFont="1" applyFill="1" applyBorder="1" applyAlignment="1">
      <alignment horizontal="center" vertical="center" wrapText="1"/>
    </xf>
    <xf numFmtId="0" fontId="70" fillId="35" borderId="25" xfId="0" applyFont="1" applyFill="1" applyBorder="1" applyAlignment="1">
      <alignment horizontal="center" vertical="center" wrapText="1"/>
    </xf>
    <xf numFmtId="0" fontId="43" fillId="34" borderId="0" xfId="0" applyFont="1" applyFill="1" applyAlignment="1">
      <alignment horizontal="center" vertical="center"/>
    </xf>
    <xf numFmtId="0" fontId="69" fillId="36" borderId="0" xfId="0" applyFont="1" applyFill="1" applyAlignment="1">
      <alignment horizontal="center" vertical="center" wrapText="1"/>
    </xf>
    <xf numFmtId="0" fontId="71" fillId="35" borderId="24" xfId="0" applyFont="1" applyFill="1" applyBorder="1" applyAlignment="1">
      <alignment horizontal="center" vertical="center"/>
    </xf>
    <xf numFmtId="0" fontId="49" fillId="15" borderId="0" xfId="0" applyFont="1" applyFill="1" applyAlignment="1">
      <alignment horizontal="center" vertical="center"/>
    </xf>
    <xf numFmtId="198" fontId="65" fillId="15" borderId="0" xfId="0" applyNumberFormat="1" applyFont="1" applyFill="1" applyAlignment="1">
      <alignment horizontal="center" vertical="center"/>
    </xf>
    <xf numFmtId="198" fontId="67" fillId="15" borderId="0" xfId="0" applyNumberFormat="1" applyFont="1" applyFill="1" applyAlignment="1">
      <alignment horizontal="center" vertical="center"/>
    </xf>
    <xf numFmtId="202" fontId="65" fillId="15" borderId="0" xfId="0" applyNumberFormat="1" applyFont="1" applyFill="1" applyAlignment="1">
      <alignment horizontal="center" vertical="center"/>
    </xf>
    <xf numFmtId="0" fontId="67" fillId="15" borderId="0" xfId="0" applyFont="1" applyFill="1" applyAlignment="1">
      <alignment horizontal="center" vertical="center"/>
    </xf>
    <xf numFmtId="170" fontId="40" fillId="31" borderId="14" xfId="0" applyNumberFormat="1" applyFont="1" applyFill="1" applyBorder="1" applyAlignment="1">
      <alignment horizontal="center" vertical="center"/>
    </xf>
    <xf numFmtId="0" fontId="49" fillId="21" borderId="0" xfId="0" applyFont="1" applyFill="1" applyAlignment="1">
      <alignment horizontal="center" vertical="center"/>
    </xf>
    <xf numFmtId="198" fontId="65" fillId="21" borderId="0" xfId="0" applyNumberFormat="1" applyFont="1" applyFill="1" applyAlignment="1">
      <alignment horizontal="center" vertical="center"/>
    </xf>
    <xf numFmtId="198" fontId="67" fillId="21" borderId="0" xfId="0" applyNumberFormat="1" applyFont="1" applyFill="1" applyAlignment="1">
      <alignment horizontal="center" vertical="center"/>
    </xf>
    <xf numFmtId="202" fontId="65" fillId="21" borderId="0" xfId="0" applyNumberFormat="1" applyFont="1" applyFill="1" applyAlignment="1">
      <alignment horizontal="center" vertical="center"/>
    </xf>
    <xf numFmtId="0" fontId="67" fillId="21" borderId="0" xfId="0" applyFont="1" applyFill="1" applyAlignment="1">
      <alignment horizontal="center" vertical="center"/>
    </xf>
    <xf numFmtId="201" fontId="40" fillId="31" borderId="14" xfId="0" applyNumberFormat="1" applyFont="1" applyFill="1" applyBorder="1" applyAlignment="1">
      <alignment horizontal="center" vertical="center"/>
    </xf>
    <xf numFmtId="0" fontId="67" fillId="4" borderId="25" xfId="0" applyFont="1" applyFill="1" applyBorder="1" applyAlignment="1">
      <alignment horizontal="center" vertical="center"/>
    </xf>
    <xf numFmtId="198" fontId="67" fillId="4" borderId="25" xfId="0" applyNumberFormat="1" applyFont="1" applyFill="1" applyBorder="1" applyAlignment="1">
      <alignment horizontal="center" vertical="center"/>
    </xf>
    <xf numFmtId="202" fontId="67" fillId="4" borderId="25" xfId="0" applyNumberFormat="1" applyFont="1" applyFill="1" applyBorder="1" applyAlignment="1">
      <alignment horizontal="center" vertical="center"/>
    </xf>
    <xf numFmtId="0" fontId="43" fillId="37" borderId="0" xfId="0" applyFont="1" applyFill="1" applyAlignment="1">
      <alignment horizontal="left" vertical="center"/>
    </xf>
    <xf numFmtId="0" fontId="72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 wrapText="1"/>
    </xf>
    <xf numFmtId="0" fontId="72" fillId="30" borderId="0" xfId="0" applyFont="1" applyFill="1" applyAlignment="1">
      <alignment horizontal="left" vertical="center"/>
    </xf>
    <xf numFmtId="170" fontId="39" fillId="12" borderId="14" xfId="0" applyNumberFormat="1" applyFont="1" applyFill="1" applyBorder="1" applyAlignment="1">
      <alignment horizontal="left" vertical="center" wrapText="1"/>
    </xf>
    <xf numFmtId="0" fontId="72" fillId="31" borderId="0" xfId="0" applyFont="1" applyFill="1" applyAlignment="1">
      <alignment horizontal="left" vertical="center"/>
    </xf>
    <xf numFmtId="202" fontId="39" fillId="15" borderId="14" xfId="0" applyNumberFormat="1" applyFont="1" applyFill="1" applyBorder="1" applyAlignment="1">
      <alignment horizontal="left" vertical="center" wrapText="1"/>
    </xf>
    <xf numFmtId="198" fontId="39" fillId="15" borderId="14" xfId="0" applyNumberFormat="1" applyFont="1" applyFill="1" applyBorder="1" applyAlignment="1">
      <alignment horizontal="left" vertical="center" wrapText="1"/>
    </xf>
    <xf numFmtId="1" fontId="39" fillId="15" borderId="14" xfId="0" applyNumberFormat="1" applyFont="1" applyFill="1" applyBorder="1" applyAlignment="1">
      <alignment horizontal="left" vertical="center" wrapText="1"/>
    </xf>
    <xf numFmtId="201" fontId="39" fillId="15" borderId="14" xfId="0" applyNumberFormat="1" applyFont="1" applyFill="1" applyBorder="1" applyAlignment="1">
      <alignment horizontal="left" vertical="center" wrapText="1"/>
    </xf>
    <xf numFmtId="166" fontId="12" fillId="0" borderId="0" xfId="0" applyNumberFormat="1" applyFont="1"/>
    <xf numFmtId="203" fontId="2" fillId="0" borderId="7" xfId="0" applyNumberFormat="1" applyFont="1" applyBorder="1" applyAlignment="1">
      <alignment horizontal="center"/>
    </xf>
    <xf numFmtId="169" fontId="10" fillId="0" borderId="0" xfId="0" applyNumberFormat="1" applyFont="1" applyAlignment="1">
      <alignment horizontal="center"/>
    </xf>
    <xf numFmtId="169" fontId="13" fillId="0" borderId="0" xfId="0" applyNumberFormat="1" applyFont="1" applyAlignment="1">
      <alignment horizontal="center"/>
    </xf>
    <xf numFmtId="17" fontId="2" fillId="38" borderId="7" xfId="0" applyNumberFormat="1" applyFont="1" applyFill="1" applyBorder="1" applyAlignment="1">
      <alignment horizontal="center"/>
    </xf>
    <xf numFmtId="169" fontId="12" fillId="0" borderId="0" xfId="0" applyNumberFormat="1" applyFont="1" applyAlignment="1">
      <alignment horizontal="right"/>
    </xf>
    <xf numFmtId="168" fontId="2" fillId="0" borderId="7" xfId="0" applyNumberFormat="1" applyFon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68" fontId="2" fillId="0" borderId="0" xfId="0" applyNumberFormat="1" applyFont="1" applyAlignment="1">
      <alignment horizontal="center"/>
    </xf>
    <xf numFmtId="171" fontId="2" fillId="0" borderId="7" xfId="0" applyNumberFormat="1" applyFont="1" applyBorder="1" applyAlignment="1">
      <alignment horizontal="center"/>
    </xf>
    <xf numFmtId="171" fontId="13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04" fontId="2" fillId="0" borderId="7" xfId="0" applyNumberFormat="1" applyFont="1" applyBorder="1" applyAlignment="1">
      <alignment horizontal="center"/>
    </xf>
    <xf numFmtId="0" fontId="73" fillId="0" borderId="0" xfId="0" applyFont="1" applyAlignment="1">
      <alignment vertical="center"/>
    </xf>
    <xf numFmtId="0" fontId="21" fillId="0" borderId="16" xfId="0" applyFont="1" applyBorder="1" applyAlignment="1">
      <alignment horizontal="left" vertical="top" wrapText="1"/>
    </xf>
    <xf numFmtId="175" fontId="6" fillId="9" borderId="6" xfId="0" applyNumberFormat="1" applyFont="1" applyFill="1" applyBorder="1" applyAlignment="1">
      <alignment horizontal="center" vertical="center"/>
    </xf>
    <xf numFmtId="0" fontId="6" fillId="9" borderId="0" xfId="0" applyFont="1" applyFill="1" applyAlignment="1">
      <alignment horizontal="left" vertical="center"/>
    </xf>
    <xf numFmtId="0" fontId="24" fillId="8" borderId="11" xfId="0" applyFont="1" applyFill="1" applyBorder="1" applyAlignment="1">
      <alignment vertical="center"/>
    </xf>
    <xf numFmtId="173" fontId="24" fillId="8" borderId="13" xfId="0" applyNumberFormat="1" applyFont="1" applyFill="1" applyBorder="1" applyAlignment="1">
      <alignment vertical="center"/>
    </xf>
    <xf numFmtId="175" fontId="6" fillId="4" borderId="20" xfId="0" applyNumberFormat="1" applyFont="1" applyFill="1" applyBorder="1" applyAlignment="1">
      <alignment horizontal="left" vertical="center"/>
    </xf>
    <xf numFmtId="173" fontId="24" fillId="5" borderId="13" xfId="0" applyNumberFormat="1" applyFont="1" applyFill="1" applyBorder="1" applyAlignment="1">
      <alignment vertical="center"/>
    </xf>
    <xf numFmtId="173" fontId="14" fillId="8" borderId="13" xfId="0" applyNumberFormat="1" applyFont="1" applyFill="1" applyBorder="1" applyAlignment="1">
      <alignment vertical="center"/>
    </xf>
    <xf numFmtId="3" fontId="2" fillId="0" borderId="0" xfId="0" applyNumberFormat="1" applyFont="1"/>
    <xf numFmtId="0" fontId="24" fillId="4" borderId="11" xfId="0" applyFont="1" applyFill="1" applyBorder="1" applyAlignment="1">
      <alignment vertical="center"/>
    </xf>
    <xf numFmtId="0" fontId="38" fillId="12" borderId="0" xfId="0" applyFont="1" applyFill="1" applyAlignment="1">
      <alignment horizontal="left" vertical="center"/>
    </xf>
    <xf numFmtId="0" fontId="39" fillId="0" borderId="0" xfId="0" applyFont="1"/>
    <xf numFmtId="0" fontId="41" fillId="0" borderId="0" xfId="0" applyFont="1" applyAlignment="1">
      <alignment horizontal="center" vertical="center"/>
    </xf>
    <xf numFmtId="0" fontId="42" fillId="12" borderId="0" xfId="0" applyFont="1" applyFill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42" fillId="14" borderId="0" xfId="0" applyFont="1" applyFill="1" applyAlignment="1">
      <alignment horizontal="left" vertical="center"/>
    </xf>
    <xf numFmtId="0" fontId="42" fillId="18" borderId="0" xfId="0" applyFont="1" applyFill="1" applyAlignment="1">
      <alignment horizontal="left" vertical="center"/>
    </xf>
    <xf numFmtId="0" fontId="57" fillId="21" borderId="0" xfId="0" applyFont="1" applyFill="1" applyAlignment="1">
      <alignment horizontal="center" vertical="center"/>
    </xf>
    <xf numFmtId="0" fontId="57" fillId="15" borderId="0" xfId="0" applyFont="1" applyFill="1" applyAlignment="1">
      <alignment horizontal="center" vertical="center"/>
    </xf>
    <xf numFmtId="0" fontId="68" fillId="0" borderId="0" xfId="0" applyFont="1" applyAlignment="1">
      <alignment horizontal="left" vertical="center" wrapText="1"/>
    </xf>
    <xf numFmtId="0" fontId="42" fillId="13" borderId="0" xfId="0" applyFont="1" applyFill="1" applyAlignment="1">
      <alignment horizontal="left" vertical="center"/>
    </xf>
    <xf numFmtId="0" fontId="42" fillId="20" borderId="0" xfId="0" applyFont="1" applyFill="1" applyAlignment="1">
      <alignment horizontal="left" vertical="center"/>
    </xf>
    <xf numFmtId="0" fontId="51" fillId="12" borderId="0" xfId="0" applyFont="1" applyFill="1" applyAlignment="1">
      <alignment horizontal="left" vertical="center"/>
    </xf>
    <xf numFmtId="0" fontId="42" fillId="28" borderId="0" xfId="0" applyFont="1" applyFill="1" applyAlignment="1">
      <alignment horizontal="left" vertical="center"/>
    </xf>
    <xf numFmtId="0" fontId="42" fillId="29" borderId="0" xfId="0" applyFont="1" applyFill="1" applyAlignment="1">
      <alignment horizontal="left" vertical="center"/>
    </xf>
    <xf numFmtId="0" fontId="68" fillId="0" borderId="0" xfId="0" applyFont="1"/>
    <xf numFmtId="0" fontId="42" fillId="34" borderId="0" xfId="0" applyFont="1" applyFill="1" applyAlignment="1">
      <alignment horizontal="left" vertical="center"/>
    </xf>
    <xf numFmtId="0" fontId="42" fillId="36" borderId="0" xfId="0" applyFont="1" applyFill="1" applyAlignment="1">
      <alignment horizontal="left" vertical="center"/>
    </xf>
    <xf numFmtId="0" fontId="75" fillId="0" borderId="0" xfId="17" applyFont="1"/>
    <xf numFmtId="0" fontId="76" fillId="0" borderId="0" xfId="17" applyFont="1"/>
    <xf numFmtId="205" fontId="75" fillId="0" borderId="0" xfId="12" applyNumberFormat="1" applyFont="1" applyAlignment="1">
      <alignment horizontal="left"/>
    </xf>
    <xf numFmtId="206" fontId="75" fillId="0" borderId="0" xfId="18" applyFont="1" applyBorder="1" applyAlignment="1">
      <alignment vertical="center"/>
    </xf>
    <xf numFmtId="10" fontId="75" fillId="0" borderId="0" xfId="0" applyNumberFormat="1" applyFont="1"/>
    <xf numFmtId="0" fontId="75" fillId="0" borderId="0" xfId="0" applyFont="1"/>
    <xf numFmtId="10" fontId="75" fillId="0" borderId="14" xfId="0" applyNumberFormat="1" applyFont="1" applyBorder="1"/>
    <xf numFmtId="9" fontId="75" fillId="0" borderId="14" xfId="12" applyFont="1" applyBorder="1"/>
    <xf numFmtId="10" fontId="75" fillId="0" borderId="14" xfId="12" applyNumberFormat="1" applyFont="1" applyBorder="1"/>
    <xf numFmtId="6" fontId="75" fillId="0" borderId="14" xfId="12" applyNumberFormat="1" applyFont="1" applyBorder="1"/>
    <xf numFmtId="1" fontId="2" fillId="0" borderId="0" xfId="0" applyNumberFormat="1" applyFont="1" applyFill="1" applyAlignment="1">
      <alignment horizontal="center" vertical="center"/>
    </xf>
    <xf numFmtId="1" fontId="2" fillId="0" borderId="0" xfId="0" applyNumberFormat="1" applyFont="1" applyFill="1" applyAlignment="1">
      <alignment horizontal="center"/>
    </xf>
    <xf numFmtId="173" fontId="62" fillId="0" borderId="0" xfId="0" applyNumberFormat="1" applyFont="1" applyAlignment="1">
      <alignment horizontal="center" vertical="center"/>
    </xf>
    <xf numFmtId="178" fontId="2" fillId="0" borderId="0" xfId="15" applyNumberFormat="1" applyFont="1"/>
    <xf numFmtId="183" fontId="2" fillId="0" borderId="0" xfId="0" applyNumberFormat="1" applyFont="1" applyAlignment="1">
      <alignment horizontal="center"/>
    </xf>
    <xf numFmtId="207" fontId="75" fillId="0" borderId="14" xfId="0" applyNumberFormat="1" applyFont="1" applyBorder="1"/>
    <xf numFmtId="9" fontId="21" fillId="0" borderId="0" xfId="0" applyNumberFormat="1" applyFont="1" applyFill="1" applyAlignment="1">
      <alignment horizontal="right"/>
    </xf>
    <xf numFmtId="177" fontId="21" fillId="0" borderId="14" xfId="0" applyNumberFormat="1" applyFont="1" applyFill="1" applyBorder="1"/>
    <xf numFmtId="183" fontId="21" fillId="0" borderId="14" xfId="0" applyNumberFormat="1" applyFont="1" applyFill="1" applyBorder="1" applyAlignment="1">
      <alignment horizontal="right"/>
    </xf>
    <xf numFmtId="211" fontId="21" fillId="0" borderId="7" xfId="15" applyNumberFormat="1" applyFont="1" applyBorder="1"/>
    <xf numFmtId="183" fontId="21" fillId="0" borderId="0" xfId="0" applyNumberFormat="1" applyFont="1" applyFill="1" applyBorder="1" applyAlignment="1">
      <alignment horizontal="right"/>
    </xf>
    <xf numFmtId="170" fontId="21" fillId="0" borderId="14" xfId="0" applyNumberFormat="1" applyFont="1" applyFill="1" applyBorder="1" applyAlignment="1">
      <alignment horizontal="right"/>
    </xf>
    <xf numFmtId="0" fontId="75" fillId="9" borderId="0" xfId="0" applyFont="1" applyFill="1" applyAlignment="1">
      <alignment vertical="center"/>
    </xf>
    <xf numFmtId="207" fontId="24" fillId="9" borderId="7" xfId="0" applyNumberFormat="1" applyFont="1" applyFill="1" applyBorder="1"/>
    <xf numFmtId="211" fontId="29" fillId="0" borderId="7" xfId="15" applyNumberFormat="1" applyFont="1" applyBorder="1"/>
    <xf numFmtId="211" fontId="21" fillId="0" borderId="10" xfId="15" applyNumberFormat="1" applyFont="1" applyBorder="1"/>
    <xf numFmtId="211" fontId="19" fillId="0" borderId="7" xfId="15" applyNumberFormat="1" applyFont="1" applyBorder="1"/>
    <xf numFmtId="1" fontId="2" fillId="0" borderId="26" xfId="0" applyNumberFormat="1" applyFont="1" applyFill="1" applyBorder="1" applyAlignment="1">
      <alignment horizontal="center" vertical="center"/>
    </xf>
    <xf numFmtId="177" fontId="2" fillId="0" borderId="14" xfId="0" applyNumberFormat="1" applyFont="1" applyFill="1" applyBorder="1" applyAlignment="1">
      <alignment horizontal="center"/>
    </xf>
    <xf numFmtId="178" fontId="2" fillId="0" borderId="14" xfId="0" applyNumberFormat="1" applyFont="1" applyBorder="1" applyAlignment="1">
      <alignment horizontal="center"/>
    </xf>
    <xf numFmtId="173" fontId="75" fillId="0" borderId="7" xfId="0" applyNumberFormat="1" applyFont="1" applyBorder="1" applyAlignment="1">
      <alignment vertical="center"/>
    </xf>
    <xf numFmtId="186" fontId="21" fillId="0" borderId="0" xfId="0" applyNumberFormat="1" applyFont="1" applyFill="1"/>
    <xf numFmtId="187" fontId="21" fillId="0" borderId="14" xfId="0" applyNumberFormat="1" applyFont="1" applyFill="1" applyBorder="1"/>
    <xf numFmtId="187" fontId="21" fillId="0" borderId="0" xfId="0" applyNumberFormat="1" applyFont="1" applyFill="1"/>
    <xf numFmtId="0" fontId="21" fillId="0" borderId="0" xfId="0" applyFont="1" applyFill="1"/>
    <xf numFmtId="186" fontId="21" fillId="0" borderId="14" xfId="0" applyNumberFormat="1" applyFont="1" applyFill="1" applyBorder="1"/>
    <xf numFmtId="186" fontId="17" fillId="0" borderId="0" xfId="0" applyNumberFormat="1" applyFont="1" applyFill="1"/>
    <xf numFmtId="10" fontId="21" fillId="4" borderId="14" xfId="0" applyNumberFormat="1" applyFont="1" applyFill="1" applyBorder="1"/>
    <xf numFmtId="10" fontId="21" fillId="0" borderId="14" xfId="0" applyNumberFormat="1" applyFont="1" applyFill="1" applyBorder="1"/>
    <xf numFmtId="186" fontId="21" fillId="0" borderId="14" xfId="0" applyNumberFormat="1" applyFont="1" applyBorder="1"/>
    <xf numFmtId="177" fontId="21" fillId="0" borderId="0" xfId="0" applyNumberFormat="1" applyFont="1" applyFill="1" applyBorder="1"/>
    <xf numFmtId="9" fontId="21" fillId="0" borderId="0" xfId="0" applyNumberFormat="1" applyFont="1" applyFill="1" applyBorder="1"/>
    <xf numFmtId="211" fontId="75" fillId="0" borderId="7" xfId="15" applyNumberFormat="1" applyFont="1" applyBorder="1"/>
    <xf numFmtId="2" fontId="21" fillId="0" borderId="0" xfId="0" applyNumberFormat="1" applyFont="1"/>
    <xf numFmtId="211" fontId="75" fillId="0" borderId="7" xfId="15" applyNumberFormat="1" applyFont="1" applyBorder="1" applyAlignment="1">
      <alignment vertical="center"/>
    </xf>
    <xf numFmtId="10" fontId="21" fillId="0" borderId="14" xfId="0" applyNumberFormat="1" applyFont="1" applyFill="1" applyBorder="1" applyAlignment="1">
      <alignment vertical="center"/>
    </xf>
    <xf numFmtId="175" fontId="6" fillId="0" borderId="6" xfId="0" applyNumberFormat="1" applyFont="1" applyFill="1" applyBorder="1" applyAlignment="1">
      <alignment horizontal="center" vertical="center"/>
    </xf>
    <xf numFmtId="0" fontId="6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right" vertical="center"/>
    </xf>
    <xf numFmtId="9" fontId="21" fillId="0" borderId="0" xfId="0" applyNumberFormat="1" applyFont="1" applyFill="1"/>
    <xf numFmtId="180" fontId="21" fillId="0" borderId="0" xfId="0" applyNumberFormat="1" applyFont="1" applyFill="1" applyAlignment="1">
      <alignment horizontal="left"/>
    </xf>
    <xf numFmtId="10" fontId="22" fillId="0" borderId="0" xfId="0" applyNumberFormat="1" applyFont="1" applyFill="1" applyAlignment="1">
      <alignment vertical="center"/>
    </xf>
    <xf numFmtId="173" fontId="6" fillId="0" borderId="7" xfId="0" applyNumberFormat="1" applyFont="1" applyFill="1" applyBorder="1" applyAlignment="1">
      <alignment vertical="center"/>
    </xf>
    <xf numFmtId="173" fontId="6" fillId="0" borderId="5" xfId="0" applyNumberFormat="1" applyFont="1" applyFill="1" applyBorder="1" applyAlignment="1">
      <alignment vertical="center"/>
    </xf>
    <xf numFmtId="173" fontId="6" fillId="0" borderId="0" xfId="0" applyNumberFormat="1" applyFont="1" applyFill="1" applyAlignment="1">
      <alignment vertical="center"/>
    </xf>
    <xf numFmtId="173" fontId="14" fillId="0" borderId="7" xfId="0" applyNumberFormat="1" applyFont="1" applyFill="1" applyBorder="1" applyAlignment="1">
      <alignment vertical="center"/>
    </xf>
    <xf numFmtId="3" fontId="2" fillId="0" borderId="0" xfId="0" applyNumberFormat="1" applyFont="1" applyFill="1"/>
    <xf numFmtId="0" fontId="75" fillId="0" borderId="0" xfId="0" applyFont="1" applyFill="1" applyAlignment="1">
      <alignment vertical="center"/>
    </xf>
    <xf numFmtId="173" fontId="62" fillId="39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right" vertical="center"/>
    </xf>
    <xf numFmtId="173" fontId="2" fillId="0" borderId="9" xfId="0" applyNumberFormat="1" applyFont="1" applyBorder="1"/>
    <xf numFmtId="164" fontId="2" fillId="0" borderId="9" xfId="0" applyNumberFormat="1" applyFont="1" applyBorder="1"/>
    <xf numFmtId="2" fontId="2" fillId="0" borderId="10" xfId="0" applyNumberFormat="1" applyFont="1" applyBorder="1" applyAlignment="1">
      <alignment horizontal="center"/>
    </xf>
    <xf numFmtId="173" fontId="2" fillId="0" borderId="0" xfId="0" applyNumberFormat="1" applyFont="1" applyBorder="1"/>
    <xf numFmtId="9" fontId="78" fillId="0" borderId="0" xfId="16" applyFont="1" applyFill="1" applyBorder="1" applyAlignment="1">
      <alignment horizontal="right"/>
    </xf>
    <xf numFmtId="9" fontId="79" fillId="0" borderId="0" xfId="16" applyFont="1" applyFill="1" applyBorder="1" applyAlignment="1">
      <alignment horizontal="right"/>
    </xf>
    <xf numFmtId="177" fontId="78" fillId="0" borderId="0" xfId="0" applyNumberFormat="1" applyFont="1" applyFill="1" applyBorder="1"/>
    <xf numFmtId="0" fontId="73" fillId="0" borderId="0" xfId="0" applyFont="1" applyAlignment="1">
      <alignment horizontal="right" vertical="center"/>
    </xf>
    <xf numFmtId="0" fontId="77" fillId="0" borderId="0" xfId="0" applyFont="1" applyAlignment="1">
      <alignment horizontal="right" vertical="center"/>
    </xf>
    <xf numFmtId="173" fontId="75" fillId="0" borderId="0" xfId="0" applyNumberFormat="1" applyFont="1"/>
    <xf numFmtId="173" fontId="75" fillId="0" borderId="0" xfId="0" applyNumberFormat="1" applyFont="1" applyBorder="1"/>
    <xf numFmtId="173" fontId="78" fillId="0" borderId="7" xfId="0" applyNumberFormat="1" applyFont="1" applyFill="1" applyBorder="1" applyAlignment="1">
      <alignment vertical="center"/>
    </xf>
    <xf numFmtId="173" fontId="78" fillId="0" borderId="27" xfId="0" applyNumberFormat="1" applyFont="1" applyFill="1" applyBorder="1" applyAlignment="1">
      <alignment vertical="center"/>
    </xf>
    <xf numFmtId="170" fontId="80" fillId="0" borderId="7" xfId="16" applyNumberFormat="1" applyFont="1" applyBorder="1" applyAlignment="1">
      <alignment horizontal="right"/>
    </xf>
    <xf numFmtId="216" fontId="80" fillId="0" borderId="0" xfId="0" applyNumberFormat="1" applyFont="1" applyAlignment="1">
      <alignment horizontal="right"/>
    </xf>
  </cellXfs>
  <cellStyles count="19">
    <cellStyle name="Comma" xfId="15" builtinId="3"/>
    <cellStyle name="Comma 2" xfId="1" xr:uid="{00000000-0005-0000-0000-000006000000}"/>
    <cellStyle name="Comma 2 2" xfId="18" xr:uid="{B90435F0-C2AA-4E76-A9EB-E7676420B5A0}"/>
    <cellStyle name="Comma 3" xfId="2" xr:uid="{00000000-0005-0000-0000-000007000000}"/>
    <cellStyle name="Comma 3 2" xfId="3" xr:uid="{00000000-0005-0000-0000-000008000000}"/>
    <cellStyle name="Comma 4" xfId="4" xr:uid="{00000000-0005-0000-0000-000009000000}"/>
    <cellStyle name="Comma 4 2" xfId="5" xr:uid="{00000000-0005-0000-0000-00000A000000}"/>
    <cellStyle name="Comma 5" xfId="6" xr:uid="{00000000-0005-0000-0000-00000B000000}"/>
    <cellStyle name="Comma 6" xfId="7" xr:uid="{00000000-0005-0000-0000-00000C000000}"/>
    <cellStyle name="Normal" xfId="0" builtinId="0"/>
    <cellStyle name="Normal 11" xfId="17" xr:uid="{000F9BE8-EDFA-43E8-B8DB-82878477EFCD}"/>
    <cellStyle name="Normal 2" xfId="8" xr:uid="{00000000-0005-0000-0000-00000D000000}"/>
    <cellStyle name="Normal 2 2" xfId="9" xr:uid="{00000000-0005-0000-0000-00000E000000}"/>
    <cellStyle name="Normal 3" xfId="10" xr:uid="{00000000-0005-0000-0000-00000F000000}"/>
    <cellStyle name="Normal 4" xfId="11" xr:uid="{00000000-0005-0000-0000-000010000000}"/>
    <cellStyle name="Percent" xfId="16" builtinId="5"/>
    <cellStyle name="Percent 2" xfId="12" xr:uid="{00000000-0005-0000-0000-000011000000}"/>
    <cellStyle name="Percent 2 2" xfId="13" xr:uid="{00000000-0005-0000-0000-000012000000}"/>
    <cellStyle name="Percent 3" xfId="14" xr:uid="{00000000-0005-0000-0000-000013000000}"/>
  </cellStyles>
  <dxfs count="8">
    <dxf>
      <font>
        <b/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276221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27622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276221"/>
      <rgbColor rgb="FF0000FF"/>
      <rgbColor rgb="FFFFFF00"/>
      <rgbColor rgb="FFF5F5F5"/>
      <rgbColor rgb="FF00FFFF"/>
      <rgbColor rgb="FF9C0006"/>
      <rgbColor rgb="FF006400"/>
      <rgbColor rgb="FF1F4E79"/>
      <rgbColor rgb="FF9C5700"/>
      <rgbColor rgb="FF7030A0"/>
      <rgbColor rgb="FF1F7A4E"/>
      <rgbColor rgb="FFC0C0C0"/>
      <rgbColor rgb="FF808080"/>
      <rgbColor rgb="FFC5E0B4"/>
      <rgbColor rgb="FFA32D2D"/>
      <rgbColor rgb="FFFFF2CC"/>
      <rgbColor rgb="FFEBF3FA"/>
      <rgbColor rgb="FF4A235A"/>
      <rgbColor rgb="FFDAE3F3"/>
      <rgbColor rgb="FF0070C0"/>
      <rgbColor rgb="FFC9C9C9"/>
      <rgbColor rgb="FF4D4D4D"/>
      <rgbColor rgb="FFFAFAFA"/>
      <rgbColor rgb="FFFCE4D6"/>
      <rgbColor rgb="FFF2F2F2"/>
      <rgbColor rgb="FF4A0000"/>
      <rgbColor rgb="FF7B241C"/>
      <rgbColor rgb="FF1A5276"/>
      <rgbColor rgb="FF375623"/>
      <rgbColor rgb="FF00B0F0"/>
      <rgbColor rgb="FFE2F0D9"/>
      <rgbColor rgb="FFC6EFCE"/>
      <rgbColor rgb="FFFFEB9C"/>
      <rgbColor rgb="FF99CCFF"/>
      <rgbColor rgb="FFFFC7CE"/>
      <rgbColor rgb="FFBFBFBF"/>
      <rgbColor rgb="FFFFCC99"/>
      <rgbColor rgb="FF2E75B6"/>
      <rgbColor rgb="FFD6E4F0"/>
      <rgbColor rgb="FF70AD47"/>
      <rgbColor rgb="FFFFC000"/>
      <rgbColor rgb="FFE2EFDA"/>
      <rgbColor rgb="FFC00000"/>
      <rgbColor rgb="FF595959"/>
      <rgbColor rgb="FF7F7F7F"/>
      <rgbColor rgb="FF154360"/>
      <rgbColor rgb="FF1E8449"/>
      <rgbColor rgb="FF145A32"/>
      <rgbColor rgb="FF27500A"/>
      <rgbColor rgb="FF843C0C"/>
      <rgbColor rgb="FF6C3483"/>
      <rgbColor rgb="FF203864"/>
      <rgbColor rgb="FF222A3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F7F7F"/>
  </sheetPr>
  <dimension ref="A1:BD186"/>
  <sheetViews>
    <sheetView tabSelected="1" view="pageBreakPreview" zoomScale="70" zoomScaleNormal="70" zoomScaleSheetLayoutView="70" workbookViewId="0">
      <pane ySplit="4" topLeftCell="A10" activePane="bottomLeft" state="frozen"/>
      <selection pane="bottomLeft" activeCell="BF23" sqref="BF23"/>
    </sheetView>
  </sheetViews>
  <sheetFormatPr defaultColWidth="9.33203125" defaultRowHeight="13.2" outlineLevelCol="1" x14ac:dyDescent="0.25"/>
  <cols>
    <col min="1" max="1" width="6.6640625" style="8" customWidth="1"/>
    <col min="2" max="2" width="34.77734375" style="8" customWidth="1"/>
    <col min="3" max="3" width="51.21875" style="8" customWidth="1"/>
    <col min="4" max="4" width="17.109375" style="8" customWidth="1"/>
    <col min="5" max="5" width="18.33203125" style="8" customWidth="1"/>
    <col min="6" max="6" width="28" style="8" customWidth="1"/>
    <col min="7" max="7" width="22" style="8" bestFit="1" customWidth="1"/>
    <col min="8" max="8" width="28.33203125" style="8" bestFit="1" customWidth="1"/>
    <col min="9" max="9" width="19.33203125" style="8" bestFit="1" customWidth="1"/>
    <col min="10" max="10" width="3.6640625" style="8" hidden="1" customWidth="1"/>
    <col min="11" max="11" width="15.6640625" style="8" hidden="1" customWidth="1" outlineLevel="1"/>
    <col min="12" max="12" width="3.6640625" style="8" hidden="1" customWidth="1" outlineLevel="1"/>
    <col min="13" max="13" width="15.6640625" style="8" hidden="1" customWidth="1" outlineLevel="1"/>
    <col min="14" max="14" width="3.6640625" style="8" hidden="1" customWidth="1" outlineLevel="1"/>
    <col min="15" max="15" width="15.6640625" style="8" hidden="1" customWidth="1" outlineLevel="1"/>
    <col min="16" max="16" width="3.6640625" style="8" hidden="1" customWidth="1" outlineLevel="1"/>
    <col min="17" max="17" width="15.6640625" style="8" hidden="1" customWidth="1" outlineLevel="1"/>
    <col min="18" max="18" width="3.6640625" style="8" hidden="1" customWidth="1" outlineLevel="1"/>
    <col min="19" max="19" width="15.6640625" style="8" hidden="1" customWidth="1" outlineLevel="1"/>
    <col min="20" max="20" width="3.6640625" style="8" hidden="1" customWidth="1" outlineLevel="1"/>
    <col min="21" max="21" width="15.6640625" style="8" hidden="1" customWidth="1" outlineLevel="1"/>
    <col min="22" max="22" width="3.6640625" style="8" hidden="1" customWidth="1" outlineLevel="1"/>
    <col min="23" max="23" width="15.6640625" style="8" hidden="1" customWidth="1" outlineLevel="1"/>
    <col min="24" max="24" width="3.6640625" style="8" hidden="1" customWidth="1" outlineLevel="1"/>
    <col min="25" max="25" width="15.6640625" style="8" hidden="1" customWidth="1" outlineLevel="1"/>
    <col min="26" max="26" width="1.6640625" style="8" hidden="1" customWidth="1" outlineLevel="1"/>
    <col min="27" max="27" width="1.6640625" style="9" hidden="1" customWidth="1" outlineLevel="1"/>
    <col min="28" max="28" width="1.6640625" style="8" hidden="1" customWidth="1" outlineLevel="1"/>
    <col min="29" max="29" width="15.6640625" style="8" hidden="1" customWidth="1" outlineLevel="1"/>
    <col min="30" max="30" width="3.6640625" style="8" hidden="1" customWidth="1" outlineLevel="1"/>
    <col min="31" max="31" width="15.6640625" style="8" hidden="1" customWidth="1" outlineLevel="1"/>
    <col min="32" max="32" width="3.6640625" style="8" hidden="1" customWidth="1" outlineLevel="1"/>
    <col min="33" max="33" width="15.6640625" style="8" hidden="1" customWidth="1" outlineLevel="1"/>
    <col min="34" max="34" width="3.6640625" style="8" hidden="1" customWidth="1" outlineLevel="1"/>
    <col min="35" max="35" width="15.6640625" style="8" hidden="1" customWidth="1" outlineLevel="1"/>
    <col min="36" max="36" width="3.6640625" style="8" hidden="1" customWidth="1" outlineLevel="1"/>
    <col min="37" max="37" width="15.6640625" style="8" hidden="1" customWidth="1" outlineLevel="1"/>
    <col min="38" max="38" width="3.6640625" style="8" hidden="1" customWidth="1" outlineLevel="1"/>
    <col min="39" max="39" width="15.6640625" style="8" hidden="1" customWidth="1" outlineLevel="1"/>
    <col min="40" max="40" width="3.6640625" style="8" hidden="1" customWidth="1" outlineLevel="1"/>
    <col min="41" max="41" width="15.6640625" style="8" hidden="1" customWidth="1" outlineLevel="1"/>
    <col min="42" max="42" width="3.88671875" style="8" hidden="1" customWidth="1" outlineLevel="1"/>
    <col min="43" max="43" width="15.6640625" style="8" hidden="1" customWidth="1" outlineLevel="1"/>
    <col min="44" max="44" width="3.6640625" style="8" hidden="1" customWidth="1" outlineLevel="1"/>
    <col min="45" max="45" width="15.6640625" style="8" hidden="1" customWidth="1" outlineLevel="1"/>
    <col min="46" max="46" width="2.44140625" style="8" hidden="1" customWidth="1" outlineLevel="1"/>
    <col min="47" max="47" width="15.6640625" style="8" hidden="1" customWidth="1" outlineLevel="1"/>
    <col min="48" max="48" width="3.6640625" style="8" hidden="1" customWidth="1" outlineLevel="1"/>
    <col min="49" max="49" width="15.6640625" style="8" hidden="1" customWidth="1" outlineLevel="1"/>
    <col min="50" max="50" width="3.6640625" style="8" hidden="1" customWidth="1" outlineLevel="1"/>
    <col min="51" max="51" width="18.109375" style="8" hidden="1" customWidth="1" outlineLevel="1"/>
    <col min="52" max="52" width="18.109375" style="8" customWidth="1" outlineLevel="1"/>
    <col min="53" max="53" width="1.6640625" style="8" customWidth="1" outlineLevel="1"/>
    <col min="54" max="54" width="2.6640625" style="8" customWidth="1"/>
    <col min="55" max="16384" width="9.33203125" style="8"/>
  </cols>
  <sheetData>
    <row r="1" spans="1:54" s="11" customFormat="1" ht="21" customHeight="1" x14ac:dyDescent="0.25">
      <c r="A1" s="10" t="s">
        <v>504</v>
      </c>
      <c r="E1" s="12"/>
      <c r="H1" s="13"/>
      <c r="I1" s="14"/>
      <c r="AA1" s="15"/>
    </row>
    <row r="2" spans="1:54" ht="17.25" customHeight="1" x14ac:dyDescent="0.3">
      <c r="A2" s="16" t="s">
        <v>505</v>
      </c>
      <c r="G2" s="17"/>
      <c r="I2" s="18"/>
      <c r="U2" s="7"/>
      <c r="AA2" s="15"/>
      <c r="AI2" s="19"/>
      <c r="AK2" s="19"/>
      <c r="AM2" s="19"/>
      <c r="AO2" s="19"/>
      <c r="AQ2" s="19"/>
      <c r="AS2" s="19"/>
      <c r="AU2" s="19"/>
      <c r="AW2" s="19"/>
    </row>
    <row r="3" spans="1:54" ht="15" customHeight="1" x14ac:dyDescent="0.25">
      <c r="A3" s="17" t="s">
        <v>503</v>
      </c>
      <c r="B3" s="17"/>
      <c r="C3" s="17"/>
      <c r="D3" s="20"/>
      <c r="E3" s="20"/>
      <c r="F3" s="22"/>
      <c r="G3" s="29" t="s">
        <v>497</v>
      </c>
      <c r="H3" s="539">
        <v>4046.87</v>
      </c>
      <c r="I3" s="23"/>
      <c r="K3" s="23"/>
      <c r="L3" s="23"/>
      <c r="M3" s="23"/>
      <c r="O3" s="23"/>
      <c r="Q3" s="23"/>
      <c r="R3" s="23"/>
      <c r="S3" s="24"/>
      <c r="T3" s="25"/>
      <c r="U3" s="26"/>
      <c r="V3" s="25"/>
      <c r="W3" s="24"/>
      <c r="X3" s="25"/>
      <c r="Y3" s="27"/>
      <c r="Z3" s="27"/>
      <c r="AA3" s="15"/>
      <c r="AB3" s="25"/>
      <c r="AC3" s="27"/>
      <c r="AD3" s="25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</row>
    <row r="4" spans="1:54" ht="15" customHeight="1" x14ac:dyDescent="0.25">
      <c r="G4" s="29" t="s">
        <v>1</v>
      </c>
      <c r="H4" s="544">
        <v>43560</v>
      </c>
      <c r="I4" s="30" t="s">
        <v>502</v>
      </c>
      <c r="K4" s="30" t="s">
        <v>2</v>
      </c>
      <c r="L4" s="30"/>
      <c r="M4" s="30" t="s">
        <v>3</v>
      </c>
      <c r="O4" s="30" t="s">
        <v>4</v>
      </c>
      <c r="Q4" s="30" t="s">
        <v>5</v>
      </c>
      <c r="R4" s="30"/>
      <c r="S4" s="30" t="s">
        <v>6</v>
      </c>
      <c r="U4" s="30"/>
      <c r="W4" s="30" t="s">
        <v>7</v>
      </c>
      <c r="Y4" s="30" t="s">
        <v>8</v>
      </c>
      <c r="Z4" s="30"/>
      <c r="AA4" s="15"/>
      <c r="AC4" s="30" t="s">
        <v>9</v>
      </c>
      <c r="AE4" s="30" t="s">
        <v>10</v>
      </c>
      <c r="AG4" s="30" t="s">
        <v>11</v>
      </c>
      <c r="AI4" s="30" t="s">
        <v>12</v>
      </c>
      <c r="AK4" s="30" t="s">
        <v>13</v>
      </c>
      <c r="AM4" s="30" t="s">
        <v>14</v>
      </c>
      <c r="AO4" s="30" t="s">
        <v>15</v>
      </c>
      <c r="AQ4" s="30" t="s">
        <v>16</v>
      </c>
      <c r="AS4" s="30" t="s">
        <v>17</v>
      </c>
      <c r="AT4" s="30"/>
      <c r="AU4" s="30" t="s">
        <v>18</v>
      </c>
      <c r="AW4" s="6"/>
      <c r="AY4" s="30"/>
      <c r="AZ4" s="30"/>
    </row>
    <row r="5" spans="1:54" ht="15" customHeight="1" x14ac:dyDescent="0.25">
      <c r="A5" s="31"/>
      <c r="B5" s="32"/>
      <c r="C5" s="32"/>
      <c r="D5" s="32"/>
      <c r="E5" s="32"/>
      <c r="F5" s="32"/>
      <c r="G5" s="32"/>
      <c r="H5" s="32"/>
      <c r="I5" s="33"/>
      <c r="K5" s="33"/>
      <c r="L5" s="34"/>
      <c r="M5" s="33"/>
      <c r="O5" s="33"/>
      <c r="Q5" s="33"/>
      <c r="R5" s="34"/>
      <c r="S5" s="33"/>
      <c r="U5" s="35"/>
      <c r="W5" s="33"/>
      <c r="Y5" s="33"/>
      <c r="AA5" s="15"/>
      <c r="AC5" s="36"/>
      <c r="AE5" s="36"/>
      <c r="AG5" s="36"/>
      <c r="AI5" s="36"/>
      <c r="AK5" s="36"/>
      <c r="AM5" s="36"/>
      <c r="AO5" s="36"/>
      <c r="AQ5" s="36"/>
      <c r="AS5" s="36"/>
      <c r="AU5" s="36"/>
      <c r="AW5" s="36"/>
      <c r="AY5" s="37"/>
    </row>
    <row r="6" spans="1:54" ht="15" customHeight="1" x14ac:dyDescent="0.25">
      <c r="A6" s="38" t="s">
        <v>19</v>
      </c>
      <c r="B6" s="39"/>
      <c r="C6" s="39"/>
      <c r="D6" s="39"/>
      <c r="E6" s="39"/>
      <c r="F6" s="39"/>
      <c r="G6" s="39"/>
      <c r="H6" s="39"/>
      <c r="I6" s="543" t="s">
        <v>20</v>
      </c>
      <c r="K6" s="543" t="s">
        <v>20</v>
      </c>
      <c r="L6" s="40"/>
      <c r="M6" s="543" t="s">
        <v>20</v>
      </c>
      <c r="O6" s="543" t="s">
        <v>20</v>
      </c>
      <c r="Q6" s="543" t="s">
        <v>20</v>
      </c>
      <c r="R6" s="40"/>
      <c r="S6" s="543" t="s">
        <v>20</v>
      </c>
      <c r="U6" s="41"/>
      <c r="W6" s="543" t="s">
        <v>20</v>
      </c>
      <c r="Y6" s="543" t="s">
        <v>20</v>
      </c>
      <c r="Z6" s="42"/>
      <c r="AA6" s="15"/>
      <c r="AC6" s="43" t="s">
        <v>20</v>
      </c>
      <c r="AE6" s="43" t="s">
        <v>20</v>
      </c>
      <c r="AG6" s="43" t="s">
        <v>20</v>
      </c>
      <c r="AI6" s="43" t="s">
        <v>20</v>
      </c>
      <c r="AK6" s="43" t="s">
        <v>20</v>
      </c>
      <c r="AM6" s="43" t="s">
        <v>20</v>
      </c>
      <c r="AO6" s="43" t="s">
        <v>20</v>
      </c>
      <c r="AQ6" s="43" t="s">
        <v>20</v>
      </c>
      <c r="AS6" s="43" t="s">
        <v>20</v>
      </c>
      <c r="AT6" s="42"/>
      <c r="AU6" s="43" t="s">
        <v>20</v>
      </c>
      <c r="AW6" s="43" t="s">
        <v>20</v>
      </c>
      <c r="AY6" s="44" t="s">
        <v>21</v>
      </c>
      <c r="AZ6" s="42"/>
    </row>
    <row r="7" spans="1:54" ht="15" customHeight="1" x14ac:dyDescent="0.25">
      <c r="A7" s="45"/>
      <c r="B7" s="46"/>
      <c r="C7" s="46"/>
      <c r="D7" s="46"/>
      <c r="E7" s="46"/>
      <c r="F7" s="46"/>
      <c r="G7" s="46"/>
      <c r="H7" s="46"/>
      <c r="I7" s="47"/>
      <c r="K7" s="47"/>
      <c r="L7" s="34"/>
      <c r="M7" s="47"/>
      <c r="O7" s="47"/>
      <c r="Q7" s="47"/>
      <c r="R7" s="34"/>
      <c r="S7" s="47"/>
      <c r="U7" s="48"/>
      <c r="W7" s="49"/>
      <c r="Y7" s="47"/>
      <c r="AA7" s="15"/>
      <c r="AC7" s="50"/>
      <c r="AE7" s="50"/>
      <c r="AG7" s="50"/>
      <c r="AI7" s="50"/>
      <c r="AK7" s="50"/>
      <c r="AM7" s="51"/>
      <c r="AO7" s="50"/>
      <c r="AQ7" s="50"/>
      <c r="AS7" s="50"/>
      <c r="AU7" s="50"/>
      <c r="AW7" s="50"/>
      <c r="AY7" s="52"/>
      <c r="BA7" s="53"/>
    </row>
    <row r="8" spans="1:54" ht="15" customHeight="1" x14ac:dyDescent="0.25">
      <c r="A8" s="54"/>
      <c r="C8" s="55" t="s">
        <v>22</v>
      </c>
      <c r="I8" s="545">
        <v>2.9380000000000002</v>
      </c>
      <c r="K8" s="545">
        <v>0</v>
      </c>
      <c r="L8" s="546"/>
      <c r="M8" s="545">
        <v>0</v>
      </c>
      <c r="O8" s="545">
        <v>0</v>
      </c>
      <c r="Q8" s="545">
        <v>0</v>
      </c>
      <c r="R8" s="56"/>
      <c r="S8" s="545">
        <v>0</v>
      </c>
      <c r="U8" s="545"/>
      <c r="W8" s="545">
        <v>0</v>
      </c>
      <c r="Y8" s="545">
        <v>0</v>
      </c>
      <c r="Z8" s="547"/>
      <c r="AA8" s="11"/>
      <c r="AC8" s="548">
        <v>0</v>
      </c>
      <c r="AE8" s="548">
        <v>0</v>
      </c>
      <c r="AG8" s="548">
        <v>0</v>
      </c>
      <c r="AI8" s="548">
        <v>0</v>
      </c>
      <c r="AK8" s="548">
        <v>0</v>
      </c>
      <c r="AM8" s="548">
        <v>0</v>
      </c>
      <c r="AO8" s="548">
        <v>0</v>
      </c>
      <c r="AQ8" s="548">
        <v>0</v>
      </c>
      <c r="AS8" s="548">
        <v>0</v>
      </c>
      <c r="AT8" s="57"/>
      <c r="AU8" s="548">
        <v>0</v>
      </c>
      <c r="AW8" s="548">
        <v>0</v>
      </c>
      <c r="AY8" s="549">
        <f>SUM(I8:AW8)</f>
        <v>2.9380000000000002</v>
      </c>
    </row>
    <row r="9" spans="1:54" ht="15" customHeight="1" x14ac:dyDescent="0.25">
      <c r="A9" s="54"/>
      <c r="C9" s="55" t="s">
        <v>23</v>
      </c>
      <c r="I9" s="58">
        <f>I8*$H$3</f>
        <v>11889.70406</v>
      </c>
      <c r="K9" s="58">
        <f>K8*$H$3</f>
        <v>0</v>
      </c>
      <c r="L9" s="59"/>
      <c r="M9" s="58">
        <f>M8*$H$3</f>
        <v>0</v>
      </c>
      <c r="O9" s="58">
        <f>O8*$H$3</f>
        <v>0</v>
      </c>
      <c r="Q9" s="58">
        <f>Q8*$H$3</f>
        <v>0</v>
      </c>
      <c r="R9" s="56"/>
      <c r="S9" s="58">
        <f>S8*$H$3</f>
        <v>0</v>
      </c>
      <c r="U9" s="58"/>
      <c r="W9" s="58">
        <f>W8*$H$3</f>
        <v>0</v>
      </c>
      <c r="Y9" s="58">
        <f>Y8*$H$3</f>
        <v>0</v>
      </c>
      <c r="Z9" s="60"/>
      <c r="AA9" s="15"/>
      <c r="AC9" s="58">
        <f>AC8*$H$3</f>
        <v>0</v>
      </c>
      <c r="AE9" s="58">
        <f>AE8*$H$3</f>
        <v>0</v>
      </c>
      <c r="AG9" s="58">
        <f>AG8*$H$3</f>
        <v>0</v>
      </c>
      <c r="AI9" s="58">
        <f>AI8*$H$3</f>
        <v>0</v>
      </c>
      <c r="AK9" s="58">
        <f>AK8*$H$3</f>
        <v>0</v>
      </c>
      <c r="AM9" s="58">
        <f>AM8*$H$3</f>
        <v>0</v>
      </c>
      <c r="AO9" s="58">
        <f>AO8*$H$3</f>
        <v>0</v>
      </c>
      <c r="AQ9" s="58">
        <f>AQ8*$H$3</f>
        <v>0</v>
      </c>
      <c r="AS9" s="58">
        <f>AS8*$H$3</f>
        <v>0</v>
      </c>
      <c r="AT9" s="57"/>
      <c r="AU9" s="58">
        <f>AU8*$H$3</f>
        <v>0</v>
      </c>
      <c r="AW9" s="58">
        <f>AW8*$H$3</f>
        <v>0</v>
      </c>
      <c r="AY9" s="58">
        <f>SUM(I9:AW9)</f>
        <v>11889.70406</v>
      </c>
      <c r="AZ9" s="57"/>
    </row>
    <row r="10" spans="1:54" ht="15" customHeight="1" x14ac:dyDescent="0.25">
      <c r="A10" s="54"/>
      <c r="C10" s="55" t="s">
        <v>24</v>
      </c>
      <c r="I10" s="61">
        <f>I8*$H$4</f>
        <v>127979.28000000001</v>
      </c>
      <c r="K10" s="61">
        <f>K8*$H$4</f>
        <v>0</v>
      </c>
      <c r="L10" s="59"/>
      <c r="M10" s="61">
        <f>M8*$H$4</f>
        <v>0</v>
      </c>
      <c r="O10" s="61">
        <f>O8*$H$4</f>
        <v>0</v>
      </c>
      <c r="Q10" s="61">
        <f>Q8*$H$4</f>
        <v>0</v>
      </c>
      <c r="R10" s="56"/>
      <c r="S10" s="61">
        <f>S8*$H$4</f>
        <v>0</v>
      </c>
      <c r="U10" s="61"/>
      <c r="W10" s="61">
        <f>W8*$H$4</f>
        <v>0</v>
      </c>
      <c r="Y10" s="61">
        <f>Y8*$H$4</f>
        <v>0</v>
      </c>
      <c r="Z10" s="62"/>
      <c r="AA10" s="15"/>
      <c r="AC10" s="61">
        <f>AC8*$H$4</f>
        <v>0</v>
      </c>
      <c r="AE10" s="61">
        <f>AE8*$H$4</f>
        <v>0</v>
      </c>
      <c r="AG10" s="61">
        <f>AG8*$H$4</f>
        <v>0</v>
      </c>
      <c r="AI10" s="61">
        <f>AI8*$H$4</f>
        <v>0</v>
      </c>
      <c r="AK10" s="61">
        <f>AK8*$H$4</f>
        <v>0</v>
      </c>
      <c r="AM10" s="61">
        <f>AM8*$H$4</f>
        <v>0</v>
      </c>
      <c r="AO10" s="61">
        <f>AO8*$H$4</f>
        <v>0</v>
      </c>
      <c r="AQ10" s="61">
        <f>AQ8*$H$4</f>
        <v>0</v>
      </c>
      <c r="AS10" s="61">
        <f>AS8*$H$4</f>
        <v>0</v>
      </c>
      <c r="AT10" s="57"/>
      <c r="AU10" s="61">
        <f>AU8*$H$4</f>
        <v>0</v>
      </c>
      <c r="AW10" s="61">
        <f>AW8*$H$4</f>
        <v>0</v>
      </c>
      <c r="AY10" s="61">
        <f>SUM(I10:AW10)</f>
        <v>127979.28000000001</v>
      </c>
      <c r="AZ10" s="57"/>
    </row>
    <row r="11" spans="1:54" ht="15" customHeight="1" x14ac:dyDescent="0.25">
      <c r="A11" s="54"/>
      <c r="C11" s="55" t="s">
        <v>508</v>
      </c>
      <c r="I11" s="63">
        <f>E36</f>
        <v>84</v>
      </c>
      <c r="K11" s="63" t="e">
        <f>#REF!</f>
        <v>#REF!</v>
      </c>
      <c r="L11" s="64"/>
      <c r="M11" s="63" t="e">
        <f>#REF!</f>
        <v>#REF!</v>
      </c>
      <c r="O11" s="63" t="e">
        <f>#REF!</f>
        <v>#REF!</v>
      </c>
      <c r="Q11" s="63">
        <v>0</v>
      </c>
      <c r="R11" s="64"/>
      <c r="S11" s="63" t="e">
        <f>#REF!+#REF!</f>
        <v>#REF!</v>
      </c>
      <c r="U11" s="63"/>
      <c r="W11" s="63" t="e">
        <f>#REF!</f>
        <v>#REF!</v>
      </c>
      <c r="Y11" s="63" t="e">
        <f>#REF!</f>
        <v>#REF!</v>
      </c>
      <c r="Z11" s="65"/>
      <c r="AA11" s="15"/>
      <c r="AC11" s="63" t="e">
        <f>#REF!</f>
        <v>#REF!</v>
      </c>
      <c r="AE11" s="63" t="e">
        <f>#REF!</f>
        <v>#REF!</v>
      </c>
      <c r="AG11" s="66" t="e">
        <f>#REF!</f>
        <v>#REF!</v>
      </c>
      <c r="AI11" s="66" t="e">
        <f>#REF!</f>
        <v>#REF!</v>
      </c>
      <c r="AK11" s="66" t="e">
        <f>#REF!</f>
        <v>#REF!</v>
      </c>
      <c r="AM11" s="66" t="e">
        <f>#REF!</f>
        <v>#REF!</v>
      </c>
      <c r="AO11" s="63" t="e">
        <f>#REF!</f>
        <v>#REF!</v>
      </c>
      <c r="AQ11" s="63" t="e">
        <f>#REF!</f>
        <v>#REF!</v>
      </c>
      <c r="AS11" s="63">
        <v>0</v>
      </c>
      <c r="AT11" s="65"/>
      <c r="AU11" s="63" t="e">
        <f>#REF!</f>
        <v>#REF!</v>
      </c>
      <c r="AW11" s="63" t="e">
        <f>#REF!</f>
        <v>#REF!</v>
      </c>
      <c r="AY11" s="63" t="e">
        <f>SUM(I11:AW11)</f>
        <v>#REF!</v>
      </c>
      <c r="AZ11" s="65"/>
    </row>
    <row r="12" spans="1:54" ht="15" customHeight="1" x14ac:dyDescent="0.25">
      <c r="C12" s="55" t="s">
        <v>498</v>
      </c>
      <c r="D12" s="67"/>
      <c r="E12" s="67"/>
      <c r="F12" s="67"/>
      <c r="G12" s="67"/>
      <c r="H12" s="68"/>
      <c r="I12" s="540">
        <v>344</v>
      </c>
      <c r="K12" s="540">
        <v>0</v>
      </c>
      <c r="L12" s="62"/>
      <c r="M12" s="540">
        <v>0</v>
      </c>
      <c r="O12" s="540">
        <v>0</v>
      </c>
      <c r="Q12" s="540">
        <v>0</v>
      </c>
      <c r="R12" s="62"/>
      <c r="S12" s="540">
        <v>0</v>
      </c>
      <c r="U12" s="62"/>
      <c r="W12" s="62"/>
      <c r="Y12" s="62"/>
      <c r="Z12" s="62"/>
      <c r="AA12" s="15"/>
      <c r="AC12" s="62"/>
      <c r="AE12" s="62"/>
      <c r="AG12" s="62"/>
      <c r="AI12" s="62"/>
      <c r="AK12" s="62"/>
      <c r="AM12" s="541"/>
      <c r="AO12" s="62"/>
      <c r="AQ12" s="62"/>
      <c r="AS12" s="62"/>
      <c r="AT12" s="62"/>
      <c r="AU12" s="62"/>
      <c r="AW12" s="62"/>
      <c r="AY12" s="542"/>
      <c r="AZ12" s="57"/>
    </row>
    <row r="13" spans="1:54" ht="15" customHeight="1" x14ac:dyDescent="0.25">
      <c r="C13" s="55" t="s">
        <v>506</v>
      </c>
      <c r="D13" s="67"/>
      <c r="E13" s="67"/>
      <c r="F13" s="67"/>
      <c r="G13" s="67"/>
      <c r="H13" s="68"/>
      <c r="I13" s="551">
        <v>44</v>
      </c>
      <c r="K13" s="540"/>
      <c r="L13" s="62"/>
      <c r="M13" s="540"/>
      <c r="O13" s="540"/>
      <c r="Q13" s="540"/>
      <c r="R13" s="62"/>
      <c r="S13" s="540"/>
      <c r="U13" s="62"/>
      <c r="W13" s="62"/>
      <c r="Y13" s="62"/>
      <c r="Z13" s="62"/>
      <c r="AA13" s="15"/>
      <c r="AC13" s="62"/>
      <c r="AE13" s="62"/>
      <c r="AG13" s="62"/>
      <c r="AI13" s="62"/>
      <c r="AK13" s="62"/>
      <c r="AM13" s="541"/>
      <c r="AO13" s="62"/>
      <c r="AQ13" s="62"/>
      <c r="AS13" s="62"/>
      <c r="AT13" s="62"/>
      <c r="AU13" s="62"/>
      <c r="AW13" s="62"/>
      <c r="AY13" s="542"/>
      <c r="AZ13" s="57"/>
    </row>
    <row r="14" spans="1:54" ht="15" customHeight="1" x14ac:dyDescent="0.25">
      <c r="C14" s="55" t="s">
        <v>499</v>
      </c>
      <c r="D14" s="67"/>
      <c r="E14" s="67"/>
      <c r="F14" s="67"/>
      <c r="G14" s="67"/>
      <c r="H14" s="68"/>
      <c r="I14" s="61">
        <v>653039</v>
      </c>
      <c r="K14" s="61"/>
      <c r="L14" s="62"/>
      <c r="M14" s="61"/>
      <c r="O14" s="61"/>
      <c r="Q14" s="61"/>
      <c r="R14" s="62"/>
      <c r="S14" s="61"/>
      <c r="U14" s="62"/>
      <c r="W14" s="62"/>
      <c r="Y14" s="62"/>
      <c r="Z14" s="62"/>
      <c r="AA14" s="15"/>
      <c r="AC14" s="62"/>
      <c r="AE14" s="62"/>
      <c r="AG14" s="62"/>
      <c r="AI14" s="62"/>
      <c r="AK14" s="62"/>
      <c r="AM14" s="541"/>
      <c r="AO14" s="62"/>
      <c r="AQ14" s="62"/>
      <c r="AS14" s="62"/>
      <c r="AT14" s="62"/>
      <c r="AU14" s="62"/>
      <c r="AW14" s="62"/>
      <c r="AY14" s="542"/>
      <c r="AZ14" s="57"/>
    </row>
    <row r="15" spans="1:54" ht="15" customHeight="1" x14ac:dyDescent="0.25">
      <c r="A15" s="54"/>
      <c r="C15" s="55" t="s">
        <v>500</v>
      </c>
      <c r="D15" s="67"/>
      <c r="E15" s="67"/>
      <c r="F15" s="67"/>
      <c r="G15" s="67"/>
      <c r="H15" s="68"/>
      <c r="I15" s="61">
        <v>378439</v>
      </c>
      <c r="K15" s="61"/>
      <c r="L15" s="69"/>
      <c r="M15" s="61">
        <v>1</v>
      </c>
      <c r="O15" s="61"/>
      <c r="Q15" s="61"/>
      <c r="R15" s="69"/>
      <c r="S15" s="61"/>
      <c r="U15" s="61"/>
      <c r="W15" s="61"/>
      <c r="Y15" s="61"/>
      <c r="Z15" s="62"/>
      <c r="AA15" s="15"/>
      <c r="AC15" s="61"/>
      <c r="AE15" s="61"/>
      <c r="AG15" s="61"/>
      <c r="AI15" s="61"/>
      <c r="AK15" s="61"/>
      <c r="AM15" s="70"/>
      <c r="AO15" s="61"/>
      <c r="AQ15" s="61"/>
      <c r="AS15" s="61"/>
      <c r="AT15" s="62"/>
      <c r="AU15" s="61"/>
      <c r="AW15" s="61"/>
      <c r="AY15" s="71"/>
      <c r="AZ15" s="57"/>
    </row>
    <row r="16" spans="1:54" ht="15" customHeight="1" x14ac:dyDescent="0.25">
      <c r="A16" s="54"/>
      <c r="C16" s="55" t="s">
        <v>501</v>
      </c>
      <c r="D16" s="67"/>
      <c r="E16" s="67"/>
      <c r="F16" s="67"/>
      <c r="G16" s="67"/>
      <c r="H16" s="68"/>
      <c r="I16" s="61">
        <f>G36</f>
        <v>294000</v>
      </c>
      <c r="K16" s="61"/>
      <c r="L16" s="69"/>
      <c r="M16" s="61" t="e">
        <f>M11*#REF!</f>
        <v>#REF!</v>
      </c>
      <c r="O16" s="61" t="e">
        <f>O11*#REF!</f>
        <v>#REF!</v>
      </c>
      <c r="Q16" s="61" t="e">
        <f>Q11*#REF!</f>
        <v>#REF!</v>
      </c>
      <c r="R16" s="69"/>
      <c r="S16" s="61" t="e">
        <f>(#REF!*#REF!)+(#REF!*#REF!)</f>
        <v>#REF!</v>
      </c>
      <c r="U16" s="61"/>
      <c r="W16" s="61" t="e">
        <f>W11*#REF!</f>
        <v>#REF!</v>
      </c>
      <c r="Y16" s="61" t="e">
        <f>Y11*#REF!</f>
        <v>#REF!</v>
      </c>
      <c r="Z16" s="62"/>
      <c r="AA16" s="15"/>
      <c r="AC16" s="61" t="e">
        <f>AC11*#REF!</f>
        <v>#REF!</v>
      </c>
      <c r="AE16" s="61" t="e">
        <f>AE11*#REF!</f>
        <v>#REF!</v>
      </c>
      <c r="AG16" s="70" t="e">
        <f>AG11*#REF!</f>
        <v>#REF!</v>
      </c>
      <c r="AI16" s="70" t="e">
        <f>AI11*#REF!</f>
        <v>#REF!</v>
      </c>
      <c r="AK16" s="70" t="e">
        <f>AK11*#REF!</f>
        <v>#REF!</v>
      </c>
      <c r="AM16" s="70" t="e">
        <f>AM11*#REF!</f>
        <v>#REF!</v>
      </c>
      <c r="AO16" s="70" t="e">
        <f>AO11*#REF!</f>
        <v>#REF!</v>
      </c>
      <c r="AQ16" s="70" t="e">
        <f>AQ11*#REF!</f>
        <v>#REF!</v>
      </c>
      <c r="AS16" s="70" t="e">
        <f>AS11*#REF!</f>
        <v>#REF!</v>
      </c>
      <c r="AT16" s="62"/>
      <c r="AU16" s="61" t="e">
        <f>AU11*#REF!</f>
        <v>#REF!</v>
      </c>
      <c r="AW16" s="61" t="e">
        <f>AW11*#REF!</f>
        <v>#REF!</v>
      </c>
      <c r="AY16" s="61" t="e">
        <f>SUM(I16:AW16)</f>
        <v>#REF!</v>
      </c>
      <c r="AZ16" s="62"/>
    </row>
    <row r="17" spans="1:52" ht="15" customHeight="1" x14ac:dyDescent="0.25">
      <c r="A17" s="54"/>
      <c r="C17" s="55" t="s">
        <v>544</v>
      </c>
      <c r="D17" s="67"/>
      <c r="E17" s="67"/>
      <c r="F17" s="67"/>
      <c r="G17" s="67"/>
      <c r="H17" s="68"/>
      <c r="I17" s="550">
        <f>I15/I10</f>
        <v>2.9570333572747085</v>
      </c>
      <c r="K17" s="72" t="e">
        <f>K11/K8</f>
        <v>#REF!</v>
      </c>
      <c r="L17" s="69"/>
      <c r="M17" s="72" t="e">
        <f>M11/M8</f>
        <v>#REF!</v>
      </c>
      <c r="O17" s="72" t="e">
        <f>O11/O8</f>
        <v>#REF!</v>
      </c>
      <c r="Q17" s="73" t="e">
        <f>Q16/Q10</f>
        <v>#REF!</v>
      </c>
      <c r="R17" s="69"/>
      <c r="S17" s="73" t="e">
        <f>S16/S10</f>
        <v>#REF!</v>
      </c>
      <c r="U17" s="73"/>
      <c r="W17" s="73" t="e">
        <f>W16/W10</f>
        <v>#REF!</v>
      </c>
      <c r="Y17" s="73" t="e">
        <f>Y16/Y10</f>
        <v>#REF!</v>
      </c>
      <c r="Z17" s="74"/>
      <c r="AA17" s="15"/>
      <c r="AC17" s="72" t="e">
        <f>AC11/AC8</f>
        <v>#REF!</v>
      </c>
      <c r="AE17" s="72" t="e">
        <f>AE11/AE8</f>
        <v>#REF!</v>
      </c>
      <c r="AG17" s="75" t="e">
        <f>AG11/AG8</f>
        <v>#REF!</v>
      </c>
      <c r="AI17" s="75" t="e">
        <f>AI11/AI8</f>
        <v>#REF!</v>
      </c>
      <c r="AK17" s="75" t="e">
        <f>AK11/AK8</f>
        <v>#REF!</v>
      </c>
      <c r="AM17" s="72" t="e">
        <f>AM11/AM8</f>
        <v>#REF!</v>
      </c>
      <c r="AO17" s="72" t="e">
        <f>AO11/AO8</f>
        <v>#REF!</v>
      </c>
      <c r="AQ17" s="72" t="e">
        <f>AQ11/AQ8</f>
        <v>#REF!</v>
      </c>
      <c r="AS17" s="72" t="e">
        <f>AS11/AS8</f>
        <v>#DIV/0!</v>
      </c>
      <c r="AT17" s="62"/>
      <c r="AU17" s="72" t="e">
        <f>AU11/AU8</f>
        <v>#REF!</v>
      </c>
      <c r="AW17" s="73" t="e">
        <f>AW16/AW10</f>
        <v>#REF!</v>
      </c>
      <c r="AY17" s="71"/>
      <c r="AZ17" s="62"/>
    </row>
    <row r="18" spans="1:52" ht="15" customHeight="1" x14ac:dyDescent="0.25">
      <c r="A18" s="54"/>
      <c r="C18" s="55"/>
      <c r="D18" s="67"/>
      <c r="E18" s="67"/>
      <c r="F18" s="67"/>
      <c r="G18" s="67"/>
      <c r="H18" s="68"/>
      <c r="I18" s="550"/>
      <c r="K18" s="72"/>
      <c r="L18" s="69"/>
      <c r="M18" s="72"/>
      <c r="O18" s="72"/>
      <c r="Q18" s="73"/>
      <c r="R18" s="69"/>
      <c r="S18" s="73"/>
      <c r="U18" s="73"/>
      <c r="W18" s="73"/>
      <c r="Y18" s="73"/>
      <c r="Z18" s="74"/>
      <c r="AA18" s="15"/>
      <c r="AC18" s="72"/>
      <c r="AE18" s="72"/>
      <c r="AG18" s="75"/>
      <c r="AI18" s="75"/>
      <c r="AK18" s="75"/>
      <c r="AM18" s="72"/>
      <c r="AO18" s="72"/>
      <c r="AQ18" s="72"/>
      <c r="AS18" s="72"/>
      <c r="AT18" s="62"/>
      <c r="AU18" s="72"/>
      <c r="AW18" s="73"/>
      <c r="AY18" s="71"/>
      <c r="AZ18" s="62"/>
    </row>
    <row r="19" spans="1:52" ht="15" customHeight="1" x14ac:dyDescent="0.25">
      <c r="A19" s="54"/>
      <c r="C19" s="651" t="s">
        <v>551</v>
      </c>
      <c r="D19" s="67"/>
      <c r="E19" s="67"/>
      <c r="F19" s="647"/>
      <c r="G19" s="647"/>
      <c r="H19" s="648" t="s">
        <v>547</v>
      </c>
      <c r="I19" s="550"/>
      <c r="K19" s="72"/>
      <c r="L19" s="69"/>
      <c r="M19" s="72"/>
      <c r="O19" s="72"/>
      <c r="Q19" s="73"/>
      <c r="R19" s="69"/>
      <c r="S19" s="73"/>
      <c r="U19" s="73"/>
      <c r="W19" s="73"/>
      <c r="Y19" s="73"/>
      <c r="Z19" s="74"/>
      <c r="AA19" s="15"/>
      <c r="AC19" s="72"/>
      <c r="AE19" s="72"/>
      <c r="AG19" s="75"/>
      <c r="AI19" s="75"/>
      <c r="AK19" s="75"/>
      <c r="AM19" s="72"/>
      <c r="AO19" s="72"/>
      <c r="AQ19" s="72"/>
      <c r="AS19" s="72"/>
      <c r="AT19" s="62"/>
      <c r="AU19" s="72"/>
      <c r="AW19" s="73"/>
      <c r="AY19" s="71"/>
      <c r="AZ19" s="62"/>
    </row>
    <row r="20" spans="1:52" ht="15" customHeight="1" x14ac:dyDescent="0.25">
      <c r="A20" s="54"/>
      <c r="C20" s="652" t="s">
        <v>545</v>
      </c>
      <c r="D20" s="653"/>
      <c r="E20" s="653"/>
      <c r="F20" s="654"/>
      <c r="G20" s="650">
        <f>F36</f>
        <v>600</v>
      </c>
      <c r="H20" s="649">
        <f>I20/$I$20</f>
        <v>1</v>
      </c>
      <c r="I20" s="655">
        <f>I61</f>
        <v>176400000</v>
      </c>
      <c r="K20" s="72"/>
      <c r="L20" s="69"/>
      <c r="M20" s="72"/>
      <c r="O20" s="72"/>
      <c r="Q20" s="73"/>
      <c r="R20" s="69"/>
      <c r="S20" s="73"/>
      <c r="U20" s="73"/>
      <c r="W20" s="73"/>
      <c r="Y20" s="73"/>
      <c r="Z20" s="74"/>
      <c r="AA20" s="15"/>
      <c r="AC20" s="72"/>
      <c r="AE20" s="72"/>
      <c r="AG20" s="75"/>
      <c r="AI20" s="75"/>
      <c r="AK20" s="75"/>
      <c r="AM20" s="72"/>
      <c r="AO20" s="72"/>
      <c r="AQ20" s="72"/>
      <c r="AS20" s="72"/>
      <c r="AT20" s="62"/>
      <c r="AU20" s="72"/>
      <c r="AW20" s="73"/>
      <c r="AY20" s="71"/>
      <c r="AZ20" s="62"/>
    </row>
    <row r="21" spans="1:52" ht="15" customHeight="1" x14ac:dyDescent="0.25">
      <c r="A21" s="54"/>
      <c r="C21" s="652" t="s">
        <v>546</v>
      </c>
      <c r="D21" s="653"/>
      <c r="E21" s="653"/>
      <c r="F21" s="654"/>
      <c r="G21" s="650">
        <f>F72</f>
        <v>100</v>
      </c>
      <c r="H21" s="649">
        <f>-I21/$I$20</f>
        <v>8.4952243537414984E-2</v>
      </c>
      <c r="I21" s="655">
        <f>-I69</f>
        <v>-14985575.760000004</v>
      </c>
      <c r="K21" s="72"/>
      <c r="L21" s="69"/>
      <c r="M21" s="72"/>
      <c r="O21" s="72"/>
      <c r="Q21" s="73"/>
      <c r="R21" s="69"/>
      <c r="S21" s="73"/>
      <c r="U21" s="73"/>
      <c r="W21" s="73"/>
      <c r="Y21" s="73"/>
      <c r="Z21" s="74"/>
      <c r="AA21" s="15"/>
      <c r="AC21" s="72"/>
      <c r="AE21" s="72"/>
      <c r="AG21" s="75"/>
      <c r="AI21" s="75"/>
      <c r="AK21" s="75"/>
      <c r="AM21" s="72"/>
      <c r="AO21" s="72"/>
      <c r="AQ21" s="72"/>
      <c r="AS21" s="72"/>
      <c r="AT21" s="62"/>
      <c r="AU21" s="72"/>
      <c r="AW21" s="73"/>
      <c r="AY21" s="71"/>
      <c r="AZ21" s="62"/>
    </row>
    <row r="22" spans="1:52" ht="15" customHeight="1" x14ac:dyDescent="0.25">
      <c r="A22" s="54"/>
      <c r="C22" s="652" t="s">
        <v>548</v>
      </c>
      <c r="D22" s="653"/>
      <c r="E22" s="653"/>
      <c r="F22" s="654"/>
      <c r="G22" s="650">
        <f>I81</f>
        <v>352.47134132653059</v>
      </c>
      <c r="H22" s="649">
        <f>-I22/$I$20</f>
        <v>0.58745223554421766</v>
      </c>
      <c r="I22" s="655">
        <f>-I79</f>
        <v>-103626574.34999999</v>
      </c>
      <c r="K22" s="72"/>
      <c r="L22" s="69"/>
      <c r="M22" s="72"/>
      <c r="O22" s="72"/>
      <c r="Q22" s="73"/>
      <c r="R22" s="69"/>
      <c r="S22" s="73"/>
      <c r="U22" s="73"/>
      <c r="W22" s="73"/>
      <c r="Y22" s="73"/>
      <c r="Z22" s="74"/>
      <c r="AA22" s="15"/>
      <c r="AC22" s="72"/>
      <c r="AE22" s="72"/>
      <c r="AG22" s="75"/>
      <c r="AI22" s="75"/>
      <c r="AK22" s="75"/>
      <c r="AM22" s="72"/>
      <c r="AO22" s="72"/>
      <c r="AQ22" s="72"/>
      <c r="AS22" s="72"/>
      <c r="AT22" s="62"/>
      <c r="AU22" s="72"/>
      <c r="AW22" s="73"/>
      <c r="AY22" s="71"/>
      <c r="AZ22" s="62"/>
    </row>
    <row r="23" spans="1:52" ht="15" customHeight="1" x14ac:dyDescent="0.25">
      <c r="A23" s="54"/>
      <c r="C23" s="652" t="s">
        <v>549</v>
      </c>
      <c r="D23" s="653"/>
      <c r="E23" s="653"/>
      <c r="F23" s="653"/>
      <c r="G23" s="650">
        <f>-I23/I16</f>
        <v>48.442243848639457</v>
      </c>
      <c r="H23" s="649">
        <f>-I23/$I$20</f>
        <v>8.0737073081065758E-2</v>
      </c>
      <c r="I23" s="655">
        <f>-I103-I106-I109-I122-I125-I129-I132</f>
        <v>-14242019.691500001</v>
      </c>
      <c r="K23" s="72"/>
      <c r="L23" s="69"/>
      <c r="M23" s="72"/>
      <c r="O23" s="72"/>
      <c r="Q23" s="73"/>
      <c r="R23" s="69"/>
      <c r="S23" s="73"/>
      <c r="U23" s="73"/>
      <c r="W23" s="73"/>
      <c r="Y23" s="73"/>
      <c r="Z23" s="74"/>
      <c r="AA23" s="15"/>
      <c r="AC23" s="72"/>
      <c r="AE23" s="72"/>
      <c r="AG23" s="75"/>
      <c r="AI23" s="75"/>
      <c r="AK23" s="75"/>
      <c r="AM23" s="72"/>
      <c r="AO23" s="72"/>
      <c r="AQ23" s="72"/>
      <c r="AS23" s="72"/>
      <c r="AT23" s="62"/>
      <c r="AU23" s="72"/>
      <c r="AW23" s="73"/>
      <c r="AY23" s="71"/>
      <c r="AZ23" s="62"/>
    </row>
    <row r="24" spans="1:52" ht="15" customHeight="1" x14ac:dyDescent="0.25">
      <c r="A24" s="54"/>
      <c r="C24" s="652" t="s">
        <v>550</v>
      </c>
      <c r="D24" s="653"/>
      <c r="E24" s="653"/>
      <c r="F24" s="653"/>
      <c r="G24" s="653"/>
      <c r="H24" s="649">
        <f>-I24/$I$20</f>
        <v>3.0626209373809523E-2</v>
      </c>
      <c r="I24" s="655">
        <f>-I144</f>
        <v>-5402463.33354</v>
      </c>
      <c r="K24" s="72"/>
      <c r="L24" s="69"/>
      <c r="M24" s="72"/>
      <c r="O24" s="72"/>
      <c r="Q24" s="73"/>
      <c r="R24" s="69"/>
      <c r="S24" s="73"/>
      <c r="U24" s="73"/>
      <c r="W24" s="73"/>
      <c r="Y24" s="73"/>
      <c r="Z24" s="74"/>
      <c r="AA24" s="15"/>
      <c r="AC24" s="72"/>
      <c r="AE24" s="72"/>
      <c r="AG24" s="75"/>
      <c r="AI24" s="75"/>
      <c r="AK24" s="75"/>
      <c r="AM24" s="72"/>
      <c r="AO24" s="72"/>
      <c r="AQ24" s="72"/>
      <c r="AS24" s="72"/>
      <c r="AT24" s="62"/>
      <c r="AU24" s="72"/>
      <c r="AW24" s="73"/>
      <c r="AY24" s="71"/>
      <c r="AZ24" s="62"/>
    </row>
    <row r="25" spans="1:52" ht="15" customHeight="1" thickBot="1" x14ac:dyDescent="0.3">
      <c r="A25" s="54"/>
      <c r="C25" s="652" t="s">
        <v>555</v>
      </c>
      <c r="D25" s="653"/>
      <c r="E25" s="653"/>
      <c r="F25" s="653"/>
      <c r="G25" s="653"/>
      <c r="H25" s="649"/>
      <c r="I25" s="656">
        <f>SUM(I20:I24)</f>
        <v>38143366.864960015</v>
      </c>
      <c r="K25" s="72"/>
      <c r="L25" s="69"/>
      <c r="M25" s="72"/>
      <c r="O25" s="72"/>
      <c r="Q25" s="73"/>
      <c r="R25" s="69"/>
      <c r="S25" s="73"/>
      <c r="U25" s="73"/>
      <c r="W25" s="73"/>
      <c r="Y25" s="73"/>
      <c r="Z25" s="74"/>
      <c r="AA25" s="15"/>
      <c r="AC25" s="72"/>
      <c r="AE25" s="72"/>
      <c r="AG25" s="75"/>
      <c r="AI25" s="75"/>
      <c r="AK25" s="75"/>
      <c r="AM25" s="72"/>
      <c r="AO25" s="72"/>
      <c r="AQ25" s="72"/>
      <c r="AS25" s="72"/>
      <c r="AT25" s="62"/>
      <c r="AU25" s="72"/>
      <c r="AW25" s="73"/>
      <c r="AY25" s="71"/>
      <c r="AZ25" s="62"/>
    </row>
    <row r="26" spans="1:52" ht="15" customHeight="1" thickTop="1" x14ac:dyDescent="0.25">
      <c r="A26" s="54"/>
      <c r="C26" s="55"/>
      <c r="D26" s="67"/>
      <c r="E26" s="67"/>
      <c r="F26" s="67"/>
      <c r="G26" s="67"/>
      <c r="H26" s="658" t="s">
        <v>554</v>
      </c>
      <c r="I26" s="657">
        <f>I25/I20</f>
        <v>0.21623223846349215</v>
      </c>
      <c r="K26" s="72"/>
      <c r="L26" s="69"/>
      <c r="M26" s="72"/>
      <c r="O26" s="72"/>
      <c r="Q26" s="73"/>
      <c r="R26" s="69"/>
      <c r="S26" s="73"/>
      <c r="U26" s="73"/>
      <c r="W26" s="73"/>
      <c r="Y26" s="73"/>
      <c r="Z26" s="74"/>
      <c r="AA26" s="15"/>
      <c r="AC26" s="72"/>
      <c r="AE26" s="72"/>
      <c r="AG26" s="75"/>
      <c r="AI26" s="75"/>
      <c r="AK26" s="75"/>
      <c r="AM26" s="72"/>
      <c r="AO26" s="72"/>
      <c r="AQ26" s="72"/>
      <c r="AS26" s="72"/>
      <c r="AT26" s="62"/>
      <c r="AU26" s="72"/>
      <c r="AW26" s="73"/>
      <c r="AY26" s="71"/>
      <c r="AZ26" s="62"/>
    </row>
    <row r="27" spans="1:52" ht="15" customHeight="1" x14ac:dyDescent="0.25">
      <c r="A27" s="641"/>
      <c r="B27" s="642"/>
      <c r="C27" s="643"/>
      <c r="D27" s="644"/>
      <c r="E27" s="644"/>
      <c r="F27" s="644"/>
      <c r="G27" s="644"/>
      <c r="H27" s="645"/>
      <c r="I27" s="646"/>
      <c r="K27" s="72"/>
      <c r="L27" s="69"/>
      <c r="M27" s="72"/>
      <c r="O27" s="72"/>
      <c r="Q27" s="73"/>
      <c r="R27" s="69"/>
      <c r="S27" s="73"/>
      <c r="U27" s="73"/>
      <c r="W27" s="73"/>
      <c r="Y27" s="73"/>
      <c r="Z27" s="74"/>
      <c r="AA27" s="15"/>
      <c r="AC27" s="72"/>
      <c r="AE27" s="72"/>
      <c r="AG27" s="75"/>
      <c r="AI27" s="75"/>
      <c r="AK27" s="75"/>
      <c r="AM27" s="72"/>
      <c r="AO27" s="72"/>
      <c r="AQ27" s="72"/>
      <c r="AS27" s="72"/>
      <c r="AT27" s="62"/>
      <c r="AU27" s="72"/>
      <c r="AW27" s="73"/>
      <c r="AY27" s="71"/>
      <c r="AZ27" s="62"/>
    </row>
    <row r="28" spans="1:52" ht="15" customHeight="1" x14ac:dyDescent="0.25">
      <c r="A28" s="76" t="s">
        <v>25</v>
      </c>
      <c r="B28" s="12" t="s">
        <v>26</v>
      </c>
      <c r="C28" s="12"/>
      <c r="D28" s="77"/>
      <c r="E28" s="77"/>
      <c r="F28" s="67"/>
      <c r="G28" s="67"/>
      <c r="H28" s="78"/>
      <c r="I28" s="79"/>
      <c r="K28" s="79"/>
      <c r="L28" s="80"/>
      <c r="M28" s="79"/>
      <c r="O28" s="79"/>
      <c r="Q28" s="79"/>
      <c r="R28" s="80"/>
      <c r="S28" s="79"/>
      <c r="U28" s="79"/>
      <c r="W28" s="79"/>
      <c r="Y28" s="81"/>
      <c r="Z28" s="82"/>
      <c r="AA28" s="15"/>
      <c r="AC28" s="79"/>
      <c r="AE28" s="79"/>
      <c r="AG28" s="79"/>
      <c r="AI28" s="79"/>
      <c r="AK28" s="79"/>
      <c r="AM28" s="83"/>
      <c r="AO28" s="79"/>
      <c r="AQ28" s="79"/>
      <c r="AS28" s="79"/>
      <c r="AT28" s="82"/>
      <c r="AU28" s="79"/>
      <c r="AW28" s="79"/>
      <c r="AY28" s="84"/>
      <c r="AZ28" s="82"/>
    </row>
    <row r="29" spans="1:52" ht="15" customHeight="1" x14ac:dyDescent="0.25">
      <c r="A29" s="76"/>
      <c r="B29" s="12"/>
      <c r="C29" s="12"/>
      <c r="D29" s="77"/>
      <c r="E29" s="77"/>
      <c r="F29" s="67"/>
      <c r="G29" s="67"/>
      <c r="H29" s="68"/>
      <c r="I29" s="79"/>
      <c r="K29" s="79"/>
      <c r="L29" s="80"/>
      <c r="M29" s="79"/>
      <c r="O29" s="79"/>
      <c r="Q29" s="85"/>
      <c r="R29" s="80"/>
      <c r="S29" s="86" t="s">
        <v>27</v>
      </c>
      <c r="U29" s="85"/>
      <c r="W29" s="86" t="s">
        <v>27</v>
      </c>
      <c r="Y29" s="86" t="s">
        <v>27</v>
      </c>
      <c r="Z29" s="28"/>
      <c r="AA29" s="15"/>
      <c r="AC29" s="79"/>
      <c r="AE29" s="79"/>
      <c r="AG29" s="79"/>
      <c r="AI29" s="79"/>
      <c r="AK29" s="79"/>
      <c r="AM29" s="83"/>
      <c r="AO29" s="79"/>
      <c r="AQ29" s="79"/>
      <c r="AS29" s="79"/>
      <c r="AT29" s="82"/>
      <c r="AU29" s="87"/>
      <c r="AW29" s="79"/>
      <c r="AY29" s="84"/>
      <c r="AZ29" s="82"/>
    </row>
    <row r="30" spans="1:52" ht="15" customHeight="1" x14ac:dyDescent="0.25">
      <c r="A30" s="88">
        <v>1</v>
      </c>
      <c r="B30" s="11" t="s">
        <v>28</v>
      </c>
      <c r="C30" s="11"/>
      <c r="D30" s="89"/>
      <c r="E30" s="89"/>
      <c r="F30" s="67"/>
      <c r="G30" s="67"/>
      <c r="H30" s="68"/>
      <c r="I30" s="81" t="s">
        <v>37</v>
      </c>
      <c r="J30" s="28"/>
      <c r="K30" s="90" t="s">
        <v>29</v>
      </c>
      <c r="L30" s="91"/>
      <c r="M30" s="92" t="s">
        <v>30</v>
      </c>
      <c r="N30" s="28"/>
      <c r="O30" s="92" t="s">
        <v>30</v>
      </c>
      <c r="P30" s="28"/>
      <c r="Q30" s="86" t="s">
        <v>31</v>
      </c>
      <c r="R30" s="93"/>
      <c r="S30" s="94" t="s">
        <v>32</v>
      </c>
      <c r="T30" s="95"/>
      <c r="U30" s="96"/>
      <c r="V30" s="95"/>
      <c r="W30" s="97" t="s">
        <v>33</v>
      </c>
      <c r="X30" s="95"/>
      <c r="Y30" s="97" t="s">
        <v>33</v>
      </c>
      <c r="Z30" s="98"/>
      <c r="AA30" s="15"/>
      <c r="AB30" s="28"/>
      <c r="AC30" s="90" t="s">
        <v>34</v>
      </c>
      <c r="AD30" s="28"/>
      <c r="AE30" s="90" t="s">
        <v>34</v>
      </c>
      <c r="AF30" s="28"/>
      <c r="AG30" s="90" t="s">
        <v>34</v>
      </c>
      <c r="AH30" s="28"/>
      <c r="AI30" s="99" t="s">
        <v>35</v>
      </c>
      <c r="AJ30" s="28"/>
      <c r="AK30" s="99" t="s">
        <v>35</v>
      </c>
      <c r="AL30" s="28"/>
      <c r="AM30" s="94" t="s">
        <v>36</v>
      </c>
      <c r="AN30" s="28"/>
      <c r="AO30" s="90" t="s">
        <v>37</v>
      </c>
      <c r="AQ30" s="90" t="s">
        <v>37</v>
      </c>
      <c r="AS30" s="90" t="s">
        <v>38</v>
      </c>
      <c r="AT30" s="82"/>
      <c r="AU30" s="90" t="s">
        <v>39</v>
      </c>
      <c r="AW30" s="90" t="s">
        <v>40</v>
      </c>
      <c r="AY30" s="84"/>
      <c r="AZ30" s="82"/>
    </row>
    <row r="31" spans="1:52" ht="15" customHeight="1" x14ac:dyDescent="0.25">
      <c r="A31" s="88">
        <f>A30+1</f>
        <v>2</v>
      </c>
      <c r="B31" s="11" t="s">
        <v>41</v>
      </c>
      <c r="C31" s="55" t="s">
        <v>42</v>
      </c>
      <c r="D31" s="77">
        <f>E36</f>
        <v>84</v>
      </c>
      <c r="E31" s="77"/>
      <c r="F31" s="68"/>
      <c r="G31" s="67"/>
      <c r="H31" s="68"/>
      <c r="I31" s="79"/>
      <c r="K31" s="79"/>
      <c r="L31" s="80"/>
      <c r="M31" s="100"/>
      <c r="O31" s="79"/>
      <c r="Q31" s="94" t="s">
        <v>43</v>
      </c>
      <c r="R31" s="80"/>
      <c r="S31" s="90" t="s">
        <v>44</v>
      </c>
      <c r="U31" s="81"/>
      <c r="W31" s="101" t="s">
        <v>44</v>
      </c>
      <c r="Y31" s="102" t="s">
        <v>44</v>
      </c>
      <c r="Z31" s="103"/>
      <c r="AA31" s="15"/>
      <c r="AC31" s="79"/>
      <c r="AE31" s="79"/>
      <c r="AG31" s="81"/>
      <c r="AI31" s="104"/>
      <c r="AK31" s="104"/>
      <c r="AM31" s="96"/>
      <c r="AO31" s="90" t="s">
        <v>45</v>
      </c>
      <c r="AQ31" s="90" t="s">
        <v>45</v>
      </c>
      <c r="AS31" s="90" t="s">
        <v>46</v>
      </c>
      <c r="AT31" s="82"/>
      <c r="AU31" s="87"/>
      <c r="AW31" s="81"/>
      <c r="AY31" s="84"/>
      <c r="AZ31" s="82"/>
    </row>
    <row r="32" spans="1:52" ht="15" customHeight="1" x14ac:dyDescent="0.25">
      <c r="A32" s="88">
        <f>A31+1</f>
        <v>3</v>
      </c>
      <c r="B32" s="11" t="s">
        <v>507</v>
      </c>
      <c r="C32" s="55" t="s">
        <v>47</v>
      </c>
      <c r="D32" s="77">
        <f>E36*D36</f>
        <v>294000</v>
      </c>
      <c r="E32" s="77"/>
      <c r="F32" s="67"/>
      <c r="G32" s="68"/>
      <c r="H32" s="68"/>
      <c r="I32" s="79"/>
      <c r="K32" s="79"/>
      <c r="L32" s="80"/>
      <c r="M32" s="105"/>
      <c r="O32" s="79"/>
      <c r="Q32" s="79"/>
      <c r="R32" s="80"/>
      <c r="S32" s="79"/>
      <c r="U32" s="107"/>
      <c r="W32" s="79"/>
      <c r="Y32" s="108"/>
      <c r="Z32" s="106"/>
      <c r="AA32" s="15"/>
      <c r="AC32" s="79"/>
      <c r="AE32" s="79"/>
      <c r="AG32" s="79"/>
      <c r="AI32" s="79"/>
      <c r="AK32" s="79"/>
      <c r="AM32" s="79"/>
      <c r="AO32" s="79"/>
      <c r="AQ32" s="79"/>
      <c r="AS32" s="79"/>
      <c r="AT32" s="82"/>
      <c r="AU32" s="79"/>
      <c r="AW32" s="79"/>
      <c r="AY32" s="84"/>
      <c r="AZ32" s="82"/>
    </row>
    <row r="33" spans="1:53" ht="15" customHeight="1" x14ac:dyDescent="0.25">
      <c r="A33" s="88">
        <f>A32+1</f>
        <v>4</v>
      </c>
      <c r="B33" s="11" t="s">
        <v>48</v>
      </c>
      <c r="C33" s="55" t="s">
        <v>49</v>
      </c>
      <c r="D33" s="109">
        <f>F36</f>
        <v>600</v>
      </c>
      <c r="G33" s="110"/>
      <c r="H33" s="68"/>
      <c r="I33" s="111"/>
      <c r="J33" s="1"/>
      <c r="K33" s="111" t="e">
        <f>K61/K16</f>
        <v>#REF!</v>
      </c>
      <c r="L33" s="112"/>
      <c r="M33" s="111" t="e">
        <f>M61/M16</f>
        <v>#REF!</v>
      </c>
      <c r="N33" s="1"/>
      <c r="O33" s="111" t="e">
        <f>O61/O16</f>
        <v>#REF!</v>
      </c>
      <c r="P33" s="1"/>
      <c r="Q33" s="111" t="e">
        <f>Q61/Q16</f>
        <v>#REF!</v>
      </c>
      <c r="R33" s="112"/>
      <c r="S33" s="111" t="e">
        <f>S61/S16</f>
        <v>#REF!</v>
      </c>
      <c r="T33" s="1"/>
      <c r="U33" s="113"/>
      <c r="V33" s="1"/>
      <c r="W33" s="111" t="e">
        <f>W61/W16</f>
        <v>#REF!</v>
      </c>
      <c r="X33" s="1"/>
      <c r="Y33" s="111" t="e">
        <f>Y61/Y16</f>
        <v>#REF!</v>
      </c>
      <c r="Z33" s="114"/>
      <c r="AA33" s="15"/>
      <c r="AB33" s="1"/>
      <c r="AC33" s="111" t="e">
        <f>AC61/AC16</f>
        <v>#REF!</v>
      </c>
      <c r="AD33" s="115"/>
      <c r="AE33" s="111" t="e">
        <f>AE61/AE16</f>
        <v>#REF!</v>
      </c>
      <c r="AF33" s="1"/>
      <c r="AG33" s="111" t="e">
        <f>AG61/AG16</f>
        <v>#REF!</v>
      </c>
      <c r="AH33" s="1"/>
      <c r="AI33" s="111" t="e">
        <f>AI61/AI16</f>
        <v>#REF!</v>
      </c>
      <c r="AJ33" s="1"/>
      <c r="AK33" s="111" t="e">
        <f>AK61/AK16</f>
        <v>#REF!</v>
      </c>
      <c r="AL33" s="1"/>
      <c r="AM33" s="111" t="e">
        <f>AM61/AM16</f>
        <v>#REF!</v>
      </c>
      <c r="AN33" s="1"/>
      <c r="AO33" s="111" t="e">
        <f>AO61/AO16</f>
        <v>#REF!</v>
      </c>
      <c r="AP33" s="1"/>
      <c r="AQ33" s="111" t="e">
        <f>AQ61/AQ16</f>
        <v>#REF!</v>
      </c>
      <c r="AR33" s="1"/>
      <c r="AS33" s="111" t="e">
        <f>AS61/AS16</f>
        <v>#REF!</v>
      </c>
      <c r="AT33" s="1"/>
      <c r="AU33" s="111" t="e">
        <f>AU61/AU16</f>
        <v>#REF!</v>
      </c>
      <c r="AV33" s="1"/>
      <c r="AW33" s="111" t="e">
        <f>AW61/AW16</f>
        <v>#REF!</v>
      </c>
      <c r="AX33" s="1"/>
      <c r="AY33" s="79"/>
      <c r="AZ33" s="82"/>
    </row>
    <row r="34" spans="1:53" ht="15" customHeight="1" x14ac:dyDescent="0.25">
      <c r="A34" s="88"/>
      <c r="B34" s="11"/>
      <c r="C34" s="11"/>
      <c r="D34" s="593" t="s">
        <v>50</v>
      </c>
      <c r="E34" s="593" t="s">
        <v>51</v>
      </c>
      <c r="F34" s="593" t="s">
        <v>523</v>
      </c>
      <c r="G34" s="593" t="s">
        <v>524</v>
      </c>
      <c r="H34" s="593" t="s">
        <v>52</v>
      </c>
      <c r="I34" s="79"/>
      <c r="K34" s="79"/>
      <c r="L34" s="80"/>
      <c r="M34" s="105"/>
      <c r="O34" s="79"/>
      <c r="Q34" s="79"/>
      <c r="R34" s="80"/>
      <c r="S34" s="79"/>
      <c r="U34" s="79"/>
      <c r="W34" s="79"/>
      <c r="Y34" s="105"/>
      <c r="Z34" s="1"/>
      <c r="AA34" s="15"/>
      <c r="AC34" s="116"/>
      <c r="AD34" s="117"/>
      <c r="AE34" s="116"/>
      <c r="AG34" s="111"/>
      <c r="AI34" s="111"/>
      <c r="AK34" s="111"/>
      <c r="AM34" s="118"/>
      <c r="AO34" s="119"/>
      <c r="AQ34" s="119"/>
      <c r="AS34" s="119"/>
      <c r="AT34" s="82"/>
      <c r="AU34" s="111"/>
      <c r="AW34" s="79"/>
      <c r="AY34" s="84"/>
      <c r="AZ34" s="82"/>
    </row>
    <row r="35" spans="1:53" ht="15" customHeight="1" x14ac:dyDescent="0.25">
      <c r="A35" s="88"/>
      <c r="B35" s="11"/>
      <c r="C35" s="552" t="s">
        <v>37</v>
      </c>
      <c r="D35" s="120"/>
      <c r="E35" s="591"/>
      <c r="F35" s="592"/>
      <c r="H35" s="121"/>
      <c r="I35" s="122"/>
      <c r="J35" s="123"/>
      <c r="K35" s="122" t="e">
        <f>#REF!*#REF!/2</f>
        <v>#REF!</v>
      </c>
      <c r="L35" s="124"/>
      <c r="M35" s="122"/>
      <c r="N35" s="123"/>
      <c r="O35" s="122"/>
      <c r="P35" s="123"/>
      <c r="Q35" s="122"/>
      <c r="R35" s="124"/>
      <c r="S35" s="122"/>
      <c r="T35" s="123"/>
      <c r="U35" s="122"/>
      <c r="V35" s="123"/>
      <c r="W35" s="122"/>
      <c r="X35" s="123"/>
      <c r="Y35" s="122"/>
      <c r="Z35" s="123"/>
      <c r="AA35" s="15"/>
      <c r="AB35" s="123"/>
      <c r="AC35" s="122"/>
      <c r="AD35" s="123"/>
      <c r="AE35" s="122"/>
      <c r="AF35" s="123"/>
      <c r="AG35" s="122"/>
      <c r="AH35" s="123"/>
      <c r="AI35" s="122"/>
      <c r="AJ35" s="123"/>
      <c r="AK35" s="122"/>
      <c r="AL35" s="123"/>
      <c r="AM35" s="125"/>
      <c r="AN35" s="123"/>
      <c r="AO35" s="122"/>
      <c r="AP35" s="123"/>
      <c r="AQ35" s="122"/>
      <c r="AR35" s="123"/>
      <c r="AS35" s="122"/>
      <c r="AT35" s="82"/>
      <c r="AU35" s="125"/>
      <c r="AV35" s="123"/>
      <c r="AW35" s="122"/>
      <c r="AX35" s="123"/>
      <c r="AY35" s="126" t="e">
        <f t="shared" ref="AY35" si="0">SUM(I35:AW35)</f>
        <v>#REF!</v>
      </c>
      <c r="AZ35" s="82"/>
    </row>
    <row r="36" spans="1:53" ht="15" customHeight="1" x14ac:dyDescent="0.25">
      <c r="A36" s="88"/>
      <c r="B36" s="11"/>
      <c r="C36" s="12" t="s">
        <v>509</v>
      </c>
      <c r="D36" s="610">
        <v>3500</v>
      </c>
      <c r="E36" s="608">
        <v>84</v>
      </c>
      <c r="F36" s="609">
        <v>600</v>
      </c>
      <c r="G36" s="594">
        <f>E36*D36</f>
        <v>294000</v>
      </c>
      <c r="H36" s="595">
        <f>D36*F36</f>
        <v>2100000</v>
      </c>
      <c r="I36" s="122"/>
      <c r="J36" s="123"/>
      <c r="K36" s="122"/>
      <c r="L36" s="124"/>
      <c r="M36" s="122"/>
      <c r="N36" s="123"/>
      <c r="O36" s="122"/>
      <c r="P36" s="123"/>
      <c r="Q36" s="122"/>
      <c r="R36" s="124"/>
      <c r="S36" s="122"/>
      <c r="T36" s="123"/>
      <c r="U36" s="122"/>
      <c r="V36" s="123"/>
      <c r="W36" s="122"/>
      <c r="X36" s="123"/>
      <c r="Y36" s="122"/>
      <c r="Z36" s="123"/>
      <c r="AA36" s="15"/>
      <c r="AB36" s="123"/>
      <c r="AC36" s="122"/>
      <c r="AD36" s="123"/>
      <c r="AE36" s="122"/>
      <c r="AF36" s="123"/>
      <c r="AG36" s="122"/>
      <c r="AH36" s="123"/>
      <c r="AI36" s="122"/>
      <c r="AJ36" s="123"/>
      <c r="AK36" s="122"/>
      <c r="AL36" s="123"/>
      <c r="AM36" s="125"/>
      <c r="AN36" s="123"/>
      <c r="AO36" s="122"/>
      <c r="AP36" s="123"/>
      <c r="AQ36" s="122"/>
      <c r="AR36" s="123"/>
      <c r="AS36" s="122"/>
      <c r="AT36" s="82"/>
      <c r="AU36" s="125"/>
      <c r="AV36" s="123"/>
      <c r="AW36" s="122"/>
      <c r="AX36" s="123"/>
      <c r="AY36" s="126"/>
      <c r="AZ36" s="82"/>
    </row>
    <row r="37" spans="1:53" ht="15" customHeight="1" x14ac:dyDescent="0.25">
      <c r="A37" s="128"/>
      <c r="D37" s="129"/>
      <c r="E37" s="129"/>
      <c r="G37" s="130"/>
      <c r="I37" s="122"/>
      <c r="J37" s="123"/>
      <c r="K37" s="122"/>
      <c r="L37" s="124"/>
      <c r="M37" s="122"/>
      <c r="N37" s="123"/>
      <c r="O37" s="122"/>
      <c r="P37" s="123"/>
      <c r="Q37" s="122"/>
      <c r="R37" s="124"/>
      <c r="S37" s="122"/>
      <c r="T37" s="123"/>
      <c r="U37" s="122"/>
      <c r="V37" s="123"/>
      <c r="W37" s="122"/>
      <c r="X37" s="123"/>
      <c r="Y37" s="122"/>
      <c r="Z37" s="123"/>
      <c r="AA37" s="15"/>
      <c r="AB37" s="123"/>
      <c r="AC37" s="122"/>
      <c r="AD37" s="123"/>
      <c r="AE37" s="122"/>
      <c r="AF37" s="123"/>
      <c r="AG37" s="122"/>
      <c r="AH37" s="123"/>
      <c r="AI37" s="122"/>
      <c r="AJ37" s="123"/>
      <c r="AK37" s="122"/>
      <c r="AL37" s="123"/>
      <c r="AM37" s="122"/>
      <c r="AN37" s="123"/>
      <c r="AO37" s="122"/>
      <c r="AP37" s="123"/>
      <c r="AQ37" s="122"/>
      <c r="AR37" s="123"/>
      <c r="AS37" s="122"/>
      <c r="AU37" s="122"/>
      <c r="AV37" s="123"/>
      <c r="AW37" s="122"/>
      <c r="AX37" s="123"/>
      <c r="AY37" s="131"/>
      <c r="AZ37" s="1"/>
      <c r="BA37" s="1"/>
    </row>
    <row r="38" spans="1:53" ht="30" customHeight="1" x14ac:dyDescent="0.25">
      <c r="A38" s="132" t="s">
        <v>53</v>
      </c>
      <c r="B38" s="133"/>
      <c r="C38" s="134"/>
      <c r="D38" s="133"/>
      <c r="E38" s="133"/>
      <c r="F38" s="133"/>
      <c r="G38" s="133"/>
      <c r="H38" s="133"/>
      <c r="I38" s="135">
        <f>SUM(I40:I61)</f>
        <v>220229268</v>
      </c>
      <c r="K38" s="135" t="e">
        <f>SUM(K39:K61)</f>
        <v>#REF!</v>
      </c>
      <c r="L38" s="136"/>
      <c r="M38" s="135" t="e">
        <f>SUM(M39:M61)</f>
        <v>#REF!</v>
      </c>
      <c r="O38" s="135" t="e">
        <f>SUM(O39:O61)</f>
        <v>#REF!</v>
      </c>
      <c r="Q38" s="135" t="e">
        <f>SUM(Q39:Q61)</f>
        <v>#REF!</v>
      </c>
      <c r="R38" s="136"/>
      <c r="S38" s="135" t="e">
        <f>SUM(S39:S61)</f>
        <v>#REF!</v>
      </c>
      <c r="U38" s="135"/>
      <c r="W38" s="135" t="e">
        <f>SUM(W39:W61)</f>
        <v>#REF!</v>
      </c>
      <c r="Y38" s="135" t="e">
        <f>SUM(Y39:Y61)</f>
        <v>#REF!</v>
      </c>
      <c r="Z38" s="137"/>
      <c r="AA38" s="15"/>
      <c r="AC38" s="135" t="e">
        <f>SUM(AC39:AC61)</f>
        <v>#REF!</v>
      </c>
      <c r="AE38" s="135" t="e">
        <f>SUM(AE39:AE61)</f>
        <v>#REF!</v>
      </c>
      <c r="AG38" s="135" t="e">
        <f>SUM(AG39:AG61)</f>
        <v>#REF!</v>
      </c>
      <c r="AI38" s="135" t="e">
        <f>SUM(AI39:AI61)</f>
        <v>#REF!</v>
      </c>
      <c r="AK38" s="135" t="e">
        <f>SUM(AK39:AK61)</f>
        <v>#REF!</v>
      </c>
      <c r="AM38" s="135" t="e">
        <f>SUM(AM39:AM61)</f>
        <v>#REF!</v>
      </c>
      <c r="AO38" s="135" t="e">
        <f>SUM(AO39:AO61)</f>
        <v>#REF!</v>
      </c>
      <c r="AQ38" s="135" t="e">
        <f>SUM(AQ39:AQ61)</f>
        <v>#REF!</v>
      </c>
      <c r="AS38" s="135" t="e">
        <f>SUM(AS39:AS61)</f>
        <v>#REF!</v>
      </c>
      <c r="AT38" s="137"/>
      <c r="AU38" s="135" t="e">
        <f>SUM(AU39:AU61)</f>
        <v>#REF!</v>
      </c>
      <c r="AW38" s="135" t="e">
        <f>SUM(AW39:AW61)</f>
        <v>#REF!</v>
      </c>
      <c r="AY38" s="135" t="e">
        <f>SUM(AY39:AY61)</f>
        <v>#REF!</v>
      </c>
      <c r="AZ38" s="137"/>
      <c r="BA38" s="1"/>
    </row>
    <row r="39" spans="1:53" ht="15" customHeight="1" x14ac:dyDescent="0.25">
      <c r="A39" s="287">
        <v>1</v>
      </c>
      <c r="B39" s="288" t="s">
        <v>101</v>
      </c>
      <c r="C39" s="288"/>
      <c r="D39" s="289"/>
      <c r="E39" s="289"/>
      <c r="F39" s="289"/>
      <c r="G39" s="289"/>
      <c r="H39" s="289"/>
      <c r="I39" s="290">
        <f>SUM(I40:I60)</f>
        <v>43829268</v>
      </c>
      <c r="J39" s="11"/>
      <c r="K39" s="290" t="e">
        <f>#REF!+#REF!</f>
        <v>#REF!</v>
      </c>
      <c r="L39" s="186"/>
      <c r="M39" s="290" t="e">
        <f>#REF!</f>
        <v>#REF!</v>
      </c>
      <c r="O39" s="290" t="e">
        <f>#REF!</f>
        <v>#REF!</v>
      </c>
      <c r="Q39" s="290" t="e">
        <f>#REF!</f>
        <v>#REF!</v>
      </c>
      <c r="R39" s="186"/>
      <c r="S39" s="290" t="e">
        <f>#REF!</f>
        <v>#REF!</v>
      </c>
      <c r="U39" s="187"/>
      <c r="W39" s="290" t="e">
        <f>#REF!</f>
        <v>#REF!</v>
      </c>
      <c r="Y39" s="290" t="e">
        <f>#REF!</f>
        <v>#REF!</v>
      </c>
      <c r="Z39" s="130"/>
      <c r="AA39" s="15"/>
      <c r="AC39" s="290" t="e">
        <f>#REF!</f>
        <v>#REF!</v>
      </c>
      <c r="AE39" s="290" t="e">
        <f>#REF!</f>
        <v>#REF!</v>
      </c>
      <c r="AG39" s="290" t="e">
        <f>#REF!</f>
        <v>#REF!</v>
      </c>
      <c r="AI39" s="290" t="e">
        <f>#REF!</f>
        <v>#REF!</v>
      </c>
      <c r="AK39" s="290" t="e">
        <f>#REF!</f>
        <v>#REF!</v>
      </c>
      <c r="AM39" s="290" t="e">
        <f>#REF!</f>
        <v>#REF!</v>
      </c>
      <c r="AO39" s="290" t="e">
        <f>#REF!</f>
        <v>#REF!</v>
      </c>
      <c r="AQ39" s="290" t="e">
        <f>#REF!</f>
        <v>#REF!</v>
      </c>
      <c r="AS39" s="290" t="e">
        <f>#REF!</f>
        <v>#REF!</v>
      </c>
      <c r="AT39" s="130"/>
      <c r="AU39" s="290" t="e">
        <f>#REF!</f>
        <v>#REF!</v>
      </c>
      <c r="AW39" s="290" t="e">
        <f>#REF!</f>
        <v>#REF!</v>
      </c>
      <c r="AY39" s="291" t="e">
        <f>#REF!</f>
        <v>#REF!</v>
      </c>
      <c r="AZ39" s="67"/>
      <c r="BA39" s="1"/>
    </row>
    <row r="40" spans="1:53" ht="15" customHeight="1" x14ac:dyDescent="0.25">
      <c r="A40" s="214">
        <v>1.1000000000000001</v>
      </c>
      <c r="B40" s="127" t="s">
        <v>102</v>
      </c>
      <c r="H40" s="294"/>
      <c r="I40" s="262"/>
      <c r="J40" s="11"/>
      <c r="K40" s="262"/>
      <c r="L40" s="34"/>
      <c r="M40" s="262"/>
      <c r="O40" s="262"/>
      <c r="Q40" s="262"/>
      <c r="R40" s="34"/>
      <c r="S40" s="295"/>
      <c r="U40" s="262"/>
      <c r="W40" s="262"/>
      <c r="Y40" s="262"/>
      <c r="AA40" s="15"/>
      <c r="AC40" s="262"/>
      <c r="AE40" s="262"/>
      <c r="AG40" s="262"/>
      <c r="AI40" s="262"/>
      <c r="AK40" s="262"/>
      <c r="AM40" s="262"/>
      <c r="AO40" s="262"/>
      <c r="AQ40" s="262"/>
      <c r="AS40" s="262"/>
      <c r="AU40" s="262"/>
      <c r="AW40" s="262"/>
      <c r="AY40" s="263"/>
      <c r="BA40" s="1"/>
    </row>
    <row r="41" spans="1:53" ht="15" customHeight="1" x14ac:dyDescent="0.25">
      <c r="A41" s="292"/>
      <c r="B41" s="127" t="s">
        <v>103</v>
      </c>
      <c r="F41" s="587">
        <v>0.01</v>
      </c>
      <c r="G41" s="586" t="s">
        <v>54</v>
      </c>
      <c r="H41" s="127"/>
      <c r="I41" s="191">
        <f>$F$41*I61</f>
        <v>1764000</v>
      </c>
      <c r="J41" s="198"/>
      <c r="K41" s="191" t="e">
        <f>$F$41*K61</f>
        <v>#REF!</v>
      </c>
      <c r="L41" s="192"/>
      <c r="M41" s="191">
        <f>$F$41*M61</f>
        <v>0</v>
      </c>
      <c r="O41" s="191">
        <f>$F$41*O61</f>
        <v>0</v>
      </c>
      <c r="Q41" s="191">
        <f>$F$41*Q61</f>
        <v>0</v>
      </c>
      <c r="R41" s="192"/>
      <c r="S41" s="191">
        <f>$F$41*S61</f>
        <v>0</v>
      </c>
      <c r="U41" s="191"/>
      <c r="W41" s="191">
        <f>$F$41*W61</f>
        <v>0</v>
      </c>
      <c r="Y41" s="191">
        <f>$F$41*Y61</f>
        <v>0</v>
      </c>
      <c r="Z41" s="193"/>
      <c r="AA41" s="15"/>
      <c r="AC41" s="191">
        <f>$F$41*AC61</f>
        <v>0</v>
      </c>
      <c r="AE41" s="191">
        <f>$F$41*AE61</f>
        <v>0</v>
      </c>
      <c r="AG41" s="191">
        <f>$F$41*AG61</f>
        <v>0</v>
      </c>
      <c r="AI41" s="191">
        <f>$F$41*AI61</f>
        <v>0</v>
      </c>
      <c r="AK41" s="191">
        <f>$F$41*AK61</f>
        <v>0</v>
      </c>
      <c r="AM41" s="191">
        <f>$F$41*AM61</f>
        <v>0</v>
      </c>
      <c r="AO41" s="191">
        <f>$F$41*AO61</f>
        <v>0</v>
      </c>
      <c r="AQ41" s="191">
        <f>$F$41*AQ61</f>
        <v>0</v>
      </c>
      <c r="AS41" s="191">
        <f>$F$41*AS61</f>
        <v>0</v>
      </c>
      <c r="AT41" s="193"/>
      <c r="AU41" s="191">
        <f>$F$41*AU61</f>
        <v>0</v>
      </c>
      <c r="AW41" s="191">
        <f>$F$41*AW61</f>
        <v>0</v>
      </c>
      <c r="AY41" s="126" t="e">
        <f>SUM(I41:AW41)</f>
        <v>#REF!</v>
      </c>
      <c r="AZ41" s="137"/>
      <c r="BA41" s="1"/>
    </row>
    <row r="42" spans="1:53" ht="15" customHeight="1" x14ac:dyDescent="0.25">
      <c r="A42" s="292"/>
      <c r="B42" s="127" t="s">
        <v>104</v>
      </c>
      <c r="F42" s="585"/>
      <c r="G42" s="586"/>
      <c r="H42" s="127"/>
      <c r="I42" s="191"/>
      <c r="J42" s="198"/>
      <c r="K42" s="191"/>
      <c r="L42" s="192"/>
      <c r="M42" s="191"/>
      <c r="N42" s="67"/>
      <c r="O42" s="191"/>
      <c r="Q42" s="191"/>
      <c r="R42" s="192"/>
      <c r="S42" s="191"/>
      <c r="T42" s="67"/>
      <c r="U42" s="191"/>
      <c r="V42" s="67"/>
      <c r="W42" s="191"/>
      <c r="Y42" s="191"/>
      <c r="Z42" s="193"/>
      <c r="AA42" s="15"/>
      <c r="AC42" s="191"/>
      <c r="AE42" s="191"/>
      <c r="AG42" s="191"/>
      <c r="AI42" s="191"/>
      <c r="AK42" s="191"/>
      <c r="AM42" s="191"/>
      <c r="AO42" s="191"/>
      <c r="AQ42" s="191"/>
      <c r="AS42" s="191"/>
      <c r="AT42" s="193"/>
      <c r="AU42" s="191"/>
      <c r="AW42" s="191"/>
      <c r="AY42" s="126">
        <f>SUM(I42:AW42)</f>
        <v>0</v>
      </c>
      <c r="AZ42" s="137"/>
      <c r="BA42" s="1"/>
    </row>
    <row r="43" spans="1:53" ht="15" customHeight="1" x14ac:dyDescent="0.25">
      <c r="A43" s="292"/>
      <c r="B43" s="127" t="s">
        <v>105</v>
      </c>
      <c r="F43" s="585"/>
      <c r="G43" s="586"/>
      <c r="H43" s="127"/>
      <c r="I43" s="218"/>
      <c r="J43" s="198"/>
      <c r="K43" s="191"/>
      <c r="L43" s="192"/>
      <c r="M43" s="191"/>
      <c r="N43" s="67"/>
      <c r="O43" s="191"/>
      <c r="P43" s="67"/>
      <c r="Q43" s="191"/>
      <c r="R43" s="192"/>
      <c r="S43" s="191"/>
      <c r="T43" s="67"/>
      <c r="U43" s="191"/>
      <c r="V43" s="67"/>
      <c r="W43" s="191"/>
      <c r="X43" s="67"/>
      <c r="Y43" s="191"/>
      <c r="Z43" s="193"/>
      <c r="AA43" s="15"/>
      <c r="AB43" s="67"/>
      <c r="AC43" s="191"/>
      <c r="AD43" s="67"/>
      <c r="AE43" s="191"/>
      <c r="AF43" s="67"/>
      <c r="AG43" s="191"/>
      <c r="AH43" s="67"/>
      <c r="AI43" s="191"/>
      <c r="AJ43" s="67"/>
      <c r="AK43" s="191"/>
      <c r="AL43" s="67"/>
      <c r="AM43" s="191"/>
      <c r="AN43" s="67"/>
      <c r="AO43" s="191"/>
      <c r="AP43" s="67"/>
      <c r="AQ43" s="191"/>
      <c r="AR43" s="67"/>
      <c r="AS43" s="191"/>
      <c r="AT43" s="193"/>
      <c r="AU43" s="191"/>
      <c r="AV43" s="67"/>
      <c r="AW43" s="191"/>
      <c r="AX43" s="67"/>
      <c r="AY43" s="126">
        <f>SUM(I43:AW43)</f>
        <v>0</v>
      </c>
      <c r="AZ43" s="137"/>
      <c r="BA43" s="1"/>
    </row>
    <row r="44" spans="1:53" ht="15" customHeight="1" x14ac:dyDescent="0.25">
      <c r="A44" s="292"/>
      <c r="B44" s="127" t="s">
        <v>106</v>
      </c>
      <c r="F44" s="585"/>
      <c r="G44" s="586"/>
      <c r="H44" s="127"/>
      <c r="I44" s="191"/>
      <c r="J44" s="296"/>
      <c r="K44" s="191"/>
      <c r="L44" s="192"/>
      <c r="M44" s="191"/>
      <c r="N44" s="67"/>
      <c r="O44" s="191"/>
      <c r="P44" s="67"/>
      <c r="Q44" s="191"/>
      <c r="R44" s="192"/>
      <c r="S44" s="191"/>
      <c r="T44" s="67"/>
      <c r="U44" s="191"/>
      <c r="V44" s="67"/>
      <c r="W44" s="191"/>
      <c r="X44" s="67"/>
      <c r="Y44" s="191"/>
      <c r="Z44" s="193"/>
      <c r="AA44" s="15"/>
      <c r="AB44" s="67"/>
      <c r="AC44" s="191"/>
      <c r="AD44" s="67"/>
      <c r="AE44" s="191"/>
      <c r="AF44" s="67"/>
      <c r="AG44" s="191"/>
      <c r="AH44" s="67"/>
      <c r="AI44" s="191"/>
      <c r="AJ44" s="67"/>
      <c r="AK44" s="191"/>
      <c r="AL44" s="67"/>
      <c r="AM44" s="191"/>
      <c r="AN44" s="67"/>
      <c r="AO44" s="191"/>
      <c r="AP44" s="67"/>
      <c r="AQ44" s="191"/>
      <c r="AR44" s="67"/>
      <c r="AS44" s="191"/>
      <c r="AT44" s="193"/>
      <c r="AU44" s="191"/>
      <c r="AV44" s="67"/>
      <c r="AW44" s="191"/>
      <c r="AX44" s="67"/>
      <c r="AY44" s="126">
        <f>SUM(I44:AW44)</f>
        <v>0</v>
      </c>
      <c r="AZ44" s="137"/>
      <c r="BA44" s="1"/>
    </row>
    <row r="45" spans="1:53" ht="15" hidden="1" customHeight="1" x14ac:dyDescent="0.25">
      <c r="A45" s="292"/>
      <c r="B45" s="297" t="s">
        <v>107</v>
      </c>
      <c r="D45" s="298">
        <f>2400000+2600000</f>
        <v>5000000</v>
      </c>
      <c r="F45" s="585"/>
      <c r="G45" s="586"/>
      <c r="H45" s="127"/>
      <c r="I45" s="191"/>
      <c r="J45" s="296"/>
      <c r="K45" s="191"/>
      <c r="L45" s="192"/>
      <c r="M45" s="191"/>
      <c r="N45" s="67"/>
      <c r="O45" s="191"/>
      <c r="P45" s="67"/>
      <c r="Q45" s="191"/>
      <c r="R45" s="192"/>
      <c r="S45" s="191"/>
      <c r="T45" s="67"/>
      <c r="U45" s="191"/>
      <c r="V45" s="67"/>
      <c r="W45" s="191"/>
      <c r="X45" s="67"/>
      <c r="Y45" s="191"/>
      <c r="Z45" s="193"/>
      <c r="AA45" s="15"/>
      <c r="AB45" s="67"/>
      <c r="AC45" s="191"/>
      <c r="AD45" s="67"/>
      <c r="AE45" s="191"/>
      <c r="AF45" s="67"/>
      <c r="AG45" s="191"/>
      <c r="AH45" s="67"/>
      <c r="AI45" s="191"/>
      <c r="AJ45" s="67"/>
      <c r="AK45" s="191"/>
      <c r="AL45" s="67"/>
      <c r="AM45" s="191"/>
      <c r="AN45" s="67"/>
      <c r="AO45" s="191"/>
      <c r="AP45" s="67"/>
      <c r="AQ45" s="191"/>
      <c r="AR45" s="67"/>
      <c r="AS45" s="191"/>
      <c r="AT45" s="193"/>
      <c r="AU45" s="191"/>
      <c r="AV45" s="67"/>
      <c r="AW45" s="191"/>
      <c r="AX45" s="67"/>
      <c r="AY45" s="126">
        <f>SUM(I45:AW45)</f>
        <v>0</v>
      </c>
      <c r="AZ45" s="137"/>
      <c r="BA45" s="1"/>
    </row>
    <row r="46" spans="1:53" ht="15" customHeight="1" x14ac:dyDescent="0.25">
      <c r="A46" s="292"/>
      <c r="B46" s="127" t="s">
        <v>510</v>
      </c>
      <c r="F46" s="585"/>
      <c r="G46" s="586"/>
      <c r="H46" s="127"/>
      <c r="I46" s="191"/>
      <c r="J46" s="296"/>
      <c r="K46" s="191"/>
      <c r="L46" s="192"/>
      <c r="M46" s="191"/>
      <c r="N46" s="67"/>
      <c r="O46" s="191"/>
      <c r="P46" s="67"/>
      <c r="Q46" s="191"/>
      <c r="R46" s="192"/>
      <c r="S46" s="191"/>
      <c r="T46" s="67"/>
      <c r="U46" s="191"/>
      <c r="V46" s="67"/>
      <c r="W46" s="191"/>
      <c r="X46" s="67"/>
      <c r="Y46" s="191"/>
      <c r="Z46" s="193"/>
      <c r="AA46" s="15"/>
      <c r="AB46" s="67"/>
      <c r="AC46" s="191"/>
      <c r="AD46" s="67"/>
      <c r="AE46" s="191"/>
      <c r="AF46" s="67"/>
      <c r="AG46" s="191"/>
      <c r="AH46" s="67"/>
      <c r="AI46" s="191"/>
      <c r="AJ46" s="67"/>
      <c r="AK46" s="191"/>
      <c r="AL46" s="67"/>
      <c r="AM46" s="191"/>
      <c r="AN46" s="67"/>
      <c r="AO46" s="191"/>
      <c r="AP46" s="67"/>
      <c r="AQ46" s="191"/>
      <c r="AR46" s="67"/>
      <c r="AS46" s="191"/>
      <c r="AT46" s="193"/>
      <c r="AU46" s="191"/>
      <c r="AV46" s="67"/>
      <c r="AW46" s="191"/>
      <c r="AX46" s="67"/>
      <c r="AY46" s="126">
        <f>SUM(I46:AW46)</f>
        <v>0</v>
      </c>
      <c r="AZ46" s="137"/>
      <c r="BA46" s="1"/>
    </row>
    <row r="47" spans="1:53" ht="15" customHeight="1" x14ac:dyDescent="0.25">
      <c r="A47" s="292"/>
      <c r="B47" s="581" t="s">
        <v>514</v>
      </c>
      <c r="F47" s="585"/>
      <c r="G47" s="586"/>
      <c r="H47" s="127"/>
      <c r="I47" s="191"/>
      <c r="J47" s="296"/>
      <c r="K47" s="191"/>
      <c r="L47" s="192"/>
      <c r="M47" s="191"/>
      <c r="N47" s="67"/>
      <c r="O47" s="191"/>
      <c r="P47" s="67"/>
      <c r="Q47" s="191"/>
      <c r="R47" s="192"/>
      <c r="S47" s="191"/>
      <c r="T47" s="67"/>
      <c r="U47" s="191"/>
      <c r="V47" s="67"/>
      <c r="W47" s="191"/>
      <c r="X47" s="67"/>
      <c r="Y47" s="191"/>
      <c r="Z47" s="193"/>
      <c r="AA47" s="15"/>
      <c r="AB47" s="67"/>
      <c r="AC47" s="191"/>
      <c r="AD47" s="67"/>
      <c r="AE47" s="191"/>
      <c r="AF47" s="67"/>
      <c r="AG47" s="191"/>
      <c r="AH47" s="67"/>
      <c r="AI47" s="191"/>
      <c r="AJ47" s="67"/>
      <c r="AK47" s="191"/>
      <c r="AL47" s="67"/>
      <c r="AM47" s="191"/>
      <c r="AN47" s="67"/>
      <c r="AO47" s="191"/>
      <c r="AP47" s="67"/>
      <c r="AQ47" s="191"/>
      <c r="AR47" s="67"/>
      <c r="AS47" s="191"/>
      <c r="AT47" s="193"/>
      <c r="AU47" s="191"/>
      <c r="AV47" s="67"/>
      <c r="AW47" s="191"/>
      <c r="AX47" s="67"/>
      <c r="AY47" s="126"/>
      <c r="AZ47" s="137"/>
      <c r="BA47" s="1"/>
    </row>
    <row r="48" spans="1:53" ht="15" customHeight="1" x14ac:dyDescent="0.25">
      <c r="A48" s="292"/>
      <c r="B48" s="127"/>
      <c r="F48" s="585"/>
      <c r="G48" s="586"/>
      <c r="H48" s="127"/>
      <c r="I48" s="191"/>
      <c r="J48" s="296"/>
      <c r="K48" s="191"/>
      <c r="L48" s="192"/>
      <c r="M48" s="191"/>
      <c r="N48" s="67"/>
      <c r="O48" s="191"/>
      <c r="P48" s="67"/>
      <c r="Q48" s="191"/>
      <c r="R48" s="192"/>
      <c r="S48" s="191"/>
      <c r="T48" s="67"/>
      <c r="U48" s="191"/>
      <c r="V48" s="67"/>
      <c r="W48" s="191"/>
      <c r="X48" s="67"/>
      <c r="Y48" s="191"/>
      <c r="Z48" s="193"/>
      <c r="AA48" s="15"/>
      <c r="AB48" s="67"/>
      <c r="AC48" s="191"/>
      <c r="AD48" s="67"/>
      <c r="AE48" s="191"/>
      <c r="AF48" s="67"/>
      <c r="AG48" s="191"/>
      <c r="AH48" s="67"/>
      <c r="AI48" s="191"/>
      <c r="AJ48" s="67"/>
      <c r="AK48" s="191"/>
      <c r="AL48" s="67"/>
      <c r="AM48" s="191"/>
      <c r="AN48" s="67"/>
      <c r="AO48" s="191"/>
      <c r="AP48" s="67"/>
      <c r="AQ48" s="191"/>
      <c r="AR48" s="67"/>
      <c r="AS48" s="191"/>
      <c r="AT48" s="193"/>
      <c r="AU48" s="191"/>
      <c r="AV48" s="67"/>
      <c r="AW48" s="191"/>
      <c r="AX48" s="67"/>
      <c r="AY48" s="126"/>
      <c r="AZ48" s="137"/>
      <c r="BA48" s="1"/>
    </row>
    <row r="49" spans="1:53" ht="15" customHeight="1" x14ac:dyDescent="0.25">
      <c r="A49" s="214">
        <v>1.2</v>
      </c>
      <c r="B49" s="581" t="s">
        <v>511</v>
      </c>
      <c r="F49" s="586"/>
      <c r="G49" s="586"/>
      <c r="H49" s="127"/>
      <c r="I49" s="191"/>
      <c r="J49" s="296"/>
      <c r="K49" s="191"/>
      <c r="L49" s="192"/>
      <c r="M49" s="191"/>
      <c r="N49" s="67"/>
      <c r="O49" s="191"/>
      <c r="P49" s="67"/>
      <c r="Q49" s="191"/>
      <c r="R49" s="192"/>
      <c r="S49" s="191"/>
      <c r="T49" s="67"/>
      <c r="U49" s="191"/>
      <c r="V49" s="67"/>
      <c r="W49" s="191"/>
      <c r="X49" s="67"/>
      <c r="Y49" s="191"/>
      <c r="Z49" s="193"/>
      <c r="AA49" s="15"/>
      <c r="AB49" s="67"/>
      <c r="AC49" s="191"/>
      <c r="AD49" s="67"/>
      <c r="AE49" s="191"/>
      <c r="AF49" s="67"/>
      <c r="AG49" s="191"/>
      <c r="AH49" s="67"/>
      <c r="AI49" s="191"/>
      <c r="AJ49" s="67"/>
      <c r="AK49" s="191"/>
      <c r="AL49" s="67"/>
      <c r="AM49" s="191"/>
      <c r="AN49" s="67"/>
      <c r="AO49" s="191"/>
      <c r="AP49" s="67"/>
      <c r="AQ49" s="191"/>
      <c r="AR49" s="67"/>
      <c r="AS49" s="191"/>
      <c r="AT49" s="193"/>
      <c r="AU49" s="191"/>
      <c r="AV49" s="67"/>
      <c r="AW49" s="191"/>
      <c r="AX49" s="67"/>
      <c r="AY49" s="126"/>
      <c r="AZ49" s="137"/>
      <c r="BA49" s="1"/>
    </row>
    <row r="50" spans="1:53" ht="15" customHeight="1" x14ac:dyDescent="0.25">
      <c r="A50" s="292"/>
      <c r="B50" s="582" t="s">
        <v>521</v>
      </c>
      <c r="F50" s="589">
        <v>0.09</v>
      </c>
      <c r="G50" s="581" t="s">
        <v>515</v>
      </c>
      <c r="H50" s="127"/>
      <c r="I50" s="191">
        <f>F50*SUM(I40:I49,I51:I61)</f>
        <v>18184068</v>
      </c>
      <c r="J50" s="296"/>
      <c r="K50" s="191"/>
      <c r="L50" s="192"/>
      <c r="M50" s="191"/>
      <c r="N50" s="67"/>
      <c r="O50" s="191"/>
      <c r="P50" s="67"/>
      <c r="Q50" s="191"/>
      <c r="R50" s="192"/>
      <c r="S50" s="191"/>
      <c r="T50" s="67"/>
      <c r="U50" s="191"/>
      <c r="V50" s="67"/>
      <c r="W50" s="191"/>
      <c r="X50" s="67"/>
      <c r="Y50" s="191"/>
      <c r="Z50" s="193"/>
      <c r="AA50" s="15"/>
      <c r="AB50" s="67"/>
      <c r="AC50" s="191"/>
      <c r="AD50" s="67"/>
      <c r="AE50" s="191"/>
      <c r="AF50" s="67"/>
      <c r="AG50" s="191"/>
      <c r="AH50" s="67"/>
      <c r="AI50" s="191"/>
      <c r="AJ50" s="67"/>
      <c r="AK50" s="191"/>
      <c r="AL50" s="67"/>
      <c r="AM50" s="191"/>
      <c r="AN50" s="67"/>
      <c r="AO50" s="191"/>
      <c r="AP50" s="67"/>
      <c r="AQ50" s="191"/>
      <c r="AR50" s="67"/>
      <c r="AS50" s="191"/>
      <c r="AT50" s="193"/>
      <c r="AU50" s="191"/>
      <c r="AV50" s="67"/>
      <c r="AW50" s="191"/>
      <c r="AX50" s="67"/>
      <c r="AY50" s="126"/>
      <c r="AZ50" s="137"/>
      <c r="BA50" s="1"/>
    </row>
    <row r="51" spans="1:53" ht="15" customHeight="1" x14ac:dyDescent="0.25">
      <c r="A51" s="292"/>
      <c r="B51" s="581" t="s">
        <v>512</v>
      </c>
      <c r="F51" s="589">
        <v>0.03</v>
      </c>
      <c r="G51" s="581" t="s">
        <v>54</v>
      </c>
      <c r="H51" s="127"/>
      <c r="I51" s="191">
        <f>F51*I61</f>
        <v>5292000</v>
      </c>
      <c r="J51" s="296"/>
      <c r="K51" s="191"/>
      <c r="L51" s="192"/>
      <c r="M51" s="191"/>
      <c r="N51" s="67"/>
      <c r="O51" s="191"/>
      <c r="P51" s="67"/>
      <c r="Q51" s="191"/>
      <c r="R51" s="192"/>
      <c r="S51" s="191"/>
      <c r="T51" s="67"/>
      <c r="U51" s="191"/>
      <c r="V51" s="67"/>
      <c r="W51" s="191"/>
      <c r="X51" s="67"/>
      <c r="Y51" s="191"/>
      <c r="Z51" s="193"/>
      <c r="AA51" s="15"/>
      <c r="AB51" s="67"/>
      <c r="AC51" s="191"/>
      <c r="AD51" s="67"/>
      <c r="AE51" s="191"/>
      <c r="AF51" s="67"/>
      <c r="AG51" s="191"/>
      <c r="AH51" s="67"/>
      <c r="AI51" s="191"/>
      <c r="AJ51" s="67"/>
      <c r="AK51" s="191"/>
      <c r="AL51" s="67"/>
      <c r="AM51" s="191"/>
      <c r="AN51" s="67"/>
      <c r="AO51" s="191"/>
      <c r="AP51" s="67"/>
      <c r="AQ51" s="191"/>
      <c r="AR51" s="67"/>
      <c r="AS51" s="191"/>
      <c r="AT51" s="193"/>
      <c r="AU51" s="191"/>
      <c r="AV51" s="67"/>
      <c r="AW51" s="191"/>
      <c r="AX51" s="67"/>
      <c r="AY51" s="126"/>
      <c r="AZ51" s="137"/>
      <c r="BA51" s="1"/>
    </row>
    <row r="52" spans="1:53" ht="15" customHeight="1" x14ac:dyDescent="0.25">
      <c r="A52" s="292"/>
      <c r="B52" s="581" t="s">
        <v>516</v>
      </c>
      <c r="F52" s="589">
        <v>0.03</v>
      </c>
      <c r="G52" s="581" t="s">
        <v>54</v>
      </c>
      <c r="H52" s="127"/>
      <c r="I52" s="191">
        <f>F52*$I$61</f>
        <v>5292000</v>
      </c>
      <c r="J52" s="296"/>
      <c r="K52" s="191"/>
      <c r="L52" s="192"/>
      <c r="M52" s="191"/>
      <c r="N52" s="67"/>
      <c r="O52" s="191"/>
      <c r="P52" s="67"/>
      <c r="Q52" s="191"/>
      <c r="R52" s="192"/>
      <c r="S52" s="191"/>
      <c r="T52" s="67"/>
      <c r="U52" s="191"/>
      <c r="V52" s="67"/>
      <c r="W52" s="191"/>
      <c r="X52" s="67"/>
      <c r="Y52" s="191"/>
      <c r="Z52" s="193"/>
      <c r="AA52" s="15"/>
      <c r="AB52" s="67"/>
      <c r="AC52" s="191"/>
      <c r="AD52" s="67"/>
      <c r="AE52" s="191"/>
      <c r="AF52" s="67"/>
      <c r="AG52" s="191"/>
      <c r="AH52" s="67"/>
      <c r="AI52" s="191"/>
      <c r="AJ52" s="67"/>
      <c r="AK52" s="191"/>
      <c r="AL52" s="67"/>
      <c r="AM52" s="191"/>
      <c r="AN52" s="67"/>
      <c r="AO52" s="191"/>
      <c r="AP52" s="67"/>
      <c r="AQ52" s="191"/>
      <c r="AR52" s="67"/>
      <c r="AS52" s="191"/>
      <c r="AT52" s="193"/>
      <c r="AU52" s="191"/>
      <c r="AV52" s="67"/>
      <c r="AW52" s="191"/>
      <c r="AX52" s="67"/>
      <c r="AY52" s="126"/>
      <c r="AZ52" s="137"/>
      <c r="BA52" s="1"/>
    </row>
    <row r="53" spans="1:53" ht="15" customHeight="1" x14ac:dyDescent="0.25">
      <c r="A53" s="292"/>
      <c r="B53" s="581" t="s">
        <v>517</v>
      </c>
      <c r="F53" s="589">
        <v>0.03</v>
      </c>
      <c r="G53" s="581" t="s">
        <v>54</v>
      </c>
      <c r="H53" s="127"/>
      <c r="I53" s="191">
        <f>F53*$I$61</f>
        <v>5292000</v>
      </c>
      <c r="J53" s="296"/>
      <c r="K53" s="191"/>
      <c r="L53" s="192"/>
      <c r="M53" s="191"/>
      <c r="N53" s="67"/>
      <c r="O53" s="191"/>
      <c r="P53" s="67"/>
      <c r="Q53" s="191"/>
      <c r="R53" s="192"/>
      <c r="S53" s="191"/>
      <c r="T53" s="67"/>
      <c r="U53" s="191"/>
      <c r="V53" s="67"/>
      <c r="W53" s="191"/>
      <c r="X53" s="67"/>
      <c r="Y53" s="191"/>
      <c r="Z53" s="193"/>
      <c r="AA53" s="15"/>
      <c r="AB53" s="67"/>
      <c r="AC53" s="191"/>
      <c r="AD53" s="67"/>
      <c r="AE53" s="191"/>
      <c r="AF53" s="67"/>
      <c r="AG53" s="191"/>
      <c r="AH53" s="67"/>
      <c r="AI53" s="191"/>
      <c r="AJ53" s="67"/>
      <c r="AK53" s="191"/>
      <c r="AL53" s="67"/>
      <c r="AM53" s="191"/>
      <c r="AN53" s="67"/>
      <c r="AO53" s="191"/>
      <c r="AP53" s="67"/>
      <c r="AQ53" s="191"/>
      <c r="AR53" s="67"/>
      <c r="AS53" s="191"/>
      <c r="AT53" s="193"/>
      <c r="AU53" s="191"/>
      <c r="AV53" s="67"/>
      <c r="AW53" s="191"/>
      <c r="AX53" s="67"/>
      <c r="AY53" s="126"/>
      <c r="AZ53" s="137"/>
      <c r="BA53" s="1"/>
    </row>
    <row r="54" spans="1:53" ht="15" customHeight="1" x14ac:dyDescent="0.25">
      <c r="A54" s="292"/>
      <c r="B54" s="582" t="s">
        <v>519</v>
      </c>
      <c r="F54" s="590">
        <v>5000</v>
      </c>
      <c r="G54" s="581" t="s">
        <v>522</v>
      </c>
      <c r="H54" s="127"/>
      <c r="I54" s="191">
        <f>F54*E36</f>
        <v>420000</v>
      </c>
      <c r="J54" s="296"/>
      <c r="K54" s="191"/>
      <c r="L54" s="192"/>
      <c r="M54" s="191"/>
      <c r="N54" s="67"/>
      <c r="O54" s="191"/>
      <c r="P54" s="67"/>
      <c r="Q54" s="191"/>
      <c r="R54" s="192"/>
      <c r="S54" s="191"/>
      <c r="T54" s="67"/>
      <c r="U54" s="191"/>
      <c r="V54" s="67"/>
      <c r="W54" s="191"/>
      <c r="X54" s="67"/>
      <c r="Y54" s="191"/>
      <c r="Z54" s="193"/>
      <c r="AA54" s="15"/>
      <c r="AB54" s="67"/>
      <c r="AC54" s="191"/>
      <c r="AD54" s="67"/>
      <c r="AE54" s="191"/>
      <c r="AF54" s="67"/>
      <c r="AG54" s="191"/>
      <c r="AH54" s="67"/>
      <c r="AI54" s="191"/>
      <c r="AJ54" s="67"/>
      <c r="AK54" s="191"/>
      <c r="AL54" s="67"/>
      <c r="AM54" s="191"/>
      <c r="AN54" s="67"/>
      <c r="AO54" s="191"/>
      <c r="AP54" s="67"/>
      <c r="AQ54" s="191"/>
      <c r="AR54" s="67"/>
      <c r="AS54" s="191"/>
      <c r="AT54" s="193"/>
      <c r="AU54" s="191"/>
      <c r="AV54" s="67"/>
      <c r="AW54" s="191"/>
      <c r="AX54" s="67"/>
      <c r="AY54" s="126"/>
      <c r="AZ54" s="137"/>
      <c r="BA54" s="1"/>
    </row>
    <row r="55" spans="1:53" ht="15" customHeight="1" x14ac:dyDescent="0.25">
      <c r="A55" s="292"/>
      <c r="B55" s="582" t="s">
        <v>513</v>
      </c>
      <c r="F55" s="588">
        <v>7.0000000000000007E-2</v>
      </c>
      <c r="G55" s="583">
        <v>0.5</v>
      </c>
      <c r="H55" s="127"/>
      <c r="I55" s="191">
        <f>F55*I61*50%</f>
        <v>6174000.0000000009</v>
      </c>
      <c r="J55" s="296"/>
      <c r="K55" s="191"/>
      <c r="L55" s="192"/>
      <c r="M55" s="191"/>
      <c r="N55" s="67"/>
      <c r="O55" s="191"/>
      <c r="P55" s="67"/>
      <c r="Q55" s="191"/>
      <c r="R55" s="192"/>
      <c r="S55" s="191"/>
      <c r="T55" s="67"/>
      <c r="U55" s="191"/>
      <c r="V55" s="67"/>
      <c r="W55" s="191"/>
      <c r="X55" s="67"/>
      <c r="Y55" s="191"/>
      <c r="Z55" s="193"/>
      <c r="AA55" s="15"/>
      <c r="AB55" s="67"/>
      <c r="AC55" s="191"/>
      <c r="AD55" s="67"/>
      <c r="AE55" s="191"/>
      <c r="AF55" s="67"/>
      <c r="AG55" s="191"/>
      <c r="AH55" s="67"/>
      <c r="AI55" s="191"/>
      <c r="AJ55" s="67"/>
      <c r="AK55" s="191"/>
      <c r="AL55" s="67"/>
      <c r="AM55" s="191"/>
      <c r="AN55" s="67"/>
      <c r="AO55" s="191"/>
      <c r="AP55" s="67"/>
      <c r="AQ55" s="191"/>
      <c r="AR55" s="67"/>
      <c r="AS55" s="191"/>
      <c r="AT55" s="193"/>
      <c r="AU55" s="191"/>
      <c r="AV55" s="67"/>
      <c r="AW55" s="191"/>
      <c r="AX55" s="67"/>
      <c r="AY55" s="126"/>
      <c r="AZ55" s="137"/>
      <c r="BA55" s="1"/>
    </row>
    <row r="56" spans="1:53" ht="15" customHeight="1" x14ac:dyDescent="0.25">
      <c r="A56" s="292"/>
      <c r="B56" s="584" t="s">
        <v>520</v>
      </c>
      <c r="F56" s="596">
        <v>0.4</v>
      </c>
      <c r="G56" s="586" t="s">
        <v>518</v>
      </c>
      <c r="H56" s="127"/>
      <c r="I56" s="191">
        <f>F56*D32*12</f>
        <v>1411200</v>
      </c>
      <c r="J56" s="296"/>
      <c r="K56" s="191"/>
      <c r="L56" s="192"/>
      <c r="M56" s="191"/>
      <c r="N56" s="67"/>
      <c r="O56" s="191"/>
      <c r="P56" s="67"/>
      <c r="Q56" s="191"/>
      <c r="R56" s="192"/>
      <c r="S56" s="191"/>
      <c r="T56" s="67"/>
      <c r="U56" s="191"/>
      <c r="V56" s="67"/>
      <c r="W56" s="191"/>
      <c r="X56" s="67"/>
      <c r="Y56" s="191"/>
      <c r="Z56" s="193"/>
      <c r="AA56" s="15"/>
      <c r="AB56" s="67"/>
      <c r="AC56" s="191"/>
      <c r="AD56" s="67"/>
      <c r="AE56" s="191"/>
      <c r="AF56" s="67"/>
      <c r="AG56" s="191"/>
      <c r="AH56" s="67"/>
      <c r="AI56" s="191"/>
      <c r="AJ56" s="67"/>
      <c r="AK56" s="191"/>
      <c r="AL56" s="67"/>
      <c r="AM56" s="191"/>
      <c r="AN56" s="67"/>
      <c r="AO56" s="191"/>
      <c r="AP56" s="67"/>
      <c r="AQ56" s="191"/>
      <c r="AR56" s="67"/>
      <c r="AS56" s="191"/>
      <c r="AT56" s="193"/>
      <c r="AU56" s="191"/>
      <c r="AV56" s="67"/>
      <c r="AW56" s="191"/>
      <c r="AX56" s="67"/>
      <c r="AY56" s="126"/>
      <c r="AZ56" s="137"/>
      <c r="BA56" s="1"/>
    </row>
    <row r="57" spans="1:53" ht="15" customHeight="1" x14ac:dyDescent="0.25">
      <c r="A57" s="292"/>
      <c r="B57" s="127"/>
      <c r="F57" s="261"/>
      <c r="G57" s="127"/>
      <c r="H57" s="127"/>
      <c r="I57" s="191"/>
      <c r="J57" s="296"/>
      <c r="K57" s="191"/>
      <c r="L57" s="192"/>
      <c r="M57" s="191"/>
      <c r="N57" s="67"/>
      <c r="O57" s="191"/>
      <c r="P57" s="67"/>
      <c r="Q57" s="191"/>
      <c r="R57" s="192"/>
      <c r="S57" s="191"/>
      <c r="T57" s="67"/>
      <c r="U57" s="191"/>
      <c r="V57" s="67"/>
      <c r="W57" s="191"/>
      <c r="X57" s="67"/>
      <c r="Y57" s="191"/>
      <c r="Z57" s="193"/>
      <c r="AA57" s="15"/>
      <c r="AB57" s="67"/>
      <c r="AC57" s="191"/>
      <c r="AD57" s="67"/>
      <c r="AE57" s="191"/>
      <c r="AF57" s="67"/>
      <c r="AG57" s="191"/>
      <c r="AH57" s="67"/>
      <c r="AI57" s="191"/>
      <c r="AJ57" s="67"/>
      <c r="AK57" s="191"/>
      <c r="AL57" s="67"/>
      <c r="AM57" s="191"/>
      <c r="AN57" s="67"/>
      <c r="AO57" s="191"/>
      <c r="AP57" s="67"/>
      <c r="AQ57" s="191"/>
      <c r="AR57" s="67"/>
      <c r="AS57" s="191"/>
      <c r="AT57" s="193"/>
      <c r="AU57" s="191"/>
      <c r="AV57" s="67"/>
      <c r="AW57" s="191"/>
      <c r="AX57" s="67"/>
      <c r="AY57" s="126"/>
      <c r="AZ57" s="137"/>
      <c r="BA57" s="1"/>
    </row>
    <row r="58" spans="1:53" s="12" customFormat="1" ht="15" customHeight="1" x14ac:dyDescent="0.25">
      <c r="A58" s="138"/>
      <c r="C58" s="141"/>
      <c r="D58" s="141"/>
      <c r="E58" s="141"/>
      <c r="F58" s="145"/>
      <c r="G58" s="261"/>
      <c r="I58" s="139"/>
      <c r="K58" s="139"/>
      <c r="L58" s="136"/>
      <c r="M58" s="139"/>
      <c r="O58" s="139"/>
      <c r="Q58" s="139"/>
      <c r="R58" s="136"/>
      <c r="S58" s="139"/>
      <c r="U58" s="139"/>
      <c r="W58" s="139"/>
      <c r="Y58" s="139"/>
      <c r="Z58" s="137"/>
      <c r="AA58" s="15"/>
      <c r="AC58" s="139"/>
      <c r="AE58" s="139"/>
      <c r="AG58" s="139"/>
      <c r="AI58" s="139"/>
      <c r="AK58" s="139"/>
      <c r="AM58" s="139"/>
      <c r="AO58" s="139"/>
      <c r="AQ58" s="139"/>
      <c r="AS58" s="139"/>
      <c r="AT58" s="137"/>
      <c r="AU58" s="139"/>
      <c r="AW58" s="139"/>
      <c r="AY58" s="126"/>
      <c r="AZ58" s="137"/>
      <c r="BA58" s="1"/>
    </row>
    <row r="59" spans="1:53" s="12" customFormat="1" ht="15" customHeight="1" x14ac:dyDescent="0.25">
      <c r="A59" s="553" t="s">
        <v>55</v>
      </c>
      <c r="B59" s="553"/>
      <c r="C59" s="553"/>
      <c r="D59" s="553"/>
      <c r="E59" s="553"/>
      <c r="F59" s="553"/>
      <c r="G59" s="553"/>
      <c r="H59" s="553"/>
      <c r="I59" s="139"/>
      <c r="K59" s="139"/>
      <c r="L59" s="136"/>
      <c r="M59" s="139"/>
      <c r="O59" s="139"/>
      <c r="Q59" s="139"/>
      <c r="R59" s="136"/>
      <c r="S59" s="139"/>
      <c r="U59" s="139"/>
      <c r="W59" s="139"/>
      <c r="Y59" s="139"/>
      <c r="Z59" s="137"/>
      <c r="AA59" s="15"/>
      <c r="AC59" s="139"/>
      <c r="AE59" s="139"/>
      <c r="AG59" s="139"/>
      <c r="AI59" s="139"/>
      <c r="AK59" s="139"/>
      <c r="AM59" s="139"/>
      <c r="AO59" s="139"/>
      <c r="AQ59" s="139"/>
      <c r="AS59" s="139"/>
      <c r="AT59" s="137"/>
      <c r="AU59" s="139"/>
      <c r="AW59" s="139"/>
      <c r="AY59" s="126">
        <f>SUM(I59:AW59)</f>
        <v>0</v>
      </c>
      <c r="AZ59" s="137"/>
      <c r="BA59" s="1"/>
    </row>
    <row r="60" spans="1:53" s="12" customFormat="1" ht="15" customHeight="1" x14ac:dyDescent="0.25">
      <c r="A60" s="553"/>
      <c r="B60" s="553"/>
      <c r="C60" s="553"/>
      <c r="D60" s="553"/>
      <c r="E60" s="553"/>
      <c r="F60" s="553"/>
      <c r="G60" s="553"/>
      <c r="H60" s="553"/>
      <c r="I60" s="139"/>
      <c r="K60" s="139"/>
      <c r="L60" s="136"/>
      <c r="M60" s="139"/>
      <c r="O60" s="139"/>
      <c r="Q60" s="139"/>
      <c r="R60" s="136"/>
      <c r="S60" s="139"/>
      <c r="U60" s="139"/>
      <c r="W60" s="139"/>
      <c r="Y60" s="139"/>
      <c r="Z60" s="137"/>
      <c r="AA60" s="15"/>
      <c r="AC60" s="139"/>
      <c r="AE60" s="139"/>
      <c r="AG60" s="139"/>
      <c r="AI60" s="139"/>
      <c r="AK60" s="139"/>
      <c r="AM60" s="139"/>
      <c r="AO60" s="139"/>
      <c r="AQ60" s="139"/>
      <c r="AS60" s="139"/>
      <c r="AT60" s="137"/>
      <c r="AU60" s="139"/>
      <c r="AW60" s="139"/>
      <c r="AY60" s="140"/>
      <c r="AZ60" s="137"/>
      <c r="BA60" s="1"/>
    </row>
    <row r="61" spans="1:53" s="12" customFormat="1" ht="30" customHeight="1" x14ac:dyDescent="0.25">
      <c r="A61" s="4" t="s">
        <v>56</v>
      </c>
      <c r="B61" s="146"/>
      <c r="C61" s="146"/>
      <c r="D61" s="146"/>
      <c r="E61" s="146"/>
      <c r="F61" s="146"/>
      <c r="G61" s="146"/>
      <c r="H61" s="146"/>
      <c r="I61" s="3">
        <f>H36*E36</f>
        <v>176400000</v>
      </c>
      <c r="J61" s="11"/>
      <c r="K61" s="3" t="e">
        <f>SUM(K35:K37)</f>
        <v>#REF!</v>
      </c>
      <c r="L61" s="147"/>
      <c r="M61" s="3">
        <f>SUM(M35:M37)</f>
        <v>0</v>
      </c>
      <c r="O61" s="3">
        <f>SUM(O35:O37)</f>
        <v>0</v>
      </c>
      <c r="Q61" s="3">
        <f>SUM(Q35:Q37)</f>
        <v>0</v>
      </c>
      <c r="R61" s="147"/>
      <c r="S61" s="3">
        <f>SUM(S35:S37)</f>
        <v>0</v>
      </c>
      <c r="U61" s="2"/>
      <c r="W61" s="3">
        <f>SUM(W35:W37)</f>
        <v>0</v>
      </c>
      <c r="Y61" s="3">
        <f>SUM(Y35:Y37)</f>
        <v>0</v>
      </c>
      <c r="Z61" s="148"/>
      <c r="AA61" s="15"/>
      <c r="AC61" s="3">
        <f>SUM(AC35:AC37)</f>
        <v>0</v>
      </c>
      <c r="AE61" s="3">
        <f>SUM(AE35:AE37)</f>
        <v>0</v>
      </c>
      <c r="AG61" s="3">
        <f>SUM(AG35:AG37)</f>
        <v>0</v>
      </c>
      <c r="AI61" s="3">
        <f>SUM(AI35:AI37)</f>
        <v>0</v>
      </c>
      <c r="AK61" s="3">
        <f>SUM(AK35:AK37)</f>
        <v>0</v>
      </c>
      <c r="AM61" s="3">
        <f>SUM(AM35:AM37)</f>
        <v>0</v>
      </c>
      <c r="AO61" s="3">
        <f>SUM(AO35:AO37)</f>
        <v>0</v>
      </c>
      <c r="AQ61" s="3">
        <f>SUM(AQ35:AQ37)</f>
        <v>0</v>
      </c>
      <c r="AS61" s="3">
        <f>SUM(AS35:AS37)</f>
        <v>0</v>
      </c>
      <c r="AT61" s="148"/>
      <c r="AU61" s="3">
        <f>SUM(AU35:AU37)</f>
        <v>0</v>
      </c>
      <c r="AW61" s="3">
        <f>SUM(AW35:AW37)</f>
        <v>0</v>
      </c>
      <c r="AY61" s="3" t="e">
        <f>SUM(AY35:AY37)</f>
        <v>#REF!</v>
      </c>
      <c r="AZ61" s="137"/>
      <c r="BA61" s="1"/>
    </row>
    <row r="62" spans="1:53" ht="22.5" hidden="1" customHeight="1" x14ac:dyDescent="0.25">
      <c r="A62" s="149"/>
      <c r="B62" s="150"/>
      <c r="C62" s="150"/>
      <c r="D62" s="151"/>
      <c r="E62" s="151"/>
      <c r="F62" s="151"/>
      <c r="G62" s="151"/>
      <c r="H62" s="151"/>
      <c r="I62" s="152"/>
      <c r="K62" s="152"/>
      <c r="L62" s="147"/>
      <c r="M62" s="152"/>
      <c r="O62" s="152"/>
      <c r="Q62" s="152"/>
      <c r="R62" s="147"/>
      <c r="S62" s="152"/>
      <c r="U62" s="152"/>
      <c r="W62" s="152"/>
      <c r="Y62" s="152"/>
      <c r="Z62" s="148"/>
      <c r="AA62" s="15"/>
      <c r="AC62" s="152"/>
      <c r="AE62" s="153">
        <f>146408452/169*173</f>
        <v>149873740.80473372</v>
      </c>
      <c r="AG62" s="152"/>
      <c r="AI62" s="152"/>
      <c r="AK62" s="152"/>
      <c r="AM62" s="152"/>
      <c r="AO62" s="153">
        <v>52605702</v>
      </c>
      <c r="AQ62" s="153">
        <v>52605702</v>
      </c>
      <c r="AS62" s="153">
        <v>52605702</v>
      </c>
      <c r="AT62" s="148"/>
      <c r="AU62" s="152"/>
      <c r="AW62" s="152"/>
      <c r="AY62" s="154"/>
      <c r="AZ62" s="148"/>
      <c r="BA62" s="1"/>
    </row>
    <row r="63" spans="1:53" ht="22.5" hidden="1" customHeight="1" x14ac:dyDescent="0.25">
      <c r="A63" s="155"/>
      <c r="B63" s="141"/>
      <c r="C63" s="141"/>
      <c r="D63" s="156"/>
      <c r="E63" s="156"/>
      <c r="F63" s="156"/>
      <c r="G63" s="156"/>
      <c r="H63" s="156"/>
      <c r="I63" s="157"/>
      <c r="K63" s="157"/>
      <c r="L63" s="147"/>
      <c r="M63" s="157"/>
      <c r="O63" s="157"/>
      <c r="Q63" s="157"/>
      <c r="R63" s="147"/>
      <c r="S63" s="157"/>
      <c r="U63" s="157"/>
      <c r="W63" s="157"/>
      <c r="Y63" s="157"/>
      <c r="Z63" s="148"/>
      <c r="AA63" s="15"/>
      <c r="AC63" s="157"/>
      <c r="AE63" s="158">
        <f>(146408452-12830219.68-8665391.42)/169*173</f>
        <v>127869357.84437869</v>
      </c>
      <c r="AG63" s="157"/>
      <c r="AI63" s="157"/>
      <c r="AK63" s="157"/>
      <c r="AM63" s="157"/>
      <c r="AO63" s="158"/>
      <c r="AQ63" s="158"/>
      <c r="AS63" s="158"/>
      <c r="AT63" s="148"/>
      <c r="AU63" s="157"/>
      <c r="AW63" s="157"/>
      <c r="AY63" s="140"/>
      <c r="AZ63" s="148"/>
      <c r="BA63" s="1"/>
    </row>
    <row r="64" spans="1:53" ht="15" customHeight="1" x14ac:dyDescent="0.25">
      <c r="A64" s="138" t="s">
        <v>57</v>
      </c>
      <c r="C64" s="12"/>
      <c r="I64" s="159">
        <f>I61/I16</f>
        <v>600</v>
      </c>
      <c r="J64" s="11"/>
      <c r="K64" s="159" t="e">
        <f>K60/K15</f>
        <v>#DIV/0!</v>
      </c>
      <c r="L64" s="160"/>
      <c r="M64" s="159">
        <f>M60/M15</f>
        <v>0</v>
      </c>
      <c r="O64" s="159" t="e">
        <f>O60/O15</f>
        <v>#DIV/0!</v>
      </c>
      <c r="Q64" s="159" t="e">
        <f>Q60/Q15</f>
        <v>#DIV/0!</v>
      </c>
      <c r="R64" s="160"/>
      <c r="S64" s="159" t="e">
        <f>S60/S15</f>
        <v>#DIV/0!</v>
      </c>
      <c r="U64" s="159"/>
      <c r="W64" s="159" t="e">
        <f>W60/W15</f>
        <v>#DIV/0!</v>
      </c>
      <c r="Y64" s="159" t="e">
        <f>Y60/Y15</f>
        <v>#DIV/0!</v>
      </c>
      <c r="Z64" s="161"/>
      <c r="AA64" s="15"/>
      <c r="AC64" s="159" t="e">
        <f>AC60/AC15</f>
        <v>#DIV/0!</v>
      </c>
      <c r="AE64" s="159" t="e">
        <f>AE60/AE15</f>
        <v>#DIV/0!</v>
      </c>
      <c r="AG64" s="159" t="e">
        <f>AG60/AG15</f>
        <v>#DIV/0!</v>
      </c>
      <c r="AI64" s="159" t="e">
        <f>AI60/AI15</f>
        <v>#DIV/0!</v>
      </c>
      <c r="AK64" s="159" t="e">
        <f>AK60/AK15</f>
        <v>#DIV/0!</v>
      </c>
      <c r="AM64" s="159" t="e">
        <f>AM60/AM15</f>
        <v>#DIV/0!</v>
      </c>
      <c r="AO64" s="159" t="e">
        <f>AO60/AO15</f>
        <v>#DIV/0!</v>
      </c>
      <c r="AQ64" s="159" t="e">
        <f>AQ60/AQ15</f>
        <v>#DIV/0!</v>
      </c>
      <c r="AS64" s="159" t="e">
        <f>AS60/AS15</f>
        <v>#DIV/0!</v>
      </c>
      <c r="AT64" s="137"/>
      <c r="AU64" s="159" t="e">
        <f>AU60/AU15</f>
        <v>#DIV/0!</v>
      </c>
      <c r="AW64" s="159" t="e">
        <f>AW60/AW15</f>
        <v>#DIV/0!</v>
      </c>
      <c r="AY64" s="162" t="e">
        <f>AY60/AY15</f>
        <v>#DIV/0!</v>
      </c>
      <c r="AZ64" s="137"/>
      <c r="BA64" s="1"/>
    </row>
    <row r="65" spans="1:56" ht="15" customHeight="1" x14ac:dyDescent="0.25">
      <c r="A65" s="138"/>
      <c r="C65" s="12"/>
      <c r="I65" s="159"/>
      <c r="J65" s="11"/>
      <c r="K65" s="159" t="e">
        <f>K61/K16</f>
        <v>#REF!</v>
      </c>
      <c r="L65" s="160"/>
      <c r="M65" s="159" t="e">
        <f>M61/M16</f>
        <v>#REF!</v>
      </c>
      <c r="O65" s="159" t="e">
        <f>O61/O16</f>
        <v>#REF!</v>
      </c>
      <c r="Q65" s="159" t="e">
        <f>Q61/Q16</f>
        <v>#REF!</v>
      </c>
      <c r="R65" s="160"/>
      <c r="S65" s="159" t="e">
        <f>S61/S16</f>
        <v>#REF!</v>
      </c>
      <c r="U65" s="159"/>
      <c r="W65" s="159" t="e">
        <f>W61/W16</f>
        <v>#REF!</v>
      </c>
      <c r="Y65" s="159" t="e">
        <f>Y61/Y16</f>
        <v>#REF!</v>
      </c>
      <c r="Z65" s="161"/>
      <c r="AA65" s="15"/>
      <c r="AC65" s="159" t="e">
        <f>AC61/AC16</f>
        <v>#REF!</v>
      </c>
      <c r="AE65" s="159" t="e">
        <f>AE61/AE16</f>
        <v>#REF!</v>
      </c>
      <c r="AG65" s="159" t="e">
        <f>AG61/AG16</f>
        <v>#REF!</v>
      </c>
      <c r="AI65" s="159" t="e">
        <f>AI61/AI16</f>
        <v>#REF!</v>
      </c>
      <c r="AK65" s="159" t="e">
        <f>AK61/AK16</f>
        <v>#REF!</v>
      </c>
      <c r="AM65" s="159" t="e">
        <f>AM61/AM16</f>
        <v>#REF!</v>
      </c>
      <c r="AO65" s="159" t="e">
        <f>AO61/AO16</f>
        <v>#REF!</v>
      </c>
      <c r="AQ65" s="159" t="e">
        <f>AQ61/AQ16</f>
        <v>#REF!</v>
      </c>
      <c r="AS65" s="159" t="e">
        <f>AS61/AS16</f>
        <v>#REF!</v>
      </c>
      <c r="AT65" s="137"/>
      <c r="AU65" s="159" t="e">
        <f>AU61/AU16</f>
        <v>#REF!</v>
      </c>
      <c r="AW65" s="159" t="e">
        <f>AW61/AW16</f>
        <v>#REF!</v>
      </c>
      <c r="AY65" s="162" t="e">
        <f>AY61/AY16</f>
        <v>#REF!</v>
      </c>
      <c r="AZ65" s="137"/>
      <c r="BA65" s="1"/>
    </row>
    <row r="66" spans="1:56" ht="6.75" customHeight="1" x14ac:dyDescent="0.25">
      <c r="A66" s="163"/>
      <c r="B66" s="164"/>
      <c r="C66" s="164"/>
      <c r="D66" s="165"/>
      <c r="E66" s="165"/>
      <c r="F66" s="165"/>
      <c r="G66" s="165"/>
      <c r="H66" s="165"/>
      <c r="I66" s="166"/>
      <c r="J66" s="11"/>
      <c r="K66" s="166"/>
      <c r="L66" s="147"/>
      <c r="M66" s="166"/>
      <c r="O66" s="166"/>
      <c r="Q66" s="166"/>
      <c r="R66" s="147"/>
      <c r="S66" s="166"/>
      <c r="U66" s="166"/>
      <c r="W66" s="166"/>
      <c r="Y66" s="166"/>
      <c r="Z66" s="148"/>
      <c r="AA66" s="15"/>
      <c r="AC66" s="166"/>
      <c r="AE66" s="166"/>
      <c r="AG66" s="166"/>
      <c r="AI66" s="166"/>
      <c r="AK66" s="166"/>
      <c r="AM66" s="166"/>
      <c r="AO66" s="166"/>
      <c r="AQ66" s="166"/>
      <c r="AS66" s="166"/>
      <c r="AT66" s="148"/>
      <c r="AU66" s="166"/>
      <c r="AW66" s="166"/>
      <c r="AY66" s="167"/>
      <c r="AZ66" s="148"/>
      <c r="BA66" s="1"/>
    </row>
    <row r="67" spans="1:56" ht="15" customHeight="1" x14ac:dyDescent="0.25">
      <c r="A67" s="76" t="s">
        <v>58</v>
      </c>
      <c r="B67" s="12" t="s">
        <v>59</v>
      </c>
      <c r="C67" s="12"/>
      <c r="D67" s="11"/>
      <c r="E67" s="11"/>
      <c r="H67" s="168"/>
      <c r="I67" s="169"/>
      <c r="J67" s="11"/>
      <c r="K67" s="169"/>
      <c r="L67" s="170"/>
      <c r="M67" s="169"/>
      <c r="O67" s="169"/>
      <c r="Q67" s="171"/>
      <c r="R67" s="170"/>
      <c r="S67" s="171"/>
      <c r="U67" s="172"/>
      <c r="W67" s="171"/>
      <c r="Y67" s="171"/>
      <c r="Z67" s="67"/>
      <c r="AA67" s="15"/>
      <c r="AC67" s="171"/>
      <c r="AE67" s="171"/>
      <c r="AG67" s="171"/>
      <c r="AI67" s="171"/>
      <c r="AK67" s="171"/>
      <c r="AM67" s="171"/>
      <c r="AO67" s="171"/>
      <c r="AQ67" s="171"/>
      <c r="AS67" s="171"/>
      <c r="AT67" s="67"/>
      <c r="AU67" s="171"/>
      <c r="AW67" s="171"/>
      <c r="AY67" s="173"/>
      <c r="AZ67" s="67"/>
      <c r="BA67" s="1"/>
    </row>
    <row r="68" spans="1:56" s="175" customFormat="1" ht="15.75" customHeight="1" x14ac:dyDescent="0.25">
      <c r="A68" s="174"/>
      <c r="G68" s="176"/>
      <c r="I68" s="177"/>
      <c r="J68" s="178"/>
      <c r="K68" s="177" t="e">
        <f>K72/K10</f>
        <v>#DIV/0!</v>
      </c>
      <c r="L68" s="179"/>
      <c r="M68" s="177" t="e">
        <f>M72/M10</f>
        <v>#DIV/0!</v>
      </c>
      <c r="O68" s="177" t="e">
        <f>O72/O10</f>
        <v>#DIV/0!</v>
      </c>
      <c r="Q68" s="177" t="e">
        <f>Q72/Q10</f>
        <v>#DIV/0!</v>
      </c>
      <c r="R68" s="179"/>
      <c r="S68" s="177" t="e">
        <f>S72/S10</f>
        <v>#DIV/0!</v>
      </c>
      <c r="U68" s="177"/>
      <c r="W68" s="177" t="e">
        <f>W72/W10</f>
        <v>#DIV/0!</v>
      </c>
      <c r="Y68" s="177" t="e">
        <f>Y72/Y10</f>
        <v>#DIV/0!</v>
      </c>
      <c r="AA68" s="15"/>
      <c r="AC68" s="177" t="e">
        <f>AC72/AC10</f>
        <v>#DIV/0!</v>
      </c>
      <c r="AE68" s="177" t="e">
        <f>AE72/AE10</f>
        <v>#DIV/0!</v>
      </c>
      <c r="AG68" s="177" t="e">
        <f>AG72/AG10</f>
        <v>#DIV/0!</v>
      </c>
      <c r="AI68" s="177" t="e">
        <f>AI72/AI10</f>
        <v>#DIV/0!</v>
      </c>
      <c r="AK68" s="177" t="e">
        <f>AK72/AK10</f>
        <v>#DIV/0!</v>
      </c>
      <c r="AM68" s="177" t="e">
        <f>AM72/AM10</f>
        <v>#DIV/0!</v>
      </c>
      <c r="AO68" s="177" t="e">
        <f>AO72/AO10</f>
        <v>#DIV/0!</v>
      </c>
      <c r="AQ68" s="177" t="e">
        <f>AQ72/AQ10</f>
        <v>#DIV/0!</v>
      </c>
      <c r="AS68" s="177" t="e">
        <f>AS72/AS10</f>
        <v>#DIV/0!</v>
      </c>
      <c r="AU68" s="177" t="e">
        <f>AU72/AU10</f>
        <v>#DIV/0!</v>
      </c>
      <c r="AW68" s="177" t="e">
        <f>AW72/AW10</f>
        <v>#DIV/0!</v>
      </c>
      <c r="AY68" s="177">
        <f>AY72/AY10</f>
        <v>100</v>
      </c>
      <c r="BA68" s="180"/>
    </row>
    <row r="69" spans="1:56" ht="15" customHeight="1" x14ac:dyDescent="0.25">
      <c r="A69" s="181">
        <v>2</v>
      </c>
      <c r="B69" s="182" t="s">
        <v>60</v>
      </c>
      <c r="C69" s="182"/>
      <c r="D69" s="183"/>
      <c r="E69" s="183"/>
      <c r="F69" s="183"/>
      <c r="G69" s="184"/>
      <c r="H69" s="183"/>
      <c r="I69" s="185">
        <f>SUM(I72:I76)</f>
        <v>14985575.760000004</v>
      </c>
      <c r="J69" s="11"/>
      <c r="K69" s="185">
        <f>SUM(K72:K76)</f>
        <v>0</v>
      </c>
      <c r="L69" s="186"/>
      <c r="M69" s="185">
        <f>SUM(M72:M76)</f>
        <v>0</v>
      </c>
      <c r="O69" s="185">
        <f>SUM(O72:O76)</f>
        <v>0</v>
      </c>
      <c r="Q69" s="185">
        <f>SUM(Q72:Q76)</f>
        <v>0</v>
      </c>
      <c r="R69" s="186"/>
      <c r="S69" s="185">
        <f>SUM(S72:S76)</f>
        <v>0</v>
      </c>
      <c r="U69" s="187"/>
      <c r="W69" s="185">
        <f>SUM(W72:W76)</f>
        <v>0</v>
      </c>
      <c r="Y69" s="185">
        <f>SUM(Y72:Y76)</f>
        <v>0</v>
      </c>
      <c r="Z69" s="130"/>
      <c r="AA69" s="15"/>
      <c r="AC69" s="185">
        <f>SUM(AC72:AC76)</f>
        <v>0</v>
      </c>
      <c r="AE69" s="185">
        <f>SUM(AE72:AE76)</f>
        <v>0</v>
      </c>
      <c r="AG69" s="185">
        <f>SUM(AG72:AG76)</f>
        <v>0</v>
      </c>
      <c r="AI69" s="185">
        <f>SUM(AI72:AI76)</f>
        <v>0</v>
      </c>
      <c r="AK69" s="185">
        <f>SUM(AK72:AK76)</f>
        <v>0</v>
      </c>
      <c r="AM69" s="185">
        <f>SUM(AM72:AM76)</f>
        <v>0</v>
      </c>
      <c r="AO69" s="185">
        <f>SUM(AO72:AO76)</f>
        <v>0</v>
      </c>
      <c r="AQ69" s="185">
        <f>SUM(AQ72:AQ76)</f>
        <v>0</v>
      </c>
      <c r="AS69" s="185">
        <f>SUM(AS72:AS76)</f>
        <v>0</v>
      </c>
      <c r="AT69" s="130"/>
      <c r="AU69" s="185">
        <f>SUM(AU72:AU76)</f>
        <v>0</v>
      </c>
      <c r="AW69" s="185">
        <f>SUM(AW72:AW76)</f>
        <v>0</v>
      </c>
      <c r="AY69" s="188">
        <f>SUM(AY72:AY76)</f>
        <v>14729617.200000003</v>
      </c>
      <c r="AZ69" s="137"/>
      <c r="BA69" s="1"/>
      <c r="BD69" s="189"/>
    </row>
    <row r="70" spans="1:56" ht="15" customHeight="1" x14ac:dyDescent="0.25">
      <c r="A70" s="181"/>
      <c r="B70" s="182"/>
      <c r="C70" s="182"/>
      <c r="D70" s="183"/>
      <c r="E70" s="183"/>
      <c r="F70" s="183"/>
      <c r="G70" s="184"/>
      <c r="H70" s="206" t="s">
        <v>67</v>
      </c>
      <c r="I70" s="207">
        <f>I69/I61</f>
        <v>8.4952243537414984E-2</v>
      </c>
      <c r="J70" s="11"/>
      <c r="K70" s="185"/>
      <c r="L70" s="186"/>
      <c r="M70" s="185"/>
      <c r="O70" s="185"/>
      <c r="Q70" s="185"/>
      <c r="R70" s="186"/>
      <c r="S70" s="185"/>
      <c r="U70" s="187"/>
      <c r="W70" s="185"/>
      <c r="Y70" s="185"/>
      <c r="Z70" s="130"/>
      <c r="AA70" s="15"/>
      <c r="AC70" s="185"/>
      <c r="AE70" s="185"/>
      <c r="AG70" s="185"/>
      <c r="AI70" s="185"/>
      <c r="AK70" s="185"/>
      <c r="AM70" s="185"/>
      <c r="AO70" s="185"/>
      <c r="AQ70" s="185"/>
      <c r="AS70" s="185"/>
      <c r="AT70" s="130"/>
      <c r="AU70" s="185"/>
      <c r="AW70" s="185"/>
      <c r="AY70" s="188"/>
      <c r="AZ70" s="137"/>
      <c r="BA70" s="1"/>
      <c r="BD70" s="189"/>
    </row>
    <row r="71" spans="1:56" ht="15" customHeight="1" x14ac:dyDescent="0.25">
      <c r="A71" s="181"/>
      <c r="B71" s="182"/>
      <c r="C71" s="182"/>
      <c r="D71" s="183"/>
      <c r="E71" s="183"/>
      <c r="F71" s="183"/>
      <c r="G71" s="184"/>
      <c r="H71" s="603" t="s">
        <v>528</v>
      </c>
      <c r="I71" s="604">
        <f>I69/I10</f>
        <v>117.09376517823824</v>
      </c>
      <c r="J71" s="11"/>
      <c r="K71" s="185"/>
      <c r="L71" s="186"/>
      <c r="M71" s="185"/>
      <c r="O71" s="185"/>
      <c r="Q71" s="185"/>
      <c r="R71" s="186"/>
      <c r="S71" s="185"/>
      <c r="U71" s="187"/>
      <c r="W71" s="185"/>
      <c r="Y71" s="185"/>
      <c r="Z71" s="130"/>
      <c r="AA71" s="15"/>
      <c r="AC71" s="185"/>
      <c r="AE71" s="185"/>
      <c r="AG71" s="185"/>
      <c r="AI71" s="185"/>
      <c r="AK71" s="185"/>
      <c r="AM71" s="185"/>
      <c r="AO71" s="185"/>
      <c r="AQ71" s="185"/>
      <c r="AS71" s="185"/>
      <c r="AT71" s="130"/>
      <c r="AU71" s="185"/>
      <c r="AW71" s="185"/>
      <c r="AY71" s="188"/>
      <c r="AZ71" s="137"/>
      <c r="BA71" s="1"/>
      <c r="BD71" s="189"/>
    </row>
    <row r="72" spans="1:56" s="127" customFormat="1" ht="15" customHeight="1" x14ac:dyDescent="0.25">
      <c r="A72" s="190"/>
      <c r="B72" s="127">
        <v>5.0999999999999996</v>
      </c>
      <c r="C72" s="127" t="s">
        <v>0</v>
      </c>
      <c r="F72" s="598">
        <v>100</v>
      </c>
      <c r="I72" s="191">
        <f>$F$72*I10</f>
        <v>12797928.000000002</v>
      </c>
      <c r="J72" s="77"/>
      <c r="K72" s="191">
        <f>$F$72*K10</f>
        <v>0</v>
      </c>
      <c r="L72" s="192"/>
      <c r="M72" s="191">
        <f>$F$72*M10</f>
        <v>0</v>
      </c>
      <c r="N72" s="193"/>
      <c r="O72" s="191">
        <f>$F$72*O10</f>
        <v>0</v>
      </c>
      <c r="P72" s="193"/>
      <c r="Q72" s="191">
        <f>$F$72*Q10</f>
        <v>0</v>
      </c>
      <c r="R72" s="192"/>
      <c r="S72" s="191">
        <f>$F$72*S10</f>
        <v>0</v>
      </c>
      <c r="T72" s="193"/>
      <c r="U72" s="191"/>
      <c r="V72" s="193"/>
      <c r="W72" s="191">
        <f>$F$72*W10</f>
        <v>0</v>
      </c>
      <c r="X72" s="193"/>
      <c r="Y72" s="191">
        <f>$F$72*Y10</f>
        <v>0</v>
      </c>
      <c r="Z72" s="193"/>
      <c r="AA72" s="15"/>
      <c r="AB72" s="193"/>
      <c r="AC72" s="191">
        <f>$F$72*AC10</f>
        <v>0</v>
      </c>
      <c r="AD72" s="193"/>
      <c r="AE72" s="191">
        <f>$F$72*AE10</f>
        <v>0</v>
      </c>
      <c r="AF72" s="193"/>
      <c r="AG72" s="191">
        <f>$F$72*AG10</f>
        <v>0</v>
      </c>
      <c r="AH72" s="193"/>
      <c r="AI72" s="191">
        <f>$F$72*AI10</f>
        <v>0</v>
      </c>
      <c r="AJ72" s="193"/>
      <c r="AK72" s="191">
        <f>$F$72*AK10</f>
        <v>0</v>
      </c>
      <c r="AL72" s="193"/>
      <c r="AM72" s="191">
        <f>$F$72*AM10</f>
        <v>0</v>
      </c>
      <c r="AN72" s="193"/>
      <c r="AO72" s="191">
        <f>$F$72*AO10</f>
        <v>0</v>
      </c>
      <c r="AP72" s="193"/>
      <c r="AQ72" s="191">
        <f>$F$72*AQ10</f>
        <v>0</v>
      </c>
      <c r="AR72" s="193"/>
      <c r="AS72" s="191">
        <f>$F$72*AS10</f>
        <v>0</v>
      </c>
      <c r="AT72" s="193"/>
      <c r="AU72" s="191">
        <f>$F$72*AU10</f>
        <v>0</v>
      </c>
      <c r="AV72" s="193"/>
      <c r="AW72" s="191">
        <f>$F$72*AW10</f>
        <v>0</v>
      </c>
      <c r="AX72" s="193"/>
      <c r="AY72" s="126">
        <f>SUM(I72:AW72)</f>
        <v>12797928.000000002</v>
      </c>
      <c r="AZ72" s="137"/>
      <c r="BA72" s="1"/>
      <c r="BC72" s="17"/>
      <c r="BD72" s="194"/>
    </row>
    <row r="73" spans="1:56" s="127" customFormat="1" ht="15" customHeight="1" x14ac:dyDescent="0.25">
      <c r="A73" s="195"/>
      <c r="B73" s="127">
        <f>B72+0.1</f>
        <v>5.1999999999999993</v>
      </c>
      <c r="C73" s="127" t="s">
        <v>61</v>
      </c>
      <c r="D73" s="196">
        <v>0.15</v>
      </c>
      <c r="E73" s="197">
        <v>0.3</v>
      </c>
      <c r="F73" s="597" t="s">
        <v>62</v>
      </c>
      <c r="G73" s="127" t="s">
        <v>63</v>
      </c>
      <c r="H73" s="30"/>
      <c r="I73" s="191">
        <f>I72*$D$73</f>
        <v>1919689.2000000002</v>
      </c>
      <c r="J73" s="198"/>
      <c r="K73" s="191">
        <f>K72*$D$73</f>
        <v>0</v>
      </c>
      <c r="L73" s="192"/>
      <c r="M73" s="191">
        <f>M72*$D$73</f>
        <v>0</v>
      </c>
      <c r="O73" s="191">
        <f>O72*$D$73</f>
        <v>0</v>
      </c>
      <c r="Q73" s="191">
        <f>Q72*$E$73</f>
        <v>0</v>
      </c>
      <c r="R73" s="192"/>
      <c r="S73" s="191">
        <f>S72*$E$73</f>
        <v>0</v>
      </c>
      <c r="U73" s="191"/>
      <c r="W73" s="191">
        <f>W72*$E$73</f>
        <v>0</v>
      </c>
      <c r="Y73" s="191">
        <f>Y72*$E$73</f>
        <v>0</v>
      </c>
      <c r="Z73" s="193"/>
      <c r="AA73" s="15"/>
      <c r="AB73" s="193"/>
      <c r="AC73" s="191">
        <f>AC72*$D$73</f>
        <v>0</v>
      </c>
      <c r="AE73" s="191">
        <f>AE72*$D$73</f>
        <v>0</v>
      </c>
      <c r="AG73" s="191">
        <f>AG72*$D$73</f>
        <v>0</v>
      </c>
      <c r="AI73" s="191">
        <f>AI72*$D$73</f>
        <v>0</v>
      </c>
      <c r="AK73" s="191">
        <f>AK72*$D$73</f>
        <v>0</v>
      </c>
      <c r="AM73" s="191">
        <f>AM72*$D$73</f>
        <v>0</v>
      </c>
      <c r="AO73" s="191">
        <f>AO72*$D$73</f>
        <v>0</v>
      </c>
      <c r="AQ73" s="191">
        <f>AQ72*$D$73</f>
        <v>0</v>
      </c>
      <c r="AS73" s="191">
        <f>AS72*$D$73</f>
        <v>0</v>
      </c>
      <c r="AT73" s="199"/>
      <c r="AU73" s="191">
        <f>AU72*$D$73</f>
        <v>0</v>
      </c>
      <c r="AW73" s="191">
        <f>AW72*$D$73</f>
        <v>0</v>
      </c>
      <c r="AY73" s="126">
        <f>SUM(I73:AW73)</f>
        <v>1919689.2000000002</v>
      </c>
      <c r="AZ73" s="137"/>
      <c r="BA73" s="1"/>
    </row>
    <row r="74" spans="1:56" s="127" customFormat="1" ht="15" customHeight="1" x14ac:dyDescent="0.25">
      <c r="A74" s="195"/>
      <c r="B74" s="127">
        <v>5.3</v>
      </c>
      <c r="C74" s="127" t="s">
        <v>527</v>
      </c>
      <c r="D74" s="196"/>
      <c r="E74" s="197"/>
      <c r="F74" s="602">
        <v>0.02</v>
      </c>
      <c r="G74" s="127" t="s">
        <v>63</v>
      </c>
      <c r="H74" s="30"/>
      <c r="I74" s="191">
        <f>F74*I72</f>
        <v>255958.56000000006</v>
      </c>
      <c r="J74" s="198"/>
      <c r="K74" s="191"/>
      <c r="L74" s="192"/>
      <c r="M74" s="191"/>
      <c r="O74" s="191"/>
      <c r="Q74" s="191"/>
      <c r="R74" s="192"/>
      <c r="S74" s="191"/>
      <c r="U74" s="191"/>
      <c r="W74" s="191"/>
      <c r="Y74" s="191"/>
      <c r="Z74" s="193"/>
      <c r="AA74" s="15"/>
      <c r="AB74" s="193"/>
      <c r="AC74" s="191"/>
      <c r="AE74" s="191"/>
      <c r="AG74" s="191"/>
      <c r="AI74" s="191"/>
      <c r="AK74" s="191"/>
      <c r="AM74" s="191"/>
      <c r="AO74" s="191"/>
      <c r="AQ74" s="191"/>
      <c r="AS74" s="191"/>
      <c r="AT74" s="199"/>
      <c r="AU74" s="191"/>
      <c r="AW74" s="191"/>
      <c r="AY74" s="126"/>
      <c r="AZ74" s="137"/>
      <c r="BA74" s="1"/>
    </row>
    <row r="75" spans="1:56" s="127" customFormat="1" ht="15" customHeight="1" x14ac:dyDescent="0.25">
      <c r="A75" s="195"/>
      <c r="B75" s="127">
        <v>5.4</v>
      </c>
      <c r="C75" s="127" t="s">
        <v>64</v>
      </c>
      <c r="F75" s="599">
        <v>2000</v>
      </c>
      <c r="G75" s="127" t="s">
        <v>525</v>
      </c>
      <c r="H75" s="193"/>
      <c r="I75" s="600">
        <f>F75*4</f>
        <v>8000</v>
      </c>
      <c r="J75" s="201"/>
      <c r="K75" s="191">
        <f>+$F75*(K8/$AY$8)*4</f>
        <v>0</v>
      </c>
      <c r="L75" s="192"/>
      <c r="M75" s="191">
        <f>+$F75*(M8/$AY$8)*4</f>
        <v>0</v>
      </c>
      <c r="O75" s="191">
        <f>+$F75*(O8/$AY$8)*4</f>
        <v>0</v>
      </c>
      <c r="Q75" s="191">
        <f>+$F75*(Q8/$AY$8)*6</f>
        <v>0</v>
      </c>
      <c r="R75" s="192"/>
      <c r="S75" s="191">
        <f>+$F75*(S8/$AY$8)*6</f>
        <v>0</v>
      </c>
      <c r="U75" s="191"/>
      <c r="W75" s="191">
        <f>+$F75*(W8/$AY$8)*8</f>
        <v>0</v>
      </c>
      <c r="Y75" s="191">
        <f>+$F75*(Y8/$AY$8)*10</f>
        <v>0</v>
      </c>
      <c r="Z75" s="193"/>
      <c r="AA75" s="15"/>
      <c r="AC75" s="191">
        <f>+$F75*(AC8/$AY$8)*4</f>
        <v>0</v>
      </c>
      <c r="AE75" s="191">
        <f>+$F75*(AE8/$AY$8)*4</f>
        <v>0</v>
      </c>
      <c r="AG75" s="191">
        <f>+$F75*(AG8/$AY$8)*6</f>
        <v>0</v>
      </c>
      <c r="AI75" s="191">
        <f>+$F75*(AI8/$AY$8)*6</f>
        <v>0</v>
      </c>
      <c r="AK75" s="191">
        <f>+$F75*(AK8/$AY$8)*8</f>
        <v>0</v>
      </c>
      <c r="AM75" s="191">
        <f>+$F75*(AM8/$AY$8)*8</f>
        <v>0</v>
      </c>
      <c r="AO75" s="191">
        <f>+$F75*(AO8/$AY$8)*10</f>
        <v>0</v>
      </c>
      <c r="AQ75" s="191">
        <f>+$F75*(AQ8/$AY$8)*10</f>
        <v>0</v>
      </c>
      <c r="AS75" s="191">
        <f>+$F75*(AS8/$AY$8)*10</f>
        <v>0</v>
      </c>
      <c r="AT75" s="193"/>
      <c r="AU75" s="191">
        <f>+$F75*(AU8/$AY$8)*10</f>
        <v>0</v>
      </c>
      <c r="AW75" s="191">
        <f>+$F75*(AW8/$AY$8)*10</f>
        <v>0</v>
      </c>
      <c r="AY75" s="126">
        <f>SUM(I75:AW75)</f>
        <v>8000</v>
      </c>
      <c r="AZ75" s="161"/>
      <c r="BA75" s="1"/>
    </row>
    <row r="76" spans="1:56" s="127" customFormat="1" ht="15" customHeight="1" x14ac:dyDescent="0.25">
      <c r="A76" s="195"/>
      <c r="B76" s="127">
        <v>5.5</v>
      </c>
      <c r="C76" s="127" t="s">
        <v>65</v>
      </c>
      <c r="F76" s="599">
        <v>1000</v>
      </c>
      <c r="G76" s="127" t="s">
        <v>525</v>
      </c>
      <c r="I76" s="600">
        <f>F76*4</f>
        <v>4000</v>
      </c>
      <c r="J76" s="201"/>
      <c r="K76" s="191">
        <f>+$F76*(K8/$AY$8)*4</f>
        <v>0</v>
      </c>
      <c r="L76" s="192"/>
      <c r="M76" s="191">
        <f>+$F76*(M8/$AY$8)*4</f>
        <v>0</v>
      </c>
      <c r="O76" s="191">
        <f>+$F76*(O8/$AY$8)*4</f>
        <v>0</v>
      </c>
      <c r="Q76" s="191">
        <f>+$F76*(Q8/$AY$8)*6</f>
        <v>0</v>
      </c>
      <c r="R76" s="192"/>
      <c r="S76" s="191">
        <f>+$F76*(S8/$AY$8)*6</f>
        <v>0</v>
      </c>
      <c r="U76" s="191"/>
      <c r="W76" s="191">
        <f>+$F76*(W8/$AY$8)*8</f>
        <v>0</v>
      </c>
      <c r="Y76" s="191">
        <f>+$F76*(Y8/$AY$8)*10</f>
        <v>0</v>
      </c>
      <c r="Z76" s="193"/>
      <c r="AA76" s="15"/>
      <c r="AC76" s="191">
        <f>+$F76*(AC8/$AY$8)*4</f>
        <v>0</v>
      </c>
      <c r="AE76" s="191">
        <f>+$F76*(AE8/$AY$8)*4</f>
        <v>0</v>
      </c>
      <c r="AG76" s="191">
        <f>+$F76*(AG8/$AY$8)*6</f>
        <v>0</v>
      </c>
      <c r="AI76" s="191">
        <f>+$F76*(AI8/$AY$8)*6</f>
        <v>0</v>
      </c>
      <c r="AK76" s="191">
        <f>+$F76*(AK8/$AY$8)*8</f>
        <v>0</v>
      </c>
      <c r="AM76" s="191">
        <f>+$F76*(AM8/$AY$8)*8</f>
        <v>0</v>
      </c>
      <c r="AO76" s="191">
        <f>+$F76*(AO8/$AY$8)*10</f>
        <v>0</v>
      </c>
      <c r="AQ76" s="191">
        <f>+$F76*(AQ8/$AY$8)*10</f>
        <v>0</v>
      </c>
      <c r="AS76" s="191">
        <f>+$F76*(AS8/$AY$8)*10</f>
        <v>0</v>
      </c>
      <c r="AT76" s="193"/>
      <c r="AU76" s="191">
        <f>+$F76*(AU8/$AY$8)*10</f>
        <v>0</v>
      </c>
      <c r="AW76" s="191">
        <f>+$F76*(AW8/$AY$8)*10</f>
        <v>0</v>
      </c>
      <c r="AY76" s="126">
        <f>SUM(I76:AW76)</f>
        <v>4000</v>
      </c>
      <c r="AZ76" s="161"/>
      <c r="BA76" s="1"/>
    </row>
    <row r="77" spans="1:56" s="127" customFormat="1" ht="15" customHeight="1" x14ac:dyDescent="0.25">
      <c r="A77" s="195"/>
      <c r="B77" s="127">
        <v>5.6</v>
      </c>
      <c r="C77" s="127" t="s">
        <v>526</v>
      </c>
      <c r="F77" s="601"/>
      <c r="I77" s="600">
        <v>5000</v>
      </c>
      <c r="J77" s="201"/>
      <c r="K77" s="191"/>
      <c r="L77" s="192"/>
      <c r="M77" s="191"/>
      <c r="O77" s="191"/>
      <c r="Q77" s="191"/>
      <c r="R77" s="192"/>
      <c r="S77" s="191"/>
      <c r="U77" s="191"/>
      <c r="W77" s="191"/>
      <c r="Y77" s="191"/>
      <c r="Z77" s="193"/>
      <c r="AA77" s="15"/>
      <c r="AC77" s="191"/>
      <c r="AE77" s="191"/>
      <c r="AG77" s="191"/>
      <c r="AI77" s="191"/>
      <c r="AK77" s="191"/>
      <c r="AM77" s="191"/>
      <c r="AO77" s="191"/>
      <c r="AQ77" s="191"/>
      <c r="AS77" s="191"/>
      <c r="AT77" s="193"/>
      <c r="AU77" s="191"/>
      <c r="AW77" s="191"/>
      <c r="AY77" s="126"/>
      <c r="AZ77" s="161"/>
      <c r="BA77" s="1"/>
    </row>
    <row r="78" spans="1:56" s="127" customFormat="1" ht="15" customHeight="1" x14ac:dyDescent="0.25">
      <c r="A78" s="195"/>
      <c r="F78" s="601"/>
      <c r="I78" s="600"/>
      <c r="J78" s="201"/>
      <c r="K78" s="191"/>
      <c r="L78" s="192"/>
      <c r="M78" s="191"/>
      <c r="O78" s="191"/>
      <c r="Q78" s="191"/>
      <c r="R78" s="192"/>
      <c r="S78" s="191"/>
      <c r="U78" s="191"/>
      <c r="W78" s="191"/>
      <c r="Y78" s="191"/>
      <c r="Z78" s="193"/>
      <c r="AA78" s="15"/>
      <c r="AC78" s="191"/>
      <c r="AE78" s="191"/>
      <c r="AG78" s="191"/>
      <c r="AI78" s="191"/>
      <c r="AK78" s="191"/>
      <c r="AM78" s="191"/>
      <c r="AO78" s="191"/>
      <c r="AQ78" s="191"/>
      <c r="AS78" s="191"/>
      <c r="AT78" s="193"/>
      <c r="AU78" s="191"/>
      <c r="AW78" s="191"/>
      <c r="AY78" s="126"/>
      <c r="AZ78" s="161"/>
      <c r="BA78" s="1"/>
    </row>
    <row r="79" spans="1:56" ht="15" customHeight="1" x14ac:dyDescent="0.25">
      <c r="A79" s="554">
        <v>3</v>
      </c>
      <c r="B79" s="555" t="s">
        <v>66</v>
      </c>
      <c r="C79" s="555"/>
      <c r="D79" s="205"/>
      <c r="E79" s="205"/>
      <c r="F79" s="206"/>
      <c r="G79" s="206"/>
      <c r="H79" s="206"/>
      <c r="I79" s="185">
        <f>SUM(I97:I101)</f>
        <v>103626574.34999999</v>
      </c>
      <c r="J79" s="201"/>
      <c r="K79" s="185">
        <f>SUM(K97:K100)</f>
        <v>0</v>
      </c>
      <c r="L79" s="186"/>
      <c r="M79" s="185" t="e">
        <f>SUM(M97:M99)</f>
        <v>#REF!</v>
      </c>
      <c r="O79" s="185" t="e">
        <f>SUM(O97:O99)</f>
        <v>#REF!</v>
      </c>
      <c r="Q79" s="185" t="e">
        <f>SUM(Q97:Q100)</f>
        <v>#REF!</v>
      </c>
      <c r="R79" s="186"/>
      <c r="S79" s="185" t="e">
        <f>SUM(S97:S100)</f>
        <v>#REF!</v>
      </c>
      <c r="U79" s="187"/>
      <c r="W79" s="185" t="e">
        <f>SUM(W97:W100)</f>
        <v>#REF!</v>
      </c>
      <c r="Y79" s="185" t="e">
        <f>SUM(Y97:Y100)</f>
        <v>#REF!</v>
      </c>
      <c r="Z79" s="130"/>
      <c r="AA79" s="15"/>
      <c r="AC79" s="185" t="e">
        <f>SUM(AC97:AC100)</f>
        <v>#REF!</v>
      </c>
      <c r="AE79" s="185" t="e">
        <f>SUM(AE97:AE100)</f>
        <v>#REF!</v>
      </c>
      <c r="AG79" s="185" t="e">
        <f>SUM(AG97:AG99)</f>
        <v>#REF!</v>
      </c>
      <c r="AI79" s="185" t="e">
        <f>SUM(AI97:AI99)</f>
        <v>#REF!</v>
      </c>
      <c r="AK79" s="185" t="e">
        <f>SUM(AK97:AK99)</f>
        <v>#REF!</v>
      </c>
      <c r="AM79" s="185" t="e">
        <f>SUM(AM97:AM99)</f>
        <v>#REF!</v>
      </c>
      <c r="AO79" s="185" t="e">
        <f>SUM(AO97:AO99)</f>
        <v>#REF!</v>
      </c>
      <c r="AQ79" s="185" t="e">
        <f>SUM(AQ97:AQ99)</f>
        <v>#REF!</v>
      </c>
      <c r="AS79" s="185">
        <f>SUM(AS97:AS99)</f>
        <v>0</v>
      </c>
      <c r="AT79" s="130"/>
      <c r="AU79" s="185" t="e">
        <f>SUM(AU97:AU99)</f>
        <v>#REF!</v>
      </c>
      <c r="AW79" s="185" t="e">
        <f>SUM(AW97:AW100)</f>
        <v>#REF!</v>
      </c>
      <c r="AY79" s="188" t="e">
        <f>SUM(AY97:AY100)</f>
        <v>#REF!</v>
      </c>
      <c r="AZ79" s="137"/>
      <c r="BA79" s="1"/>
    </row>
    <row r="80" spans="1:56" ht="15" customHeight="1" x14ac:dyDescent="0.25">
      <c r="A80" s="554"/>
      <c r="B80" s="555"/>
      <c r="C80" s="555"/>
      <c r="D80" s="205"/>
      <c r="E80" s="205"/>
      <c r="F80" s="206"/>
      <c r="G80" s="206"/>
      <c r="H80" s="206" t="s">
        <v>67</v>
      </c>
      <c r="I80" s="207">
        <f>I79/I61</f>
        <v>0.58745223554421766</v>
      </c>
      <c r="J80" s="201"/>
      <c r="K80" s="207" t="e">
        <f>K79/K61</f>
        <v>#REF!</v>
      </c>
      <c r="L80" s="208"/>
      <c r="M80" s="207" t="e">
        <f>M79/M61</f>
        <v>#REF!</v>
      </c>
      <c r="O80" s="207" t="e">
        <f>O79/O61</f>
        <v>#REF!</v>
      </c>
      <c r="Q80" s="207" t="e">
        <f>Q79/Q61</f>
        <v>#REF!</v>
      </c>
      <c r="R80" s="208"/>
      <c r="S80" s="207" t="e">
        <f>S79/S61</f>
        <v>#REF!</v>
      </c>
      <c r="U80" s="209"/>
      <c r="W80" s="207" t="e">
        <f>W79/W61</f>
        <v>#REF!</v>
      </c>
      <c r="Y80" s="207" t="e">
        <f>Y79/Y61</f>
        <v>#REF!</v>
      </c>
      <c r="Z80" s="210"/>
      <c r="AA80" s="15"/>
      <c r="AC80" s="207" t="e">
        <f>AC79/AC61</f>
        <v>#REF!</v>
      </c>
      <c r="AE80" s="207" t="e">
        <f>AE79/AE61</f>
        <v>#REF!</v>
      </c>
      <c r="AG80" s="207" t="e">
        <f>AG79/AG61</f>
        <v>#REF!</v>
      </c>
      <c r="AI80" s="207" t="e">
        <f>AI79/AI61</f>
        <v>#REF!</v>
      </c>
      <c r="AK80" s="207" t="e">
        <f>AK79/AK61</f>
        <v>#REF!</v>
      </c>
      <c r="AM80" s="207" t="e">
        <f>AM79/AM61</f>
        <v>#REF!</v>
      </c>
      <c r="AO80" s="207" t="e">
        <f>AO79/AO61</f>
        <v>#REF!</v>
      </c>
      <c r="AQ80" s="207" t="e">
        <f>AQ79/AQ61</f>
        <v>#REF!</v>
      </c>
      <c r="AS80" s="207" t="e">
        <f>AS79/AS61</f>
        <v>#DIV/0!</v>
      </c>
      <c r="AT80" s="210"/>
      <c r="AU80" s="207" t="e">
        <f>AU79/AU61</f>
        <v>#REF!</v>
      </c>
      <c r="AW80" s="207" t="e">
        <f>AW79/AW61</f>
        <v>#REF!</v>
      </c>
      <c r="AY80" s="211" t="e">
        <f>AY79/AY61</f>
        <v>#REF!</v>
      </c>
      <c r="AZ80" s="137"/>
      <c r="BA80" s="212"/>
    </row>
    <row r="81" spans="1:54" ht="15" customHeight="1" x14ac:dyDescent="0.25">
      <c r="A81" s="554"/>
      <c r="B81" s="555"/>
      <c r="C81" s="555"/>
      <c r="D81" s="205"/>
      <c r="E81" s="205"/>
      <c r="F81" s="206"/>
      <c r="G81" s="206"/>
      <c r="H81" s="206" t="s">
        <v>68</v>
      </c>
      <c r="I81" s="604">
        <f>I79/I16</f>
        <v>352.47134132653059</v>
      </c>
      <c r="J81" s="201"/>
      <c r="K81" s="213" t="e">
        <f>K79/K16</f>
        <v>#DIV/0!</v>
      </c>
      <c r="L81" s="208"/>
      <c r="M81" s="213" t="e">
        <f>M79/M16</f>
        <v>#REF!</v>
      </c>
      <c r="O81" s="213" t="e">
        <f>O79/O16</f>
        <v>#REF!</v>
      </c>
      <c r="Q81" s="213" t="e">
        <f>Q79/Q16</f>
        <v>#REF!</v>
      </c>
      <c r="R81" s="208"/>
      <c r="S81" s="213" t="e">
        <f>S79/S16</f>
        <v>#REF!</v>
      </c>
      <c r="U81" s="209"/>
      <c r="W81" s="213" t="e">
        <f>W79/W16</f>
        <v>#REF!</v>
      </c>
      <c r="Y81" s="213" t="e">
        <f>Y79/Y16</f>
        <v>#REF!</v>
      </c>
      <c r="Z81" s="210"/>
      <c r="AA81" s="15"/>
      <c r="AC81" s="213" t="e">
        <f>AC79/AC16</f>
        <v>#REF!</v>
      </c>
      <c r="AE81" s="213" t="e">
        <f>AE79/AE16</f>
        <v>#REF!</v>
      </c>
      <c r="AG81" s="213" t="e">
        <f>AG79/AG16</f>
        <v>#REF!</v>
      </c>
      <c r="AI81" s="213" t="e">
        <f>AI79/AI16</f>
        <v>#REF!</v>
      </c>
      <c r="AK81" s="213" t="e">
        <f>AK79/AK16</f>
        <v>#REF!</v>
      </c>
      <c r="AM81" s="213" t="e">
        <f>AM79/AM16</f>
        <v>#REF!</v>
      </c>
      <c r="AO81" s="213" t="e">
        <f>AO79/AO16</f>
        <v>#REF!</v>
      </c>
      <c r="AQ81" s="213" t="e">
        <f>AQ79/AQ16</f>
        <v>#REF!</v>
      </c>
      <c r="AS81" s="213" t="e">
        <f>AS79/AS16</f>
        <v>#REF!</v>
      </c>
      <c r="AT81" s="210"/>
      <c r="AU81" s="213" t="e">
        <f>AU79/AU16</f>
        <v>#REF!</v>
      </c>
      <c r="AW81" s="213" t="e">
        <f>AW79/AW16</f>
        <v>#REF!</v>
      </c>
      <c r="AY81" s="213" t="e">
        <f>AY79/AY16</f>
        <v>#REF!</v>
      </c>
      <c r="AZ81" s="137"/>
      <c r="BA81" s="212"/>
    </row>
    <row r="82" spans="1:54" s="127" customFormat="1" ht="15" customHeight="1" x14ac:dyDescent="0.25">
      <c r="A82" s="214"/>
      <c r="B82" s="127">
        <v>3.1</v>
      </c>
      <c r="C82" s="127" t="s">
        <v>69</v>
      </c>
      <c r="F82" s="215"/>
      <c r="G82" s="193"/>
      <c r="H82" s="193"/>
      <c r="I82" s="216"/>
      <c r="J82" s="201"/>
      <c r="K82" s="216"/>
      <c r="L82" s="192"/>
      <c r="M82" s="216"/>
      <c r="O82" s="191"/>
      <c r="Q82" s="191"/>
      <c r="R82" s="192"/>
      <c r="S82" s="191"/>
      <c r="U82" s="191"/>
      <c r="W82" s="191"/>
      <c r="Y82" s="191"/>
      <c r="Z82" s="193"/>
      <c r="AA82" s="15"/>
      <c r="AC82" s="216"/>
      <c r="AE82" s="191"/>
      <c r="AG82" s="191"/>
      <c r="AI82" s="191"/>
      <c r="AK82" s="191"/>
      <c r="AM82" s="191"/>
      <c r="AO82" s="191"/>
      <c r="AP82" s="142"/>
      <c r="AQ82" s="191"/>
      <c r="AS82" s="191"/>
      <c r="AT82" s="193"/>
      <c r="AU82" s="191"/>
      <c r="AW82" s="191"/>
      <c r="AY82" s="126"/>
      <c r="AZ82" s="137"/>
      <c r="BA82" s="1"/>
    </row>
    <row r="83" spans="1:54" s="127" customFormat="1" ht="15" customHeight="1" x14ac:dyDescent="0.25">
      <c r="A83" s="214"/>
      <c r="C83" s="127" t="s">
        <v>70</v>
      </c>
      <c r="F83" s="598">
        <v>300</v>
      </c>
      <c r="G83" s="193"/>
      <c r="H83" s="193"/>
      <c r="I83" s="600">
        <f>$F83*I16</f>
        <v>88200000</v>
      </c>
      <c r="J83" s="201"/>
      <c r="K83" s="217">
        <f>$F83*K16</f>
        <v>0</v>
      </c>
      <c r="L83" s="192"/>
      <c r="M83" s="217"/>
      <c r="O83" s="191"/>
      <c r="Q83" s="191"/>
      <c r="R83" s="192"/>
      <c r="S83" s="217" t="e">
        <f>$F83*(#REF!*#REF!)</f>
        <v>#REF!</v>
      </c>
      <c r="U83" s="191"/>
      <c r="W83" s="191"/>
      <c r="Y83" s="191"/>
      <c r="Z83" s="193"/>
      <c r="AA83" s="15"/>
      <c r="AC83" s="217" t="e">
        <f>$F83*AC16</f>
        <v>#REF!</v>
      </c>
      <c r="AE83" s="217" t="e">
        <f>$F83*AE16</f>
        <v>#REF!</v>
      </c>
      <c r="AG83" s="217" t="e">
        <f>$F83*AG16</f>
        <v>#REF!</v>
      </c>
      <c r="AI83" s="217" t="e">
        <f>$F83*AI16</f>
        <v>#REF!</v>
      </c>
      <c r="AK83" s="217" t="e">
        <f>$F83*AK16</f>
        <v>#REF!</v>
      </c>
      <c r="AM83" s="217" t="e">
        <f>$F83*AM16</f>
        <v>#REF!</v>
      </c>
      <c r="AO83" s="217" t="e">
        <f>$F83*AO16</f>
        <v>#REF!</v>
      </c>
      <c r="AP83" s="142"/>
      <c r="AQ83" s="217" t="e">
        <f>$F83*AQ16</f>
        <v>#REF!</v>
      </c>
      <c r="AS83" s="191"/>
      <c r="AT83" s="193"/>
      <c r="AU83" s="217" t="e">
        <f>$F83*AU16</f>
        <v>#REF!</v>
      </c>
      <c r="AW83" s="191"/>
      <c r="AY83" s="126" t="e">
        <f>SUM(I83:AW83)</f>
        <v>#REF!</v>
      </c>
      <c r="AZ83" s="137"/>
      <c r="BA83" s="1"/>
    </row>
    <row r="84" spans="1:54" s="127" customFormat="1" ht="15" customHeight="1" x14ac:dyDescent="0.25">
      <c r="A84" s="214"/>
      <c r="C84" s="127" t="s">
        <v>71</v>
      </c>
      <c r="F84" s="598">
        <v>200</v>
      </c>
      <c r="G84" s="193"/>
      <c r="H84" s="193"/>
      <c r="I84" s="605"/>
      <c r="J84" s="201"/>
      <c r="K84" s="216"/>
      <c r="L84" s="192"/>
      <c r="M84" s="217" t="e">
        <f>$F84*M16</f>
        <v>#REF!</v>
      </c>
      <c r="O84" s="217" t="e">
        <f>$F84*O16</f>
        <v>#REF!</v>
      </c>
      <c r="Q84" s="191"/>
      <c r="R84" s="192"/>
      <c r="S84" s="191"/>
      <c r="U84" s="191"/>
      <c r="W84" s="191"/>
      <c r="Y84" s="191"/>
      <c r="Z84" s="193"/>
      <c r="AA84" s="15"/>
      <c r="AC84" s="216"/>
      <c r="AE84" s="191"/>
      <c r="AG84" s="191"/>
      <c r="AI84" s="191"/>
      <c r="AK84" s="191"/>
      <c r="AM84" s="191"/>
      <c r="AO84" s="191"/>
      <c r="AP84" s="142"/>
      <c r="AQ84" s="191"/>
      <c r="AS84" s="191"/>
      <c r="AT84" s="193"/>
      <c r="AU84" s="191"/>
      <c r="AW84" s="191"/>
      <c r="AY84" s="126" t="e">
        <f>SUM(I84:AW84)</f>
        <v>#REF!</v>
      </c>
      <c r="AZ84" s="137"/>
      <c r="BA84" s="1"/>
    </row>
    <row r="85" spans="1:54" s="127" customFormat="1" ht="15" customHeight="1" x14ac:dyDescent="0.25">
      <c r="A85" s="214"/>
      <c r="C85" s="127" t="s">
        <v>72</v>
      </c>
      <c r="F85" s="598">
        <v>180</v>
      </c>
      <c r="G85" s="193"/>
      <c r="H85" s="193"/>
      <c r="I85" s="605"/>
      <c r="J85" s="201"/>
      <c r="K85" s="216"/>
      <c r="L85" s="192"/>
      <c r="M85" s="216"/>
      <c r="O85" s="218"/>
      <c r="Q85" s="217" t="e">
        <f>$F85*Q16</f>
        <v>#REF!</v>
      </c>
      <c r="R85" s="192"/>
      <c r="S85" s="217" t="e">
        <f>$F85*(#REF!*#REF!)</f>
        <v>#REF!</v>
      </c>
      <c r="U85" s="191"/>
      <c r="W85" s="217" t="e">
        <f>$F85*W16</f>
        <v>#REF!</v>
      </c>
      <c r="Y85" s="217" t="e">
        <f>$F85*Y16</f>
        <v>#REF!</v>
      </c>
      <c r="Z85" s="193"/>
      <c r="AA85" s="15"/>
      <c r="AC85" s="216"/>
      <c r="AE85" s="191"/>
      <c r="AG85" s="191"/>
      <c r="AI85" s="191"/>
      <c r="AK85" s="191"/>
      <c r="AM85" s="191"/>
      <c r="AO85" s="191"/>
      <c r="AP85" s="142"/>
      <c r="AQ85" s="191"/>
      <c r="AS85" s="191"/>
      <c r="AT85" s="193"/>
      <c r="AU85" s="191"/>
      <c r="AW85" s="217" t="e">
        <f>$F85*AW16</f>
        <v>#REF!</v>
      </c>
      <c r="AY85" s="126" t="e">
        <f>SUM(I85:AW85)</f>
        <v>#REF!</v>
      </c>
      <c r="AZ85" s="137"/>
      <c r="BA85" s="1"/>
    </row>
    <row r="86" spans="1:54" s="127" customFormat="1" ht="15" customHeight="1" x14ac:dyDescent="0.25">
      <c r="A86" s="214"/>
      <c r="F86" s="621"/>
      <c r="G86" s="193"/>
      <c r="H86" s="193"/>
      <c r="I86" s="605"/>
      <c r="J86" s="201"/>
      <c r="K86" s="216"/>
      <c r="L86" s="192"/>
      <c r="M86" s="216"/>
      <c r="O86" s="218"/>
      <c r="Q86" s="217"/>
      <c r="R86" s="192"/>
      <c r="S86" s="217"/>
      <c r="U86" s="191"/>
      <c r="W86" s="217"/>
      <c r="Y86" s="217"/>
      <c r="Z86" s="193"/>
      <c r="AA86" s="15"/>
      <c r="AC86" s="216"/>
      <c r="AE86" s="191"/>
      <c r="AG86" s="191"/>
      <c r="AI86" s="191"/>
      <c r="AK86" s="191"/>
      <c r="AM86" s="191"/>
      <c r="AO86" s="191"/>
      <c r="AP86" s="142"/>
      <c r="AQ86" s="191"/>
      <c r="AS86" s="191"/>
      <c r="AT86" s="193"/>
      <c r="AU86" s="191"/>
      <c r="AW86" s="217"/>
      <c r="AY86" s="126"/>
      <c r="AZ86" s="137"/>
      <c r="BA86" s="1"/>
    </row>
    <row r="87" spans="1:54" s="127" customFormat="1" ht="15" customHeight="1" x14ac:dyDescent="0.25">
      <c r="A87" s="214"/>
      <c r="C87" s="127" t="s">
        <v>530</v>
      </c>
      <c r="F87" s="621"/>
      <c r="G87" s="193"/>
      <c r="H87" s="193"/>
      <c r="I87" s="605"/>
      <c r="J87" s="201"/>
      <c r="K87" s="216"/>
      <c r="L87" s="192"/>
      <c r="M87" s="216"/>
      <c r="O87" s="218"/>
      <c r="Q87" s="217"/>
      <c r="R87" s="192"/>
      <c r="S87" s="217"/>
      <c r="U87" s="191"/>
      <c r="W87" s="217"/>
      <c r="Y87" s="217"/>
      <c r="Z87" s="193"/>
      <c r="AA87" s="15"/>
      <c r="AC87" s="216"/>
      <c r="AE87" s="191"/>
      <c r="AG87" s="191"/>
      <c r="AI87" s="191"/>
      <c r="AK87" s="191"/>
      <c r="AM87" s="191"/>
      <c r="AO87" s="191"/>
      <c r="AP87" s="142"/>
      <c r="AQ87" s="191"/>
      <c r="AS87" s="191"/>
      <c r="AT87" s="193"/>
      <c r="AU87" s="191"/>
      <c r="AW87" s="217"/>
      <c r="AY87" s="126"/>
      <c r="AZ87" s="137"/>
      <c r="BA87" s="1"/>
    </row>
    <row r="88" spans="1:54" s="127" customFormat="1" ht="15" customHeight="1" x14ac:dyDescent="0.25">
      <c r="A88" s="214"/>
      <c r="C88" s="127" t="s">
        <v>529</v>
      </c>
      <c r="F88" s="598"/>
      <c r="G88" s="193" t="s">
        <v>522</v>
      </c>
      <c r="H88" s="193"/>
      <c r="I88" s="605"/>
      <c r="J88" s="201"/>
      <c r="K88" s="216"/>
      <c r="L88" s="192"/>
      <c r="M88" s="216"/>
      <c r="O88" s="218"/>
      <c r="Q88" s="217"/>
      <c r="R88" s="192"/>
      <c r="S88" s="217"/>
      <c r="U88" s="191"/>
      <c r="W88" s="217"/>
      <c r="Y88" s="217"/>
      <c r="Z88" s="193"/>
      <c r="AA88" s="15"/>
      <c r="AC88" s="216"/>
      <c r="AE88" s="191"/>
      <c r="AG88" s="191"/>
      <c r="AI88" s="191"/>
      <c r="AK88" s="191"/>
      <c r="AM88" s="191"/>
      <c r="AO88" s="191"/>
      <c r="AP88" s="142"/>
      <c r="AQ88" s="191"/>
      <c r="AS88" s="191"/>
      <c r="AT88" s="193"/>
      <c r="AU88" s="191"/>
      <c r="AW88" s="217"/>
      <c r="AY88" s="126"/>
      <c r="AZ88" s="137"/>
      <c r="BA88" s="1"/>
    </row>
    <row r="89" spans="1:54" s="127" customFormat="1" ht="15" customHeight="1" x14ac:dyDescent="0.25">
      <c r="A89" s="214"/>
      <c r="C89" s="127" t="s">
        <v>531</v>
      </c>
      <c r="F89" s="598"/>
      <c r="G89" s="193" t="s">
        <v>522</v>
      </c>
      <c r="H89" s="193"/>
      <c r="I89" s="605"/>
      <c r="J89" s="201"/>
      <c r="K89" s="216"/>
      <c r="L89" s="192"/>
      <c r="M89" s="216"/>
      <c r="O89" s="218"/>
      <c r="Q89" s="217"/>
      <c r="R89" s="192"/>
      <c r="S89" s="217"/>
      <c r="U89" s="191"/>
      <c r="W89" s="217"/>
      <c r="Y89" s="217"/>
      <c r="Z89" s="193"/>
      <c r="AA89" s="15"/>
      <c r="AC89" s="216"/>
      <c r="AE89" s="191"/>
      <c r="AG89" s="191"/>
      <c r="AI89" s="191"/>
      <c r="AK89" s="191"/>
      <c r="AM89" s="191"/>
      <c r="AO89" s="191"/>
      <c r="AP89" s="142"/>
      <c r="AQ89" s="191"/>
      <c r="AS89" s="191"/>
      <c r="AT89" s="193"/>
      <c r="AU89" s="191"/>
      <c r="AW89" s="217"/>
      <c r="AY89" s="126"/>
      <c r="AZ89" s="137"/>
      <c r="BA89" s="1"/>
    </row>
    <row r="90" spans="1:54" s="127" customFormat="1" ht="15" customHeight="1" x14ac:dyDescent="0.25">
      <c r="A90" s="214"/>
      <c r="C90" s="144"/>
      <c r="F90" s="612"/>
      <c r="G90" s="193"/>
      <c r="I90" s="600"/>
      <c r="J90" s="201"/>
      <c r="K90" s="191"/>
      <c r="L90" s="192"/>
      <c r="M90" s="191"/>
      <c r="O90" s="218"/>
      <c r="Q90" s="218"/>
      <c r="R90" s="192"/>
      <c r="S90" s="218"/>
      <c r="U90" s="191"/>
      <c r="W90" s="218"/>
      <c r="Y90" s="218"/>
      <c r="Z90" s="193"/>
      <c r="AA90" s="15"/>
      <c r="AC90" s="191"/>
      <c r="AE90" s="191"/>
      <c r="AG90" s="191"/>
      <c r="AI90" s="191"/>
      <c r="AK90" s="191"/>
      <c r="AM90" s="191"/>
      <c r="AO90" s="191"/>
      <c r="AQ90" s="191"/>
      <c r="AS90" s="191"/>
      <c r="AT90" s="193"/>
      <c r="AU90" s="191"/>
      <c r="AW90" s="191"/>
      <c r="AY90" s="126"/>
      <c r="AZ90" s="137"/>
      <c r="BA90" s="1"/>
      <c r="BB90" s="193"/>
    </row>
    <row r="91" spans="1:54" s="127" customFormat="1" ht="15" customHeight="1" x14ac:dyDescent="0.25">
      <c r="A91" s="195"/>
      <c r="B91" s="127">
        <v>3.2</v>
      </c>
      <c r="C91" s="127" t="s">
        <v>73</v>
      </c>
      <c r="F91" s="613">
        <v>700000</v>
      </c>
      <c r="H91" s="220"/>
      <c r="I91" s="600">
        <f>F91*I8</f>
        <v>2056600.0000000002</v>
      </c>
      <c r="J91" s="201"/>
      <c r="K91" s="218">
        <f>H91*K8</f>
        <v>0</v>
      </c>
      <c r="L91" s="221"/>
      <c r="M91" s="218">
        <f>J91*M8</f>
        <v>0</v>
      </c>
      <c r="O91" s="218">
        <f>L91*O8</f>
        <v>0</v>
      </c>
      <c r="Q91" s="218">
        <f>N91*Q8</f>
        <v>0</v>
      </c>
      <c r="R91" s="221"/>
      <c r="S91" s="218">
        <f>P91*S8</f>
        <v>0</v>
      </c>
      <c r="U91" s="218"/>
      <c r="W91" s="218">
        <f>T91*W8</f>
        <v>0</v>
      </c>
      <c r="Y91" s="218">
        <f>V91*Y8</f>
        <v>0</v>
      </c>
      <c r="Z91" s="222"/>
      <c r="AA91" s="15"/>
      <c r="AC91" s="218">
        <f>Z91*AC8</f>
        <v>0</v>
      </c>
      <c r="AE91" s="218">
        <f>AB91*AE8</f>
        <v>0</v>
      </c>
      <c r="AG91" s="218">
        <f>AD91*AG8</f>
        <v>0</v>
      </c>
      <c r="AI91" s="218">
        <f>AF91*AI8</f>
        <v>0</v>
      </c>
      <c r="AK91" s="218">
        <f>AH91*AK8</f>
        <v>0</v>
      </c>
      <c r="AM91" s="218">
        <f>AJ91*AM8</f>
        <v>0</v>
      </c>
      <c r="AO91" s="218">
        <f>AL91*AO8</f>
        <v>0</v>
      </c>
      <c r="AQ91" s="218">
        <f>AN91*AQ8</f>
        <v>0</v>
      </c>
      <c r="AS91" s="218">
        <f>AP91*AS8</f>
        <v>0</v>
      </c>
      <c r="AT91" s="222"/>
      <c r="AU91" s="218">
        <f>AR91*AU8</f>
        <v>0</v>
      </c>
      <c r="AW91" s="218">
        <f>AT91*AW8</f>
        <v>0</v>
      </c>
      <c r="AY91" s="126">
        <f>SUM(I91:AW91)</f>
        <v>2056600.0000000002</v>
      </c>
      <c r="AZ91" s="137"/>
      <c r="BA91" s="1"/>
    </row>
    <row r="92" spans="1:54" s="127" customFormat="1" ht="15" customHeight="1" x14ac:dyDescent="0.25">
      <c r="A92" s="195"/>
      <c r="D92" s="223"/>
      <c r="E92" s="223"/>
      <c r="F92" s="614"/>
      <c r="H92" s="220"/>
      <c r="I92" s="600"/>
      <c r="J92" s="201"/>
      <c r="K92" s="218"/>
      <c r="L92" s="221"/>
      <c r="M92" s="218"/>
      <c r="O92" s="218"/>
      <c r="Q92" s="218"/>
      <c r="R92" s="221"/>
      <c r="S92" s="218"/>
      <c r="U92" s="218"/>
      <c r="W92" s="218"/>
      <c r="Y92" s="218"/>
      <c r="Z92" s="222"/>
      <c r="AA92" s="15"/>
      <c r="AC92" s="218"/>
      <c r="AE92" s="218"/>
      <c r="AG92" s="218"/>
      <c r="AI92" s="218"/>
      <c r="AK92" s="218"/>
      <c r="AM92" s="218"/>
      <c r="AO92" s="218"/>
      <c r="AQ92" s="218"/>
      <c r="AS92" s="218"/>
      <c r="AT92" s="222"/>
      <c r="AU92" s="218"/>
      <c r="AW92" s="218"/>
      <c r="AY92" s="126"/>
      <c r="AZ92" s="137"/>
      <c r="BA92" s="1"/>
    </row>
    <row r="93" spans="1:54" s="127" customFormat="1" ht="15" customHeight="1" x14ac:dyDescent="0.25">
      <c r="A93" s="195"/>
      <c r="B93" s="127">
        <v>3.3</v>
      </c>
      <c r="C93" s="127" t="s">
        <v>74</v>
      </c>
      <c r="F93" s="613">
        <v>125000</v>
      </c>
      <c r="H93" s="220"/>
      <c r="I93" s="600">
        <f>$F$93*I8</f>
        <v>367250</v>
      </c>
      <c r="J93" s="201"/>
      <c r="K93" s="218">
        <f>$F$93*K8</f>
        <v>0</v>
      </c>
      <c r="L93" s="192"/>
      <c r="M93" s="218">
        <f>$F$93*M8</f>
        <v>0</v>
      </c>
      <c r="O93" s="218">
        <f>$F$93*O8</f>
        <v>0</v>
      </c>
      <c r="P93" s="193"/>
      <c r="Q93" s="218">
        <f>$F$93*Q8</f>
        <v>0</v>
      </c>
      <c r="R93" s="192"/>
      <c r="S93" s="218">
        <f>$F$93*S8</f>
        <v>0</v>
      </c>
      <c r="T93" s="193"/>
      <c r="U93" s="191"/>
      <c r="V93" s="193"/>
      <c r="W93" s="218">
        <f>$F$93*W8</f>
        <v>0</v>
      </c>
      <c r="X93" s="193"/>
      <c r="Y93" s="218">
        <f>$F$93*Y8</f>
        <v>0</v>
      </c>
      <c r="Z93" s="193"/>
      <c r="AA93" s="15"/>
      <c r="AB93" s="193"/>
      <c r="AC93" s="218">
        <f>$F$93*AC8</f>
        <v>0</v>
      </c>
      <c r="AD93" s="193"/>
      <c r="AE93" s="218">
        <f>$F$93*AE8</f>
        <v>0</v>
      </c>
      <c r="AF93" s="193"/>
      <c r="AG93" s="218">
        <f>$F$93*AG8</f>
        <v>0</v>
      </c>
      <c r="AH93" s="193"/>
      <c r="AI93" s="218">
        <f>$F$93*AI8</f>
        <v>0</v>
      </c>
      <c r="AJ93" s="193"/>
      <c r="AK93" s="218">
        <f>$F$93*AK8</f>
        <v>0</v>
      </c>
      <c r="AL93" s="193"/>
      <c r="AM93" s="218">
        <f>$F$93*AM8</f>
        <v>0</v>
      </c>
      <c r="AN93" s="193"/>
      <c r="AO93" s="218">
        <f>$F$93*AO8</f>
        <v>0</v>
      </c>
      <c r="AQ93" s="218">
        <f>$F$93*AQ8</f>
        <v>0</v>
      </c>
      <c r="AS93" s="218">
        <f>$F$93*AS8</f>
        <v>0</v>
      </c>
      <c r="AT93" s="222"/>
      <c r="AU93" s="218">
        <f>$F$93*AU8</f>
        <v>0</v>
      </c>
      <c r="AW93" s="218">
        <f>$F$93*AW8</f>
        <v>0</v>
      </c>
      <c r="AY93" s="126">
        <f>SUM(I93:AW93)</f>
        <v>367250</v>
      </c>
      <c r="AZ93" s="137"/>
      <c r="BA93" s="1"/>
    </row>
    <row r="94" spans="1:54" s="127" customFormat="1" ht="15" customHeight="1" x14ac:dyDescent="0.25">
      <c r="A94" s="195"/>
      <c r="F94" s="615"/>
      <c r="H94" s="224"/>
      <c r="I94" s="600"/>
      <c r="J94" s="201"/>
      <c r="K94" s="218"/>
      <c r="L94" s="192"/>
      <c r="M94" s="218"/>
      <c r="O94" s="218"/>
      <c r="P94" s="193"/>
      <c r="Q94" s="218"/>
      <c r="R94" s="192"/>
      <c r="S94" s="218"/>
      <c r="T94" s="193"/>
      <c r="U94" s="191"/>
      <c r="V94" s="193"/>
      <c r="W94" s="218"/>
      <c r="X94" s="193"/>
      <c r="Y94" s="218"/>
      <c r="Z94" s="193"/>
      <c r="AA94" s="15"/>
      <c r="AB94" s="193"/>
      <c r="AC94" s="218"/>
      <c r="AD94" s="193"/>
      <c r="AE94" s="218"/>
      <c r="AF94" s="193"/>
      <c r="AG94" s="191"/>
      <c r="AH94" s="193"/>
      <c r="AI94" s="191"/>
      <c r="AJ94" s="193"/>
      <c r="AK94" s="191"/>
      <c r="AL94" s="193"/>
      <c r="AM94" s="191"/>
      <c r="AN94" s="193"/>
      <c r="AO94" s="191"/>
      <c r="AQ94" s="191"/>
      <c r="AS94" s="191"/>
      <c r="AT94" s="222"/>
      <c r="AU94" s="191"/>
      <c r="AW94" s="191"/>
      <c r="AY94" s="126"/>
      <c r="AZ94" s="137"/>
      <c r="BA94" s="1"/>
    </row>
    <row r="95" spans="1:54" s="127" customFormat="1" ht="15" customHeight="1" x14ac:dyDescent="0.25">
      <c r="A95" s="195"/>
      <c r="B95" s="127">
        <v>3.4</v>
      </c>
      <c r="C95" s="127" t="s">
        <v>75</v>
      </c>
      <c r="D95" s="223"/>
      <c r="F95" s="616">
        <v>1000000</v>
      </c>
      <c r="H95" s="224"/>
      <c r="I95" s="600">
        <f>$F$95*(I8/$AY$8)</f>
        <v>1000000</v>
      </c>
      <c r="J95" s="201"/>
      <c r="K95" s="200">
        <f>$F$95*(K8/$AY$8)</f>
        <v>0</v>
      </c>
      <c r="L95" s="192"/>
      <c r="M95" s="200">
        <f>$F$95*(M8/$AY$8)</f>
        <v>0</v>
      </c>
      <c r="O95" s="200">
        <f>$F$95*(O8/$AY$8)</f>
        <v>0</v>
      </c>
      <c r="P95" s="193"/>
      <c r="Q95" s="200">
        <f>$F$95*(Q8/$AY$8)</f>
        <v>0</v>
      </c>
      <c r="R95" s="192"/>
      <c r="S95" s="200">
        <f>$F$95*(S8/$AY$8)</f>
        <v>0</v>
      </c>
      <c r="T95" s="193"/>
      <c r="U95" s="191"/>
      <c r="V95" s="193"/>
      <c r="W95" s="200">
        <f>$F$95*(W8/$AY$8)</f>
        <v>0</v>
      </c>
      <c r="X95" s="193"/>
      <c r="Y95" s="200">
        <f>$F$95*(Y8/$AY$8)</f>
        <v>0</v>
      </c>
      <c r="Z95" s="193"/>
      <c r="AA95" s="15"/>
      <c r="AB95" s="193"/>
      <c r="AC95" s="200">
        <f>$F$95*(AC8/$AY$8)</f>
        <v>0</v>
      </c>
      <c r="AD95" s="193"/>
      <c r="AE95" s="200">
        <f>$F$95*(AE8/$AY$8)</f>
        <v>0</v>
      </c>
      <c r="AF95" s="193"/>
      <c r="AG95" s="200">
        <f>$F$95*(AG8/$AY$8)</f>
        <v>0</v>
      </c>
      <c r="AH95" s="193"/>
      <c r="AI95" s="200">
        <f>$F$95*(AI8/$AY$8)</f>
        <v>0</v>
      </c>
      <c r="AJ95" s="193"/>
      <c r="AK95" s="200">
        <f>$F$95*(AK8/$AY$8)</f>
        <v>0</v>
      </c>
      <c r="AL95" s="193"/>
      <c r="AM95" s="200">
        <f>$F$95*(AM8/$AY$8)</f>
        <v>0</v>
      </c>
      <c r="AN95" s="193"/>
      <c r="AO95" s="200">
        <f>$F$95*(AO8/$AY$8)</f>
        <v>0</v>
      </c>
      <c r="AQ95" s="200">
        <f>$F$95*(AQ8/$AY$8)</f>
        <v>0</v>
      </c>
      <c r="AS95" s="200">
        <f>$F$95*(AS8/$AY$8)</f>
        <v>0</v>
      </c>
      <c r="AT95" s="222"/>
      <c r="AU95" s="200">
        <f>$F$95*(AU8/$AY$8)</f>
        <v>0</v>
      </c>
      <c r="AW95" s="200">
        <f>$F$95*(AW8/$AY$8)</f>
        <v>0</v>
      </c>
      <c r="AY95" s="126">
        <f>SUM(I95:AW95)</f>
        <v>1000000</v>
      </c>
      <c r="AZ95" s="137"/>
      <c r="BA95" s="1"/>
    </row>
    <row r="96" spans="1:54" s="127" customFormat="1" ht="15" customHeight="1" x14ac:dyDescent="0.25">
      <c r="A96" s="195"/>
      <c r="F96" s="612"/>
      <c r="G96" s="222"/>
      <c r="H96" s="193"/>
      <c r="I96" s="606"/>
      <c r="J96" s="201"/>
      <c r="K96" s="225"/>
      <c r="L96" s="192"/>
      <c r="M96" s="225"/>
      <c r="O96" s="225"/>
      <c r="Q96" s="225"/>
      <c r="R96" s="192"/>
      <c r="S96" s="225"/>
      <c r="U96" s="225"/>
      <c r="W96" s="225"/>
      <c r="Y96" s="225"/>
      <c r="Z96" s="193"/>
      <c r="AA96" s="15"/>
      <c r="AC96" s="225"/>
      <c r="AE96" s="225"/>
      <c r="AG96" s="225"/>
      <c r="AI96" s="225"/>
      <c r="AK96" s="225"/>
      <c r="AM96" s="225"/>
      <c r="AO96" s="225"/>
      <c r="AQ96" s="225"/>
      <c r="AS96" s="225"/>
      <c r="AT96" s="193"/>
      <c r="AU96" s="225"/>
      <c r="AW96" s="225"/>
      <c r="AY96" s="226"/>
      <c r="AZ96" s="137"/>
      <c r="BA96" s="1"/>
    </row>
    <row r="97" spans="1:53" s="227" customFormat="1" ht="15" customHeight="1" x14ac:dyDescent="0.25">
      <c r="A97" s="195"/>
      <c r="C97" s="227" t="s">
        <v>76</v>
      </c>
      <c r="D97" s="228"/>
      <c r="E97" s="228"/>
      <c r="F97" s="617"/>
      <c r="H97" s="215"/>
      <c r="I97" s="229">
        <f>SUM(I82:I96)</f>
        <v>91623850</v>
      </c>
      <c r="J97" s="12"/>
      <c r="K97" s="229">
        <f>SUM(K82:K96)</f>
        <v>0</v>
      </c>
      <c r="L97" s="230"/>
      <c r="M97" s="229" t="e">
        <f>SUM(M82:M96)</f>
        <v>#REF!</v>
      </c>
      <c r="O97" s="229" t="e">
        <f>SUM(O82:O96)</f>
        <v>#REF!</v>
      </c>
      <c r="Q97" s="229" t="e">
        <f>SUM(Q82:Q96)</f>
        <v>#REF!</v>
      </c>
      <c r="R97" s="230"/>
      <c r="S97" s="229" t="e">
        <f>SUM(S82:S96)</f>
        <v>#REF!</v>
      </c>
      <c r="U97" s="229"/>
      <c r="V97" s="231"/>
      <c r="W97" s="229" t="e">
        <f>SUM(W82:W96)</f>
        <v>#REF!</v>
      </c>
      <c r="Y97" s="229" t="e">
        <f>SUM(Y82:Y96)</f>
        <v>#REF!</v>
      </c>
      <c r="Z97" s="215"/>
      <c r="AA97" s="15"/>
      <c r="AC97" s="229" t="e">
        <f>SUM(AC82:AC96)</f>
        <v>#REF!</v>
      </c>
      <c r="AE97" s="229" t="e">
        <f>SUM(AE82:AE96)</f>
        <v>#REF!</v>
      </c>
      <c r="AG97" s="229" t="e">
        <f>SUM(AG82:AG96)</f>
        <v>#REF!</v>
      </c>
      <c r="AI97" s="229" t="e">
        <f>SUM(AI82:AI96)</f>
        <v>#REF!</v>
      </c>
      <c r="AK97" s="229" t="e">
        <f>SUM(AK82:AK96)</f>
        <v>#REF!</v>
      </c>
      <c r="AM97" s="229" t="e">
        <f>SUM(AM82:AM96)</f>
        <v>#REF!</v>
      </c>
      <c r="AO97" s="229" t="e">
        <f>SUM(AO82:AO96)</f>
        <v>#REF!</v>
      </c>
      <c r="AQ97" s="229" t="e">
        <f>SUM(AQ82:AQ96)</f>
        <v>#REF!</v>
      </c>
      <c r="AS97" s="229">
        <f>SUM(AS82:AS96)</f>
        <v>0</v>
      </c>
      <c r="AT97" s="215"/>
      <c r="AU97" s="229" t="e">
        <f>SUM(AU82:AU96)</f>
        <v>#REF!</v>
      </c>
      <c r="AW97" s="229" t="e">
        <f>SUM(AW82:AW96)</f>
        <v>#REF!</v>
      </c>
      <c r="AY97" s="232" t="e">
        <f>SUM(I97:AW97)</f>
        <v>#REF!</v>
      </c>
      <c r="AZ97" s="137"/>
      <c r="BA97" s="233"/>
    </row>
    <row r="98" spans="1:53" s="127" customFormat="1" ht="15" customHeight="1" x14ac:dyDescent="0.25">
      <c r="A98" s="195"/>
      <c r="B98" s="127">
        <v>3.5</v>
      </c>
      <c r="C98" s="127" t="s">
        <v>77</v>
      </c>
      <c r="D98" s="219"/>
      <c r="E98" s="219"/>
      <c r="F98" s="619">
        <v>0.08</v>
      </c>
      <c r="G98" s="127" t="s">
        <v>78</v>
      </c>
      <c r="H98" s="193"/>
      <c r="I98" s="600">
        <f>$F$98*I97</f>
        <v>7329908</v>
      </c>
      <c r="J98" s="11"/>
      <c r="K98" s="191">
        <f>$F$98*K97</f>
        <v>0</v>
      </c>
      <c r="L98" s="192"/>
      <c r="M98" s="191" t="e">
        <f>$F$98*M97</f>
        <v>#REF!</v>
      </c>
      <c r="O98" s="191" t="e">
        <f>$F$98*O97</f>
        <v>#REF!</v>
      </c>
      <c r="Q98" s="191" t="e">
        <f>$F$98*Q97</f>
        <v>#REF!</v>
      </c>
      <c r="R98" s="192"/>
      <c r="S98" s="191" t="e">
        <f>$F$98*S97</f>
        <v>#REF!</v>
      </c>
      <c r="U98" s="191"/>
      <c r="V98" s="234"/>
      <c r="W98" s="191" t="e">
        <f>$F$98*W97</f>
        <v>#REF!</v>
      </c>
      <c r="Y98" s="191" t="e">
        <f>$F$98*Y97</f>
        <v>#REF!</v>
      </c>
      <c r="Z98" s="193"/>
      <c r="AA98" s="15"/>
      <c r="AC98" s="191" t="e">
        <f>$F$98*AC97</f>
        <v>#REF!</v>
      </c>
      <c r="AE98" s="191" t="e">
        <f>$F$98*AE97</f>
        <v>#REF!</v>
      </c>
      <c r="AG98" s="191" t="e">
        <f>$F$98*AG97</f>
        <v>#REF!</v>
      </c>
      <c r="AI98" s="191" t="e">
        <f>$F$98*AI97</f>
        <v>#REF!</v>
      </c>
      <c r="AK98" s="191" t="e">
        <f>$F$98*AK97</f>
        <v>#REF!</v>
      </c>
      <c r="AM98" s="191" t="e">
        <f>$F$98*AM97</f>
        <v>#REF!</v>
      </c>
      <c r="AO98" s="191" t="e">
        <f>$F$98*AO97</f>
        <v>#REF!</v>
      </c>
      <c r="AQ98" s="191" t="e">
        <f>$F$98*AQ97</f>
        <v>#REF!</v>
      </c>
      <c r="AS98" s="191">
        <f>$F$98*AS97</f>
        <v>0</v>
      </c>
      <c r="AT98" s="193"/>
      <c r="AU98" s="191" t="e">
        <f>$F$98*AU97</f>
        <v>#REF!</v>
      </c>
      <c r="AW98" s="191" t="e">
        <f>$F$98*AW97</f>
        <v>#REF!</v>
      </c>
      <c r="AY98" s="126" t="e">
        <f>SUM(I98:AW98)</f>
        <v>#REF!</v>
      </c>
      <c r="AZ98" s="137"/>
      <c r="BA98" s="1"/>
    </row>
    <row r="99" spans="1:53" s="127" customFormat="1" ht="15" customHeight="1" x14ac:dyDescent="0.25">
      <c r="A99" s="195"/>
      <c r="B99" s="127">
        <v>3.6</v>
      </c>
      <c r="C99" s="127" t="s">
        <v>79</v>
      </c>
      <c r="F99" s="619">
        <v>0.05</v>
      </c>
      <c r="G99" s="127" t="s">
        <v>78</v>
      </c>
      <c r="H99" s="235"/>
      <c r="I99" s="600">
        <f>$F$99*I97</f>
        <v>4581192.5</v>
      </c>
      <c r="J99" s="198"/>
      <c r="K99" s="218">
        <f>$F$99*K97</f>
        <v>0</v>
      </c>
      <c r="L99" s="221"/>
      <c r="M99" s="218" t="e">
        <f>$F$99*M97</f>
        <v>#REF!</v>
      </c>
      <c r="O99" s="218" t="e">
        <f>$F$99*O97</f>
        <v>#REF!</v>
      </c>
      <c r="Q99" s="218" t="e">
        <f>$F$99*Q97</f>
        <v>#REF!</v>
      </c>
      <c r="R99" s="221"/>
      <c r="S99" s="218" t="e">
        <f>$F$99*S97</f>
        <v>#REF!</v>
      </c>
      <c r="U99" s="191"/>
      <c r="W99" s="218" t="e">
        <f>$F$99*W97</f>
        <v>#REF!</v>
      </c>
      <c r="Y99" s="218" t="e">
        <f>$F$99*Y97</f>
        <v>#REF!</v>
      </c>
      <c r="Z99" s="222"/>
      <c r="AA99" s="15"/>
      <c r="AC99" s="218" t="e">
        <f>$F$99*AC97</f>
        <v>#REF!</v>
      </c>
      <c r="AE99" s="218" t="e">
        <f>$F$99*AE97</f>
        <v>#REF!</v>
      </c>
      <c r="AG99" s="218" t="e">
        <f>$F$99*AG97</f>
        <v>#REF!</v>
      </c>
      <c r="AH99" s="193"/>
      <c r="AI99" s="218" t="e">
        <f>$F$99*AI97</f>
        <v>#REF!</v>
      </c>
      <c r="AJ99" s="193"/>
      <c r="AK99" s="218" t="e">
        <f>$F$99*AK97</f>
        <v>#REF!</v>
      </c>
      <c r="AL99" s="193"/>
      <c r="AM99" s="218" t="e">
        <f>$F$99*AM97</f>
        <v>#REF!</v>
      </c>
      <c r="AN99" s="193"/>
      <c r="AO99" s="218" t="e">
        <f>$F$99*AO97</f>
        <v>#REF!</v>
      </c>
      <c r="AP99" s="193"/>
      <c r="AQ99" s="218" t="e">
        <f>$F$99*AQ97</f>
        <v>#REF!</v>
      </c>
      <c r="AR99" s="193"/>
      <c r="AS99" s="218">
        <f>$F$99*AS97</f>
        <v>0</v>
      </c>
      <c r="AT99" s="193"/>
      <c r="AU99" s="218" t="e">
        <f>$F$99*AU97</f>
        <v>#REF!</v>
      </c>
      <c r="AV99" s="193"/>
      <c r="AW99" s="218" t="e">
        <f>$F$99*AW97</f>
        <v>#REF!</v>
      </c>
      <c r="AX99" s="193"/>
      <c r="AY99" s="126" t="e">
        <f>SUM(I99:AW99)</f>
        <v>#REF!</v>
      </c>
      <c r="AZ99" s="137"/>
      <c r="BA99" s="1"/>
    </row>
    <row r="100" spans="1:53" ht="15" customHeight="1" x14ac:dyDescent="0.25">
      <c r="A100" s="202"/>
      <c r="B100" s="127">
        <v>3.7</v>
      </c>
      <c r="C100" s="236" t="s">
        <v>80</v>
      </c>
      <c r="E100" s="21" t="s">
        <v>81</v>
      </c>
      <c r="F100" s="619">
        <v>0.06</v>
      </c>
      <c r="G100" s="127" t="s">
        <v>78</v>
      </c>
      <c r="H100" s="67"/>
      <c r="I100" s="607"/>
      <c r="J100" s="198"/>
      <c r="K100" s="237"/>
      <c r="L100" s="170"/>
      <c r="M100" s="172"/>
      <c r="O100" s="172"/>
      <c r="Q100" s="172" t="e">
        <f>$F$100*Q97</f>
        <v>#REF!</v>
      </c>
      <c r="R100" s="170"/>
      <c r="S100" s="172" t="e">
        <f>$F$100*S85</f>
        <v>#REF!</v>
      </c>
      <c r="U100" s="172"/>
      <c r="W100" s="172" t="e">
        <f>$F$100*W97</f>
        <v>#REF!</v>
      </c>
      <c r="Y100" s="172" t="e">
        <f>$F$100*Y97</f>
        <v>#REF!</v>
      </c>
      <c r="Z100" s="67"/>
      <c r="AA100" s="15"/>
      <c r="AC100" s="237"/>
      <c r="AD100" s="238"/>
      <c r="AE100" s="237"/>
      <c r="AG100" s="172"/>
      <c r="AI100" s="172"/>
      <c r="AK100" s="172"/>
      <c r="AM100" s="172"/>
      <c r="AO100" s="172"/>
      <c r="AQ100" s="172"/>
      <c r="AS100" s="172"/>
      <c r="AT100" s="67"/>
      <c r="AU100" s="172"/>
      <c r="AW100" s="172" t="e">
        <f>$F$100*AW97</f>
        <v>#REF!</v>
      </c>
      <c r="AY100" s="126" t="e">
        <f>SUM(I100:AW100)</f>
        <v>#REF!</v>
      </c>
      <c r="AZ100" s="137"/>
      <c r="BA100" s="1"/>
    </row>
    <row r="101" spans="1:53" ht="15" customHeight="1" x14ac:dyDescent="0.25">
      <c r="A101" s="202"/>
      <c r="B101" s="127">
        <v>3.8</v>
      </c>
      <c r="C101" s="236" t="s">
        <v>532</v>
      </c>
      <c r="E101" s="21"/>
      <c r="F101" s="619">
        <v>1E-3</v>
      </c>
      <c r="G101" s="127" t="s">
        <v>78</v>
      </c>
      <c r="H101" s="67"/>
      <c r="I101" s="623">
        <f>F101*I97</f>
        <v>91623.85</v>
      </c>
      <c r="J101" s="198"/>
      <c r="K101" s="237"/>
      <c r="L101" s="170"/>
      <c r="M101" s="172"/>
      <c r="O101" s="172"/>
      <c r="Q101" s="172"/>
      <c r="R101" s="170"/>
      <c r="S101" s="172"/>
      <c r="U101" s="172"/>
      <c r="W101" s="172"/>
      <c r="Y101" s="172"/>
      <c r="Z101" s="67"/>
      <c r="AA101" s="15"/>
      <c r="AC101" s="237"/>
      <c r="AD101" s="238"/>
      <c r="AE101" s="237"/>
      <c r="AG101" s="172"/>
      <c r="AI101" s="172"/>
      <c r="AK101" s="172"/>
      <c r="AM101" s="172"/>
      <c r="AO101" s="172"/>
      <c r="AQ101" s="172"/>
      <c r="AS101" s="172"/>
      <c r="AT101" s="67"/>
      <c r="AU101" s="172"/>
      <c r="AW101" s="172"/>
      <c r="AY101" s="126"/>
      <c r="AZ101" s="137"/>
      <c r="BA101" s="1"/>
    </row>
    <row r="102" spans="1:53" ht="15" customHeight="1" x14ac:dyDescent="0.25">
      <c r="A102" s="202"/>
      <c r="B102" s="127"/>
      <c r="C102" s="236"/>
      <c r="E102" s="21"/>
      <c r="F102" s="622"/>
      <c r="G102" s="127"/>
      <c r="H102" s="67"/>
      <c r="I102" s="607"/>
      <c r="J102" s="198"/>
      <c r="K102" s="237"/>
      <c r="L102" s="170"/>
      <c r="M102" s="172"/>
      <c r="O102" s="172"/>
      <c r="Q102" s="172"/>
      <c r="R102" s="170"/>
      <c r="S102" s="172"/>
      <c r="U102" s="172"/>
      <c r="W102" s="172"/>
      <c r="Y102" s="172"/>
      <c r="Z102" s="67"/>
      <c r="AA102" s="15"/>
      <c r="AC102" s="237"/>
      <c r="AD102" s="238"/>
      <c r="AE102" s="237"/>
      <c r="AG102" s="172"/>
      <c r="AI102" s="172"/>
      <c r="AK102" s="172"/>
      <c r="AM102" s="172"/>
      <c r="AO102" s="172"/>
      <c r="AQ102" s="172"/>
      <c r="AS102" s="172"/>
      <c r="AT102" s="67"/>
      <c r="AU102" s="172"/>
      <c r="AW102" s="172"/>
      <c r="AY102" s="126"/>
      <c r="AZ102" s="137"/>
      <c r="BA102" s="1"/>
    </row>
    <row r="103" spans="1:53" s="11" customFormat="1" ht="15" customHeight="1" x14ac:dyDescent="0.25">
      <c r="A103" s="5">
        <v>4</v>
      </c>
      <c r="B103" s="239" t="s">
        <v>82</v>
      </c>
      <c r="C103" s="239"/>
      <c r="D103" s="240"/>
      <c r="E103" s="240"/>
      <c r="F103" s="241"/>
      <c r="G103" s="242"/>
      <c r="H103" s="243"/>
      <c r="I103" s="244">
        <f>SUM(I104:I105)</f>
        <v>420000</v>
      </c>
      <c r="J103" s="198"/>
      <c r="K103" s="244" t="e">
        <f>SUM(K104:K105)</f>
        <v>#REF!</v>
      </c>
      <c r="L103" s="136"/>
      <c r="M103" s="244" t="e">
        <f>SUM(M104:M105)</f>
        <v>#REF!</v>
      </c>
      <c r="O103" s="244" t="e">
        <f>SUM(O104:O105)</f>
        <v>#REF!</v>
      </c>
      <c r="Q103" s="244">
        <f>SUM(Q104:Q105)</f>
        <v>0</v>
      </c>
      <c r="R103" s="136"/>
      <c r="S103" s="244" t="e">
        <f>SUM(S104:S105)</f>
        <v>#REF!</v>
      </c>
      <c r="U103" s="245"/>
      <c r="W103" s="244" t="e">
        <f>SUM(W104:W105)</f>
        <v>#REF!</v>
      </c>
      <c r="Y103" s="244" t="e">
        <f>SUM(Y104:Y105)</f>
        <v>#REF!</v>
      </c>
      <c r="Z103" s="137"/>
      <c r="AA103" s="15"/>
      <c r="AC103" s="244" t="e">
        <f>SUM(AC104:AC105)</f>
        <v>#REF!</v>
      </c>
      <c r="AE103" s="244" t="e">
        <f>SUM(AE104:AE105)</f>
        <v>#REF!</v>
      </c>
      <c r="AG103" s="244" t="e">
        <f>SUM(AG104:AG105)</f>
        <v>#REF!</v>
      </c>
      <c r="AI103" s="244" t="e">
        <f>SUM(AI104:AI105)</f>
        <v>#REF!</v>
      </c>
      <c r="AK103" s="244" t="e">
        <f>SUM(AK104:AK105)</f>
        <v>#REF!</v>
      </c>
      <c r="AM103" s="244" t="e">
        <f>SUM(AM104:AM105)</f>
        <v>#REF!</v>
      </c>
      <c r="AO103" s="244" t="e">
        <f>SUM(AO104:AO105)</f>
        <v>#REF!</v>
      </c>
      <c r="AQ103" s="244" t="e">
        <f>SUM(AQ104:AQ105)</f>
        <v>#REF!</v>
      </c>
      <c r="AS103" s="244">
        <f>SUM(AS104:AS105)</f>
        <v>0</v>
      </c>
      <c r="AT103" s="137"/>
      <c r="AU103" s="244" t="e">
        <f>SUM(AU104:AU105)</f>
        <v>#REF!</v>
      </c>
      <c r="AW103" s="244" t="e">
        <f>SUM(AW104:AW105)</f>
        <v>#REF!</v>
      </c>
      <c r="AY103" s="244" t="e">
        <f>SUM(AY104:AY105)</f>
        <v>#REF!</v>
      </c>
      <c r="AZ103" s="137"/>
      <c r="BA103" s="1"/>
    </row>
    <row r="104" spans="1:53" s="11" customFormat="1" ht="15" customHeight="1" x14ac:dyDescent="0.25">
      <c r="A104" s="202"/>
      <c r="B104" s="12"/>
      <c r="C104" s="12"/>
      <c r="D104" s="246"/>
      <c r="E104" s="246"/>
      <c r="F104" s="247"/>
      <c r="G104" s="248">
        <v>5000</v>
      </c>
      <c r="H104" s="249"/>
      <c r="I104" s="611">
        <f>$G$104*I11</f>
        <v>420000</v>
      </c>
      <c r="J104" s="198"/>
      <c r="K104" s="139" t="e">
        <f>$G$104*K11</f>
        <v>#REF!</v>
      </c>
      <c r="L104" s="136"/>
      <c r="M104" s="139" t="e">
        <f>$G$104*M11</f>
        <v>#REF!</v>
      </c>
      <c r="O104" s="139" t="e">
        <f>$G$104*O11</f>
        <v>#REF!</v>
      </c>
      <c r="Q104" s="139">
        <f>$G$104*Q11</f>
        <v>0</v>
      </c>
      <c r="R104" s="136"/>
      <c r="S104" s="139" t="e">
        <f>$G$104*S11</f>
        <v>#REF!</v>
      </c>
      <c r="U104" s="139"/>
      <c r="W104" s="139" t="e">
        <f>$G$104*W11</f>
        <v>#REF!</v>
      </c>
      <c r="Y104" s="139" t="e">
        <f>$G$104*Y11</f>
        <v>#REF!</v>
      </c>
      <c r="Z104" s="137"/>
      <c r="AA104" s="15"/>
      <c r="AC104" s="139" t="e">
        <f>$G$104*AC11</f>
        <v>#REF!</v>
      </c>
      <c r="AE104" s="139" t="e">
        <f>$G$104*AE11</f>
        <v>#REF!</v>
      </c>
      <c r="AG104" s="139" t="e">
        <f>$G$104*AG11</f>
        <v>#REF!</v>
      </c>
      <c r="AI104" s="139" t="e">
        <f>$G$104*AI11</f>
        <v>#REF!</v>
      </c>
      <c r="AK104" s="139" t="e">
        <f>$G$104*AK11</f>
        <v>#REF!</v>
      </c>
      <c r="AM104" s="139" t="e">
        <f>$G$104*AM11</f>
        <v>#REF!</v>
      </c>
      <c r="AO104" s="139" t="e">
        <f>$G$104*AO11</f>
        <v>#REF!</v>
      </c>
      <c r="AQ104" s="139" t="e">
        <f>$G$104*AQ11</f>
        <v>#REF!</v>
      </c>
      <c r="AS104" s="139">
        <f>$G$104*AS11</f>
        <v>0</v>
      </c>
      <c r="AT104" s="137"/>
      <c r="AU104" s="139" t="e">
        <f>$G$104*AU11</f>
        <v>#REF!</v>
      </c>
      <c r="AW104" s="139" t="e">
        <f>$G$104*AW11</f>
        <v>#REF!</v>
      </c>
      <c r="AY104" s="126" t="e">
        <f>SUM(I104:AW104)</f>
        <v>#REF!</v>
      </c>
      <c r="AZ104" s="137"/>
      <c r="BA104" s="1"/>
    </row>
    <row r="105" spans="1:53" s="11" customFormat="1" ht="15" customHeight="1" x14ac:dyDescent="0.25">
      <c r="A105" s="202"/>
      <c r="B105" s="12"/>
      <c r="C105" s="12"/>
      <c r="D105" s="246"/>
      <c r="E105" s="246"/>
      <c r="G105" s="248"/>
      <c r="H105" s="249"/>
      <c r="I105" s="139"/>
      <c r="J105" s="198"/>
      <c r="K105" s="139"/>
      <c r="L105" s="136"/>
      <c r="M105" s="139"/>
      <c r="O105" s="139"/>
      <c r="Q105" s="139"/>
      <c r="R105" s="136"/>
      <c r="S105" s="139"/>
      <c r="U105" s="139"/>
      <c r="W105" s="139"/>
      <c r="Y105" s="139"/>
      <c r="Z105" s="137"/>
      <c r="AA105" s="15"/>
      <c r="AC105" s="139"/>
      <c r="AE105" s="139"/>
      <c r="AG105" s="139"/>
      <c r="AI105" s="139"/>
      <c r="AK105" s="139"/>
      <c r="AM105" s="139"/>
      <c r="AO105" s="139"/>
      <c r="AQ105" s="139"/>
      <c r="AS105" s="139"/>
      <c r="AT105" s="137"/>
      <c r="AU105" s="139"/>
      <c r="AW105" s="139"/>
      <c r="AY105" s="140"/>
      <c r="AZ105" s="137"/>
      <c r="BA105" s="1"/>
    </row>
    <row r="106" spans="1:53" s="11" customFormat="1" ht="15" customHeight="1" x14ac:dyDescent="0.25">
      <c r="A106" s="5">
        <v>5</v>
      </c>
      <c r="B106" s="239" t="s">
        <v>83</v>
      </c>
      <c r="C106" s="250"/>
      <c r="D106" s="251"/>
      <c r="E106" s="251"/>
      <c r="F106" s="241"/>
      <c r="G106" s="242"/>
      <c r="H106" s="252"/>
      <c r="I106" s="244">
        <f>SUM(I107:I108)</f>
        <v>84000</v>
      </c>
      <c r="J106" s="198"/>
      <c r="K106" s="244" t="e">
        <f>SUM(K107:K108)</f>
        <v>#REF!</v>
      </c>
      <c r="L106" s="136"/>
      <c r="M106" s="244" t="e">
        <f>SUM(M107:M108)</f>
        <v>#REF!</v>
      </c>
      <c r="O106" s="244" t="e">
        <f>SUM(O107:O108)</f>
        <v>#REF!</v>
      </c>
      <c r="Q106" s="244">
        <f>SUM(Q107:Q108)</f>
        <v>0</v>
      </c>
      <c r="R106" s="136"/>
      <c r="S106" s="244" t="e">
        <f>SUM(S107:S108)</f>
        <v>#REF!</v>
      </c>
      <c r="U106" s="245"/>
      <c r="W106" s="244" t="e">
        <f>SUM(W107:W108)</f>
        <v>#REF!</v>
      </c>
      <c r="Y106" s="244" t="e">
        <f>SUM(Y107:Y108)</f>
        <v>#REF!</v>
      </c>
      <c r="Z106" s="137"/>
      <c r="AA106" s="15"/>
      <c r="AC106" s="244" t="e">
        <f>SUM(AC107:AC108)</f>
        <v>#REF!</v>
      </c>
      <c r="AE106" s="244" t="e">
        <f>SUM(AE107:AE108)</f>
        <v>#REF!</v>
      </c>
      <c r="AG106" s="244" t="e">
        <f>SUM(AG107:AG108)</f>
        <v>#REF!</v>
      </c>
      <c r="AI106" s="244" t="e">
        <f>SUM(AI107:AI108)</f>
        <v>#REF!</v>
      </c>
      <c r="AK106" s="244" t="e">
        <f>SUM(AK107:AK108)</f>
        <v>#REF!</v>
      </c>
      <c r="AM106" s="244" t="e">
        <f>SUM(AM107:AM108)</f>
        <v>#REF!</v>
      </c>
      <c r="AO106" s="244" t="e">
        <f>SUM(AO107:AO108)</f>
        <v>#REF!</v>
      </c>
      <c r="AQ106" s="244" t="e">
        <f>SUM(AQ107:AQ108)</f>
        <v>#REF!</v>
      </c>
      <c r="AS106" s="244">
        <f>SUM(AS107:AS108)</f>
        <v>0</v>
      </c>
      <c r="AT106" s="137"/>
      <c r="AU106" s="244" t="e">
        <f>SUM(AU107:AU108)</f>
        <v>#REF!</v>
      </c>
      <c r="AW106" s="244" t="e">
        <f>SUM(AW107:AW108)</f>
        <v>#REF!</v>
      </c>
      <c r="AY106" s="244" t="e">
        <f>SUM(AY107:AY108)</f>
        <v>#REF!</v>
      </c>
      <c r="AZ106" s="137"/>
      <c r="BA106" s="1"/>
    </row>
    <row r="107" spans="1:53" s="11" customFormat="1" ht="15" customHeight="1" x14ac:dyDescent="0.25">
      <c r="A107" s="202"/>
      <c r="B107" s="12"/>
      <c r="D107" s="95"/>
      <c r="E107" s="95"/>
      <c r="F107" s="247"/>
      <c r="G107" s="248">
        <v>1000</v>
      </c>
      <c r="H107" s="253"/>
      <c r="I107" s="611">
        <f>$G$107*I11</f>
        <v>84000</v>
      </c>
      <c r="J107" s="198"/>
      <c r="K107" s="139" t="e">
        <f>$G$107*K11</f>
        <v>#REF!</v>
      </c>
      <c r="L107" s="136"/>
      <c r="M107" s="139" t="e">
        <f>$G$107*M11</f>
        <v>#REF!</v>
      </c>
      <c r="O107" s="139" t="e">
        <f>$G$107*O11</f>
        <v>#REF!</v>
      </c>
      <c r="Q107" s="139">
        <f>$G$107*Q11</f>
        <v>0</v>
      </c>
      <c r="R107" s="136"/>
      <c r="S107" s="139" t="e">
        <f>$G$107*S11</f>
        <v>#REF!</v>
      </c>
      <c r="U107" s="254"/>
      <c r="W107" s="139" t="e">
        <f>$G$107*W11</f>
        <v>#REF!</v>
      </c>
      <c r="Y107" s="139" t="e">
        <f>$G$107*Y11</f>
        <v>#REF!</v>
      </c>
      <c r="Z107" s="137"/>
      <c r="AA107" s="15"/>
      <c r="AC107" s="139" t="e">
        <f>$G$107*AC11</f>
        <v>#REF!</v>
      </c>
      <c r="AE107" s="139" t="e">
        <f>$G$107*AE11</f>
        <v>#REF!</v>
      </c>
      <c r="AG107" s="139" t="e">
        <f>$G$107*AG11</f>
        <v>#REF!</v>
      </c>
      <c r="AI107" s="139" t="e">
        <f>$G$107*AI11</f>
        <v>#REF!</v>
      </c>
      <c r="AK107" s="139" t="e">
        <f>$G$107*AK11</f>
        <v>#REF!</v>
      </c>
      <c r="AM107" s="139" t="e">
        <f>$G$107*AM11</f>
        <v>#REF!</v>
      </c>
      <c r="AO107" s="139" t="e">
        <f>$G$107*AO11</f>
        <v>#REF!</v>
      </c>
      <c r="AQ107" s="139" t="e">
        <f>$G$107*AQ11</f>
        <v>#REF!</v>
      </c>
      <c r="AS107" s="139">
        <f>$G$107*AS11</f>
        <v>0</v>
      </c>
      <c r="AT107" s="137"/>
      <c r="AU107" s="139" t="e">
        <f>$G$107*AU11</f>
        <v>#REF!</v>
      </c>
      <c r="AW107" s="139" t="e">
        <f>$G$107*AW11</f>
        <v>#REF!</v>
      </c>
      <c r="AY107" s="126" t="e">
        <f>SUM(I107:AW107)</f>
        <v>#REF!</v>
      </c>
      <c r="AZ107" s="137"/>
      <c r="BA107" s="1"/>
    </row>
    <row r="108" spans="1:53" s="11" customFormat="1" ht="15" customHeight="1" x14ac:dyDescent="0.25">
      <c r="A108" s="202"/>
      <c r="B108" s="12"/>
      <c r="C108" s="12"/>
      <c r="D108" s="246"/>
      <c r="E108" s="246"/>
      <c r="H108" s="255"/>
      <c r="I108" s="139"/>
      <c r="J108" s="198"/>
      <c r="K108" s="139"/>
      <c r="L108" s="136"/>
      <c r="M108" s="139"/>
      <c r="O108" s="139"/>
      <c r="Q108" s="139"/>
      <c r="R108" s="136"/>
      <c r="S108" s="139"/>
      <c r="U108" s="139"/>
      <c r="W108" s="139"/>
      <c r="Y108" s="139"/>
      <c r="Z108" s="137"/>
      <c r="AA108" s="15"/>
      <c r="AC108" s="139"/>
      <c r="AE108" s="139"/>
      <c r="AG108" s="139"/>
      <c r="AI108" s="139"/>
      <c r="AK108" s="139"/>
      <c r="AM108" s="139"/>
      <c r="AO108" s="139"/>
      <c r="AQ108" s="139"/>
      <c r="AS108" s="139"/>
      <c r="AT108" s="137"/>
      <c r="AU108" s="139"/>
      <c r="AW108" s="139"/>
      <c r="AY108" s="140"/>
      <c r="AZ108" s="137"/>
      <c r="BA108" s="1"/>
    </row>
    <row r="109" spans="1:53" s="11" customFormat="1" ht="15" customHeight="1" x14ac:dyDescent="0.25">
      <c r="A109" s="5">
        <v>6</v>
      </c>
      <c r="B109" s="239" t="s">
        <v>84</v>
      </c>
      <c r="C109" s="239"/>
      <c r="D109" s="250"/>
      <c r="E109" s="250"/>
      <c r="F109" s="250"/>
      <c r="G109" s="250"/>
      <c r="H109" s="250"/>
      <c r="I109" s="244">
        <f>SUM(I110:I117)</f>
        <v>4301628</v>
      </c>
      <c r="J109" s="198"/>
      <c r="K109" s="244" t="e">
        <f>SUM(K110:K117)</f>
        <v>#REF!</v>
      </c>
      <c r="L109" s="136"/>
      <c r="M109" s="244" t="e">
        <f>SUM(M110:M117)</f>
        <v>#REF!</v>
      </c>
      <c r="O109" s="244" t="e">
        <f>SUM(O110:O117)</f>
        <v>#REF!</v>
      </c>
      <c r="Q109" s="244">
        <f>SUM(Q110:Q117)</f>
        <v>0</v>
      </c>
      <c r="R109" s="136"/>
      <c r="S109" s="244" t="e">
        <f>SUM(S110:S117)</f>
        <v>#REF!</v>
      </c>
      <c r="U109" s="256"/>
      <c r="W109" s="244" t="e">
        <f>SUM(W110:W117)</f>
        <v>#REF!</v>
      </c>
      <c r="Y109" s="244" t="e">
        <f>SUM(Y110:Y117)</f>
        <v>#REF!</v>
      </c>
      <c r="Z109" s="137"/>
      <c r="AA109" s="15"/>
      <c r="AC109" s="244" t="e">
        <f>SUM(AC110:AC117)</f>
        <v>#REF!</v>
      </c>
      <c r="AE109" s="244" t="e">
        <f>SUM(AE110:AE117)</f>
        <v>#REF!</v>
      </c>
      <c r="AG109" s="244" t="e">
        <f>SUM(AG110:AG117)</f>
        <v>#REF!</v>
      </c>
      <c r="AI109" s="244" t="e">
        <f>SUM(AI110:AI117)</f>
        <v>#REF!</v>
      </c>
      <c r="AK109" s="244" t="e">
        <f>SUM(AK110:AK117)</f>
        <v>#REF!</v>
      </c>
      <c r="AM109" s="244" t="e">
        <f>SUM(AM110:AM117)</f>
        <v>#REF!</v>
      </c>
      <c r="AO109" s="244" t="e">
        <f>SUM(AO110:AO117)</f>
        <v>#REF!</v>
      </c>
      <c r="AQ109" s="244" t="e">
        <f>SUM(AQ110:AQ117)</f>
        <v>#REF!</v>
      </c>
      <c r="AS109" s="244">
        <f>SUM(AS110:AS117)</f>
        <v>0</v>
      </c>
      <c r="AT109" s="137"/>
      <c r="AU109" s="244" t="e">
        <f>SUM(AU110:AU117)</f>
        <v>#REF!</v>
      </c>
      <c r="AW109" s="244" t="e">
        <f>SUM(AW110:AW117)</f>
        <v>#REF!</v>
      </c>
      <c r="AY109" s="257" t="e">
        <f>SUM(AY110:AY117)</f>
        <v>#REF!</v>
      </c>
      <c r="AZ109" s="137"/>
      <c r="BA109" s="1"/>
    </row>
    <row r="110" spans="1:53" ht="15" customHeight="1" x14ac:dyDescent="0.25">
      <c r="A110" s="258"/>
      <c r="B110" s="127">
        <v>9.1</v>
      </c>
      <c r="C110" s="127" t="s">
        <v>85</v>
      </c>
      <c r="F110" s="619">
        <v>0.01</v>
      </c>
      <c r="G110" s="127" t="s">
        <v>54</v>
      </c>
      <c r="H110" s="127"/>
      <c r="I110" s="191">
        <f>$F$110*I61</f>
        <v>1764000</v>
      </c>
      <c r="J110" s="11"/>
      <c r="K110" s="191" t="e">
        <f>$F$110*K61</f>
        <v>#REF!</v>
      </c>
      <c r="L110" s="192"/>
      <c r="M110" s="191">
        <f>$F$110*M61</f>
        <v>0</v>
      </c>
      <c r="O110" s="191">
        <f>$F$110*O61</f>
        <v>0</v>
      </c>
      <c r="Q110" s="191">
        <f>$F$110*Q61</f>
        <v>0</v>
      </c>
      <c r="R110" s="192"/>
      <c r="S110" s="191">
        <f>$F$110*S61</f>
        <v>0</v>
      </c>
      <c r="U110" s="191"/>
      <c r="W110" s="191">
        <f>+W61*$F110</f>
        <v>0</v>
      </c>
      <c r="Y110" s="191">
        <f>+Y61*$F110</f>
        <v>0</v>
      </c>
      <c r="Z110" s="193"/>
      <c r="AA110" s="15"/>
      <c r="AC110" s="191">
        <f>+AC61*$F110</f>
        <v>0</v>
      </c>
      <c r="AE110" s="191">
        <f>+AE61*$F110</f>
        <v>0</v>
      </c>
      <c r="AG110" s="191">
        <f>+AG61*$F110</f>
        <v>0</v>
      </c>
      <c r="AI110" s="191">
        <f>+AI61*$F110</f>
        <v>0</v>
      </c>
      <c r="AK110" s="191">
        <f>+AK61*$F110</f>
        <v>0</v>
      </c>
      <c r="AM110" s="191">
        <f>+AM61*$F110</f>
        <v>0</v>
      </c>
      <c r="AO110" s="191">
        <f>+AO61*$F110</f>
        <v>0</v>
      </c>
      <c r="AQ110" s="191">
        <f>+AQ61*$F110</f>
        <v>0</v>
      </c>
      <c r="AS110" s="191">
        <f>+AS61*$F110</f>
        <v>0</v>
      </c>
      <c r="AT110" s="193"/>
      <c r="AU110" s="191">
        <f>+AU61*$F110</f>
        <v>0</v>
      </c>
      <c r="AW110" s="191">
        <f>+AW61*$F110</f>
        <v>0</v>
      </c>
      <c r="AY110" s="126" t="e">
        <f t="shared" ref="AY110:AY117" si="1">SUM(I110:AW110)</f>
        <v>#REF!</v>
      </c>
      <c r="AZ110" s="77"/>
      <c r="BA110" s="1"/>
    </row>
    <row r="111" spans="1:53" ht="15" customHeight="1" x14ac:dyDescent="0.25">
      <c r="A111" s="258"/>
      <c r="B111" s="127">
        <f>B110+0.1</f>
        <v>9.1999999999999993</v>
      </c>
      <c r="C111" s="127" t="s">
        <v>86</v>
      </c>
      <c r="F111" s="619">
        <v>2.5000000000000001E-3</v>
      </c>
      <c r="G111" s="127" t="s">
        <v>54</v>
      </c>
      <c r="H111" s="127"/>
      <c r="I111" s="191">
        <f>$F$111*I61</f>
        <v>441000</v>
      </c>
      <c r="J111" s="259"/>
      <c r="K111" s="191" t="e">
        <f>$F$111*K61</f>
        <v>#REF!</v>
      </c>
      <c r="L111" s="192"/>
      <c r="M111" s="191">
        <f>$F$111*M61</f>
        <v>0</v>
      </c>
      <c r="O111" s="191">
        <f>$F$111*O61</f>
        <v>0</v>
      </c>
      <c r="Q111" s="191">
        <f>$F$111*Q61</f>
        <v>0</v>
      </c>
      <c r="R111" s="192"/>
      <c r="S111" s="191">
        <f>$F$111*S61</f>
        <v>0</v>
      </c>
      <c r="U111" s="191"/>
      <c r="W111" s="191">
        <f>$F$111*W61</f>
        <v>0</v>
      </c>
      <c r="Y111" s="191">
        <f>$F$111*Y61</f>
        <v>0</v>
      </c>
      <c r="Z111" s="193"/>
      <c r="AA111" s="15"/>
      <c r="AC111" s="191">
        <f>$F$111*AC61</f>
        <v>0</v>
      </c>
      <c r="AE111" s="191">
        <f>$F$111*AE61</f>
        <v>0</v>
      </c>
      <c r="AG111" s="191">
        <f>$F$111*AG61</f>
        <v>0</v>
      </c>
      <c r="AI111" s="191">
        <f>$F$111*AI61</f>
        <v>0</v>
      </c>
      <c r="AK111" s="191">
        <f>$F$111*AK61</f>
        <v>0</v>
      </c>
      <c r="AM111" s="191">
        <f>$F$111*AM61</f>
        <v>0</v>
      </c>
      <c r="AO111" s="191">
        <f>$F$111*AO61</f>
        <v>0</v>
      </c>
      <c r="AQ111" s="191">
        <f>$F$111*AQ61</f>
        <v>0</v>
      </c>
      <c r="AS111" s="191">
        <f>$F$111*AS61</f>
        <v>0</v>
      </c>
      <c r="AT111" s="193"/>
      <c r="AU111" s="191">
        <f>$F$111*AU61</f>
        <v>0</v>
      </c>
      <c r="AW111" s="191">
        <f>$F$111*AW61</f>
        <v>0</v>
      </c>
      <c r="AY111" s="126" t="e">
        <f t="shared" si="1"/>
        <v>#REF!</v>
      </c>
      <c r="AZ111" s="137"/>
      <c r="BA111" s="1"/>
    </row>
    <row r="112" spans="1:53" ht="15" customHeight="1" x14ac:dyDescent="0.25">
      <c r="A112" s="258"/>
      <c r="B112" s="127">
        <f>B111+0.1</f>
        <v>9.2999999999999989</v>
      </c>
      <c r="C112" s="127" t="s">
        <v>87</v>
      </c>
      <c r="F112" s="619">
        <v>0.01</v>
      </c>
      <c r="G112" s="127" t="s">
        <v>54</v>
      </c>
      <c r="H112" s="235"/>
      <c r="I112" s="191">
        <f>$F$112*I61</f>
        <v>1764000</v>
      </c>
      <c r="J112" s="198"/>
      <c r="K112" s="191" t="e">
        <f>$F$112*K61</f>
        <v>#REF!</v>
      </c>
      <c r="L112" s="192"/>
      <c r="M112" s="191">
        <f>$F$112*M61</f>
        <v>0</v>
      </c>
      <c r="O112" s="191">
        <f>$F$112*O61</f>
        <v>0</v>
      </c>
      <c r="Q112" s="191">
        <f>$F$112*Q61</f>
        <v>0</v>
      </c>
      <c r="R112" s="192"/>
      <c r="S112" s="191">
        <f>$F$112*S61</f>
        <v>0</v>
      </c>
      <c r="U112" s="191"/>
      <c r="W112" s="191">
        <f>$F$112*W61</f>
        <v>0</v>
      </c>
      <c r="Y112" s="191">
        <f>$F$112*Y61</f>
        <v>0</v>
      </c>
      <c r="Z112" s="193"/>
      <c r="AA112" s="15"/>
      <c r="AC112" s="191">
        <f>$F$112*AC61</f>
        <v>0</v>
      </c>
      <c r="AE112" s="191">
        <f>$F$112*AE61</f>
        <v>0</v>
      </c>
      <c r="AG112" s="191">
        <f>$F$112*AG61</f>
        <v>0</v>
      </c>
      <c r="AI112" s="191">
        <f>$F$112*AI61</f>
        <v>0</v>
      </c>
      <c r="AK112" s="191">
        <f>$F$112*AK61</f>
        <v>0</v>
      </c>
      <c r="AM112" s="191">
        <f>$F$112*AM61</f>
        <v>0</v>
      </c>
      <c r="AO112" s="191">
        <f>$F$112*AO61</f>
        <v>0</v>
      </c>
      <c r="AQ112" s="191">
        <f>$F$112*AQ61</f>
        <v>0</v>
      </c>
      <c r="AS112" s="191">
        <f>$F$112*AS61</f>
        <v>0</v>
      </c>
      <c r="AT112" s="193"/>
      <c r="AU112" s="191">
        <f>$F$112*AU61</f>
        <v>0</v>
      </c>
      <c r="AW112" s="191">
        <f>$F$112*AW61</f>
        <v>0</v>
      </c>
      <c r="AY112" s="126" t="e">
        <f t="shared" si="1"/>
        <v>#REF!</v>
      </c>
      <c r="AZ112" s="137"/>
      <c r="BA112" s="1"/>
    </row>
    <row r="113" spans="1:53" ht="15" customHeight="1" x14ac:dyDescent="0.25">
      <c r="A113" s="258"/>
      <c r="B113" s="127">
        <f>B112+0.1</f>
        <v>9.3999999999999986</v>
      </c>
      <c r="C113" s="127" t="s">
        <v>88</v>
      </c>
      <c r="F113" s="616">
        <v>1750</v>
      </c>
      <c r="G113" s="127" t="s">
        <v>89</v>
      </c>
      <c r="I113" s="191">
        <f>$F$113*I11</f>
        <v>147000</v>
      </c>
      <c r="J113" s="198"/>
      <c r="K113" s="191" t="e">
        <f>$F$113*K11</f>
        <v>#REF!</v>
      </c>
      <c r="L113" s="192"/>
      <c r="M113" s="191" t="e">
        <f>$F$113*M11</f>
        <v>#REF!</v>
      </c>
      <c r="O113" s="191" t="e">
        <f>$F$113*O11</f>
        <v>#REF!</v>
      </c>
      <c r="Q113" s="191">
        <f>$F$113*Q11</f>
        <v>0</v>
      </c>
      <c r="R113" s="192"/>
      <c r="S113" s="191" t="e">
        <f>$F$113*S11</f>
        <v>#REF!</v>
      </c>
      <c r="U113" s="260"/>
      <c r="W113" s="191" t="e">
        <f>$F$113*W11</f>
        <v>#REF!</v>
      </c>
      <c r="Y113" s="191" t="e">
        <f>$F$113*Y11</f>
        <v>#REF!</v>
      </c>
      <c r="Z113" s="193"/>
      <c r="AA113" s="15"/>
      <c r="AC113" s="191" t="e">
        <f>$F$113*AC11</f>
        <v>#REF!</v>
      </c>
      <c r="AE113" s="191" t="e">
        <f>$F$113*AE11</f>
        <v>#REF!</v>
      </c>
      <c r="AG113" s="191" t="e">
        <f>$F$113*AG11</f>
        <v>#REF!</v>
      </c>
      <c r="AI113" s="191" t="e">
        <f>$F$113*AI11</f>
        <v>#REF!</v>
      </c>
      <c r="AK113" s="191" t="e">
        <f>$F$113*AK11</f>
        <v>#REF!</v>
      </c>
      <c r="AM113" s="191" t="e">
        <f>$F$113*AM11</f>
        <v>#REF!</v>
      </c>
      <c r="AO113" s="191" t="e">
        <f>$F$113*AO11</f>
        <v>#REF!</v>
      </c>
      <c r="AQ113" s="191" t="e">
        <f>$F$113*AQ11</f>
        <v>#REF!</v>
      </c>
      <c r="AS113" s="191">
        <f>$F$113*AS11</f>
        <v>0</v>
      </c>
      <c r="AT113" s="193"/>
      <c r="AU113" s="191" t="e">
        <f>$F$113*AU11</f>
        <v>#REF!</v>
      </c>
      <c r="AW113" s="191" t="e">
        <f>$F$113*AW11</f>
        <v>#REF!</v>
      </c>
      <c r="AY113" s="126" t="e">
        <f t="shared" si="1"/>
        <v>#REF!</v>
      </c>
      <c r="AZ113" s="137"/>
      <c r="BA113" s="1"/>
    </row>
    <row r="114" spans="1:53" ht="15" customHeight="1" x14ac:dyDescent="0.25">
      <c r="A114" s="258"/>
      <c r="B114" s="127">
        <v>9.5</v>
      </c>
      <c r="C114" s="127" t="s">
        <v>90</v>
      </c>
      <c r="F114" s="616">
        <v>2000</v>
      </c>
      <c r="G114" s="127" t="s">
        <v>89</v>
      </c>
      <c r="I114" s="191">
        <f>$F$114*I11</f>
        <v>168000</v>
      </c>
      <c r="J114" s="198"/>
      <c r="K114" s="191" t="e">
        <f>$F$114*K11</f>
        <v>#REF!</v>
      </c>
      <c r="L114" s="192"/>
      <c r="M114" s="191" t="e">
        <f>$F$114*M11</f>
        <v>#REF!</v>
      </c>
      <c r="O114" s="191" t="e">
        <f>$F$114*O11</f>
        <v>#REF!</v>
      </c>
      <c r="Q114" s="191">
        <f>$F$114*Q11</f>
        <v>0</v>
      </c>
      <c r="R114" s="192"/>
      <c r="S114" s="191" t="e">
        <f>$F$114*S11</f>
        <v>#REF!</v>
      </c>
      <c r="U114" s="260"/>
      <c r="W114" s="191" t="e">
        <f>$F$114*W11</f>
        <v>#REF!</v>
      </c>
      <c r="Y114" s="191" t="e">
        <f>$F$114*Y11</f>
        <v>#REF!</v>
      </c>
      <c r="Z114" s="193"/>
      <c r="AA114" s="15"/>
      <c r="AC114" s="191" t="e">
        <f>$F$114*AC11</f>
        <v>#REF!</v>
      </c>
      <c r="AE114" s="191" t="e">
        <f>$F$114*AE11</f>
        <v>#REF!</v>
      </c>
      <c r="AG114" s="191" t="e">
        <f>$F$114*AG11</f>
        <v>#REF!</v>
      </c>
      <c r="AI114" s="191" t="e">
        <f>$F$114*AI11</f>
        <v>#REF!</v>
      </c>
      <c r="AK114" s="191" t="e">
        <f>$F$114*AK11</f>
        <v>#REF!</v>
      </c>
      <c r="AM114" s="191" t="e">
        <f>$F$114*AM11</f>
        <v>#REF!</v>
      </c>
      <c r="AO114" s="191" t="e">
        <f>$F$114*AO11</f>
        <v>#REF!</v>
      </c>
      <c r="AQ114" s="191" t="e">
        <f>$F$114*AQ11</f>
        <v>#REF!</v>
      </c>
      <c r="AS114" s="191">
        <f>$F$114*AS11</f>
        <v>0</v>
      </c>
      <c r="AT114" s="193"/>
      <c r="AU114" s="191" t="e">
        <f>$F$114*AU11</f>
        <v>#REF!</v>
      </c>
      <c r="AW114" s="191" t="e">
        <f>$F$114*AW11</f>
        <v>#REF!</v>
      </c>
      <c r="AY114" s="191" t="e">
        <f t="shared" si="1"/>
        <v>#REF!</v>
      </c>
      <c r="AZ114" s="77"/>
      <c r="BA114" s="1"/>
    </row>
    <row r="115" spans="1:53" ht="15" customHeight="1" x14ac:dyDescent="0.25">
      <c r="A115" s="258"/>
      <c r="B115" s="127">
        <v>9.6</v>
      </c>
      <c r="C115" s="127" t="s">
        <v>91</v>
      </c>
      <c r="F115" s="616">
        <v>6000</v>
      </c>
      <c r="G115" s="127" t="s">
        <v>92</v>
      </c>
      <c r="I115" s="191">
        <f>$F$115*I8</f>
        <v>17628</v>
      </c>
      <c r="J115" s="198"/>
      <c r="K115" s="191">
        <f>$F$115*K8</f>
        <v>0</v>
      </c>
      <c r="L115" s="192"/>
      <c r="M115" s="191">
        <f>$F$115*M8</f>
        <v>0</v>
      </c>
      <c r="O115" s="191">
        <f>$F$115*O8</f>
        <v>0</v>
      </c>
      <c r="Q115" s="191">
        <f>$F$115*Q8</f>
        <v>0</v>
      </c>
      <c r="R115" s="192"/>
      <c r="S115" s="191">
        <f>$F$115*S8</f>
        <v>0</v>
      </c>
      <c r="U115" s="191"/>
      <c r="W115" s="191">
        <f>$F$115*W8</f>
        <v>0</v>
      </c>
      <c r="Y115" s="191">
        <f>$F$115*Y8</f>
        <v>0</v>
      </c>
      <c r="Z115" s="193"/>
      <c r="AA115" s="15"/>
      <c r="AC115" s="191">
        <f>$F$115*AC8</f>
        <v>0</v>
      </c>
      <c r="AE115" s="191">
        <f>$F$115*AE8</f>
        <v>0</v>
      </c>
      <c r="AG115" s="191">
        <f>$F$115*AG8</f>
        <v>0</v>
      </c>
      <c r="AI115" s="191">
        <f>$F$115*AI8</f>
        <v>0</v>
      </c>
      <c r="AK115" s="191">
        <f>+AK8*$F115</f>
        <v>0</v>
      </c>
      <c r="AM115" s="191">
        <f>+AM8*$F115</f>
        <v>0</v>
      </c>
      <c r="AO115" s="191">
        <f>+AO8*$F115</f>
        <v>0</v>
      </c>
      <c r="AQ115" s="191">
        <f>+AQ8*$F115</f>
        <v>0</v>
      </c>
      <c r="AS115" s="191">
        <f>+AS8*$F115</f>
        <v>0</v>
      </c>
      <c r="AT115" s="193"/>
      <c r="AU115" s="191">
        <f>+AU8*$F115</f>
        <v>0</v>
      </c>
      <c r="AW115" s="191">
        <f>+AW8*$F115</f>
        <v>0</v>
      </c>
      <c r="AY115" s="191">
        <f t="shared" si="1"/>
        <v>17628</v>
      </c>
      <c r="AZ115" s="77"/>
      <c r="BA115" s="1"/>
    </row>
    <row r="116" spans="1:53" ht="15" customHeight="1" x14ac:dyDescent="0.25">
      <c r="A116" s="258"/>
      <c r="B116" s="127">
        <v>9.6999999999999993</v>
      </c>
      <c r="C116" s="127" t="s">
        <v>93</v>
      </c>
      <c r="F116" s="620"/>
      <c r="G116" s="127"/>
      <c r="I116" s="237"/>
      <c r="J116" s="198"/>
      <c r="K116" s="191"/>
      <c r="L116" s="192"/>
      <c r="M116" s="191"/>
      <c r="O116" s="191"/>
      <c r="Q116" s="191"/>
      <c r="R116" s="192"/>
      <c r="S116" s="191"/>
      <c r="U116" s="191"/>
      <c r="W116" s="191"/>
      <c r="Y116" s="191"/>
      <c r="Z116" s="193"/>
      <c r="AA116" s="15"/>
      <c r="AC116" s="191"/>
      <c r="AE116" s="191"/>
      <c r="AG116" s="191"/>
      <c r="AI116" s="191"/>
      <c r="AK116" s="191"/>
      <c r="AM116" s="191"/>
      <c r="AO116" s="191"/>
      <c r="AQ116" s="191"/>
      <c r="AS116" s="191"/>
      <c r="AT116" s="193"/>
      <c r="AU116" s="191"/>
      <c r="AW116" s="191"/>
      <c r="AY116" s="126">
        <f t="shared" si="1"/>
        <v>0</v>
      </c>
      <c r="AZ116" s="137"/>
      <c r="BA116" s="1"/>
    </row>
    <row r="117" spans="1:53" ht="15" customHeight="1" x14ac:dyDescent="0.25">
      <c r="A117" s="258"/>
      <c r="B117" s="127">
        <v>9.8000000000000007</v>
      </c>
      <c r="C117" s="127" t="s">
        <v>94</v>
      </c>
      <c r="F117" s="261"/>
      <c r="G117" s="127"/>
      <c r="I117" s="237"/>
      <c r="J117" s="198"/>
      <c r="K117" s="191"/>
      <c r="L117" s="192"/>
      <c r="M117" s="191"/>
      <c r="O117" s="191"/>
      <c r="Q117" s="191"/>
      <c r="R117" s="192"/>
      <c r="S117" s="191"/>
      <c r="U117" s="191"/>
      <c r="W117" s="191"/>
      <c r="Y117" s="191"/>
      <c r="Z117" s="193"/>
      <c r="AA117" s="15"/>
      <c r="AC117" s="191"/>
      <c r="AE117" s="191"/>
      <c r="AG117" s="191"/>
      <c r="AI117" s="191"/>
      <c r="AK117" s="191"/>
      <c r="AM117" s="191"/>
      <c r="AO117" s="191"/>
      <c r="AQ117" s="191"/>
      <c r="AS117" s="191"/>
      <c r="AT117" s="193"/>
      <c r="AU117" s="191"/>
      <c r="AW117" s="191"/>
      <c r="AY117" s="126">
        <f t="shared" si="1"/>
        <v>0</v>
      </c>
      <c r="AZ117" s="137"/>
      <c r="BA117" s="1"/>
    </row>
    <row r="118" spans="1:53" ht="15" customHeight="1" x14ac:dyDescent="0.25">
      <c r="A118" s="258"/>
      <c r="B118" s="293">
        <v>9.9</v>
      </c>
      <c r="C118" s="127" t="s">
        <v>534</v>
      </c>
      <c r="F118" s="261"/>
      <c r="G118" s="127"/>
      <c r="I118" s="237"/>
      <c r="J118" s="198"/>
      <c r="K118" s="191"/>
      <c r="L118" s="192"/>
      <c r="M118" s="191"/>
      <c r="O118" s="191"/>
      <c r="Q118" s="191"/>
      <c r="R118" s="192"/>
      <c r="S118" s="191"/>
      <c r="U118" s="191"/>
      <c r="W118" s="191"/>
      <c r="Y118" s="191"/>
      <c r="Z118" s="193"/>
      <c r="AA118" s="15"/>
      <c r="AC118" s="191"/>
      <c r="AE118" s="191"/>
      <c r="AG118" s="191"/>
      <c r="AI118" s="191"/>
      <c r="AK118" s="191"/>
      <c r="AM118" s="191"/>
      <c r="AO118" s="191"/>
      <c r="AQ118" s="191"/>
      <c r="AS118" s="191"/>
      <c r="AT118" s="193"/>
      <c r="AU118" s="191"/>
      <c r="AW118" s="191"/>
      <c r="AY118" s="126"/>
      <c r="AZ118" s="137"/>
      <c r="BA118" s="1"/>
    </row>
    <row r="119" spans="1:53" ht="15" customHeight="1" x14ac:dyDescent="0.25">
      <c r="A119" s="258"/>
      <c r="B119" s="624">
        <v>9.1</v>
      </c>
      <c r="C119" s="127" t="s">
        <v>533</v>
      </c>
      <c r="F119" s="261"/>
      <c r="G119" s="127"/>
      <c r="I119" s="237"/>
      <c r="J119" s="198"/>
      <c r="K119" s="191"/>
      <c r="L119" s="192"/>
      <c r="M119" s="191"/>
      <c r="O119" s="191"/>
      <c r="Q119" s="191"/>
      <c r="R119" s="192"/>
      <c r="S119" s="191"/>
      <c r="U119" s="191"/>
      <c r="W119" s="191"/>
      <c r="Y119" s="191"/>
      <c r="Z119" s="193"/>
      <c r="AA119" s="15"/>
      <c r="AC119" s="191"/>
      <c r="AE119" s="191"/>
      <c r="AG119" s="191"/>
      <c r="AI119" s="191"/>
      <c r="AK119" s="191"/>
      <c r="AM119" s="191"/>
      <c r="AO119" s="191"/>
      <c r="AQ119" s="191"/>
      <c r="AS119" s="191"/>
      <c r="AT119" s="193"/>
      <c r="AU119" s="191"/>
      <c r="AW119" s="191"/>
      <c r="AY119" s="126"/>
      <c r="AZ119" s="137"/>
      <c r="BA119" s="1"/>
    </row>
    <row r="120" spans="1:53" ht="15" customHeight="1" x14ac:dyDescent="0.25">
      <c r="A120" s="258"/>
      <c r="B120" s="624">
        <v>9.11</v>
      </c>
      <c r="C120" s="127" t="s">
        <v>535</v>
      </c>
      <c r="F120" s="261"/>
      <c r="G120" s="127"/>
      <c r="I120" s="237"/>
      <c r="J120" s="198"/>
      <c r="K120" s="191"/>
      <c r="L120" s="192"/>
      <c r="M120" s="191"/>
      <c r="O120" s="191"/>
      <c r="Q120" s="191"/>
      <c r="R120" s="192"/>
      <c r="S120" s="191"/>
      <c r="U120" s="191"/>
      <c r="W120" s="191"/>
      <c r="Y120" s="191"/>
      <c r="Z120" s="193"/>
      <c r="AA120" s="15"/>
      <c r="AC120" s="191"/>
      <c r="AE120" s="191"/>
      <c r="AG120" s="191"/>
      <c r="AI120" s="191"/>
      <c r="AK120" s="191"/>
      <c r="AM120" s="191"/>
      <c r="AO120" s="191"/>
      <c r="AQ120" s="191"/>
      <c r="AS120" s="191"/>
      <c r="AT120" s="193"/>
      <c r="AU120" s="191"/>
      <c r="AW120" s="191"/>
      <c r="AY120" s="126"/>
      <c r="AZ120" s="137"/>
      <c r="BA120" s="1"/>
    </row>
    <row r="121" spans="1:53" ht="15" customHeight="1" x14ac:dyDescent="0.25">
      <c r="A121" s="202"/>
      <c r="I121" s="262"/>
      <c r="J121" s="11"/>
      <c r="K121" s="262"/>
      <c r="L121" s="34"/>
      <c r="M121" s="262"/>
      <c r="O121" s="262"/>
      <c r="Q121" s="262"/>
      <c r="R121" s="34"/>
      <c r="S121" s="262"/>
      <c r="U121" s="262"/>
      <c r="W121" s="262"/>
      <c r="Y121" s="262"/>
      <c r="AA121" s="15"/>
      <c r="AC121" s="262"/>
      <c r="AE121" s="262"/>
      <c r="AG121" s="262"/>
      <c r="AI121" s="262"/>
      <c r="AK121" s="262"/>
      <c r="AM121" s="262"/>
      <c r="AO121" s="262"/>
      <c r="AQ121" s="262"/>
      <c r="AS121" s="262"/>
      <c r="AU121" s="262"/>
      <c r="AW121" s="262"/>
      <c r="AY121" s="263"/>
      <c r="AZ121" s="137"/>
      <c r="BA121" s="1"/>
    </row>
    <row r="122" spans="1:53" s="11" customFormat="1" ht="15" customHeight="1" x14ac:dyDescent="0.25">
      <c r="A122" s="5">
        <v>7</v>
      </c>
      <c r="B122" s="239" t="s">
        <v>95</v>
      </c>
      <c r="C122" s="239"/>
      <c r="D122" s="251"/>
      <c r="E122" s="251"/>
      <c r="F122" s="264"/>
      <c r="G122" s="206"/>
      <c r="H122" s="265"/>
      <c r="I122" s="244">
        <f>SUM(I123:I124)</f>
        <v>7253860.2045</v>
      </c>
      <c r="K122" s="244">
        <f>SUM(K123:K124)</f>
        <v>0</v>
      </c>
      <c r="L122" s="136"/>
      <c r="M122" s="244" t="e">
        <f>SUM(M123:M124)</f>
        <v>#REF!</v>
      </c>
      <c r="O122" s="244" t="e">
        <f>SUM(O123:O124)</f>
        <v>#REF!</v>
      </c>
      <c r="Q122" s="244" t="e">
        <f>SUM(Q123:Q124)</f>
        <v>#REF!</v>
      </c>
      <c r="R122" s="136"/>
      <c r="S122" s="244" t="e">
        <f>SUM(S123:S124)</f>
        <v>#REF!</v>
      </c>
      <c r="U122" s="256"/>
      <c r="W122" s="244" t="e">
        <f>SUM(W123:W124)</f>
        <v>#REF!</v>
      </c>
      <c r="Y122" s="244" t="e">
        <f>SUM(Y123:Y124)</f>
        <v>#REF!</v>
      </c>
      <c r="Z122" s="137"/>
      <c r="AA122" s="15"/>
      <c r="AC122" s="244" t="e">
        <f>SUM(AC123:AC124)</f>
        <v>#REF!</v>
      </c>
      <c r="AE122" s="244" t="e">
        <f>SUM(AE123:AE124)</f>
        <v>#REF!</v>
      </c>
      <c r="AG122" s="244" t="e">
        <f>SUM(AG123:AG124)</f>
        <v>#REF!</v>
      </c>
      <c r="AI122" s="244" t="e">
        <f>SUM(AI123:AI124)</f>
        <v>#REF!</v>
      </c>
      <c r="AK122" s="244" t="e">
        <f>SUM(AK123:AK124)</f>
        <v>#REF!</v>
      </c>
      <c r="AM122" s="244" t="e">
        <f>SUM(AM123:AM124)</f>
        <v>#REF!</v>
      </c>
      <c r="AO122" s="244" t="e">
        <f>SUM(AO123:AO124)</f>
        <v>#REF!</v>
      </c>
      <c r="AQ122" s="244" t="e">
        <f>SUM(AQ123:AQ124)</f>
        <v>#REF!</v>
      </c>
      <c r="AS122" s="244">
        <f>SUM(AS123:AS124)</f>
        <v>0</v>
      </c>
      <c r="AT122" s="137"/>
      <c r="AU122" s="244" t="e">
        <f>SUM(AU123:AU124)</f>
        <v>#REF!</v>
      </c>
      <c r="AW122" s="244" t="e">
        <f>SUM(AW123:AW124)</f>
        <v>#REF!</v>
      </c>
      <c r="AY122" s="244" t="e">
        <f>SUM(AY123:AY124)</f>
        <v>#REF!</v>
      </c>
      <c r="AZ122" s="137"/>
      <c r="BA122" s="1"/>
    </row>
    <row r="123" spans="1:53" s="11" customFormat="1" ht="15" customHeight="1" x14ac:dyDescent="0.25">
      <c r="A123" s="88"/>
      <c r="D123" s="95"/>
      <c r="E123" s="95"/>
      <c r="F123" s="626">
        <v>7.0000000000000007E-2</v>
      </c>
      <c r="G123" s="198" t="s">
        <v>96</v>
      </c>
      <c r="H123" s="266"/>
      <c r="I123" s="625">
        <f>$F$123*I79</f>
        <v>7253860.2045</v>
      </c>
      <c r="K123" s="267">
        <f>$F$123*K79</f>
        <v>0</v>
      </c>
      <c r="L123" s="268"/>
      <c r="M123" s="267" t="e">
        <f>$F$123*M79</f>
        <v>#REF!</v>
      </c>
      <c r="O123" s="267" t="e">
        <f>$F$123*O79</f>
        <v>#REF!</v>
      </c>
      <c r="Q123" s="267" t="e">
        <f>$F$123*Q79</f>
        <v>#REF!</v>
      </c>
      <c r="R123" s="268"/>
      <c r="S123" s="267" t="e">
        <f>$F$123*S79</f>
        <v>#REF!</v>
      </c>
      <c r="U123" s="269"/>
      <c r="W123" s="267" t="e">
        <f>$F$123*W79</f>
        <v>#REF!</v>
      </c>
      <c r="Y123" s="267" t="e">
        <f>$F$123*Y79</f>
        <v>#REF!</v>
      </c>
      <c r="Z123" s="77"/>
      <c r="AA123" s="15"/>
      <c r="AC123" s="267" t="e">
        <f>$F$123*AC79</f>
        <v>#REF!</v>
      </c>
      <c r="AE123" s="267" t="e">
        <f>$F$123*AE79</f>
        <v>#REF!</v>
      </c>
      <c r="AG123" s="267" t="e">
        <f>$F$123*AG79</f>
        <v>#REF!</v>
      </c>
      <c r="AI123" s="267" t="e">
        <f>$F$123*AI79</f>
        <v>#REF!</v>
      </c>
      <c r="AK123" s="267" t="e">
        <f>$F$123*AK79</f>
        <v>#REF!</v>
      </c>
      <c r="AM123" s="267" t="e">
        <f>$F$123*AM79</f>
        <v>#REF!</v>
      </c>
      <c r="AO123" s="267" t="e">
        <f>$F$123*AO79</f>
        <v>#REF!</v>
      </c>
      <c r="AQ123" s="267" t="e">
        <f>$F$123*AQ79</f>
        <v>#REF!</v>
      </c>
      <c r="AS123" s="267">
        <f>$F$123*AS79</f>
        <v>0</v>
      </c>
      <c r="AT123" s="77"/>
      <c r="AU123" s="267" t="e">
        <f>$F$123*AU79</f>
        <v>#REF!</v>
      </c>
      <c r="AW123" s="267" t="e">
        <f>$F$123*AW79</f>
        <v>#REF!</v>
      </c>
      <c r="AY123" s="126" t="e">
        <f>SUM(I123:AW123)</f>
        <v>#REF!</v>
      </c>
      <c r="AZ123" s="77"/>
      <c r="BA123" s="1"/>
    </row>
    <row r="124" spans="1:53" s="11" customFormat="1" ht="15" customHeight="1" x14ac:dyDescent="0.25">
      <c r="A124" s="202"/>
      <c r="H124" s="270"/>
      <c r="I124" s="271"/>
      <c r="K124" s="271"/>
      <c r="L124" s="272"/>
      <c r="M124" s="271"/>
      <c r="O124" s="271"/>
      <c r="Q124" s="267"/>
      <c r="R124" s="272"/>
      <c r="S124" s="267"/>
      <c r="U124" s="273"/>
      <c r="W124" s="267"/>
      <c r="Y124" s="267"/>
      <c r="AA124" s="15"/>
      <c r="AC124" s="267"/>
      <c r="AE124" s="267"/>
      <c r="AG124" s="267"/>
      <c r="AI124" s="267"/>
      <c r="AK124" s="267"/>
      <c r="AM124" s="267"/>
      <c r="AO124" s="267"/>
      <c r="AQ124" s="267"/>
      <c r="AS124" s="267"/>
      <c r="AU124" s="267"/>
      <c r="AW124" s="267"/>
      <c r="AY124" s="274"/>
      <c r="AZ124" s="137"/>
      <c r="BA124" s="1"/>
    </row>
    <row r="125" spans="1:53" s="11" customFormat="1" ht="15" customHeight="1" x14ac:dyDescent="0.25">
      <c r="A125" s="5">
        <v>8</v>
      </c>
      <c r="B125" s="239" t="s">
        <v>97</v>
      </c>
      <c r="C125" s="239"/>
      <c r="D125" s="250"/>
      <c r="E125" s="250"/>
      <c r="F125" s="250"/>
      <c r="G125" s="250"/>
      <c r="H125" s="250"/>
      <c r="I125" s="244">
        <f>SUM(I126:I128)</f>
        <v>110000</v>
      </c>
      <c r="K125" s="244">
        <f>SUM(K126:K128)</f>
        <v>0</v>
      </c>
      <c r="L125" s="136"/>
      <c r="M125" s="244">
        <f>SUM(M126:M128)</f>
        <v>0</v>
      </c>
      <c r="O125" s="244">
        <f>SUM(O126:O128)</f>
        <v>0</v>
      </c>
      <c r="Q125" s="244">
        <f>SUM(Q126:Q128)</f>
        <v>0</v>
      </c>
      <c r="R125" s="136"/>
      <c r="S125" s="244">
        <f>SUM(S126:S128)</f>
        <v>0</v>
      </c>
      <c r="U125" s="256"/>
      <c r="W125" s="244">
        <f>SUM(W126:W128)</f>
        <v>0</v>
      </c>
      <c r="Y125" s="244">
        <f>SUM(Y126:Y128)</f>
        <v>0</v>
      </c>
      <c r="Z125" s="137"/>
      <c r="AA125" s="15"/>
      <c r="AC125" s="244">
        <f>SUM(AC126:AC128)</f>
        <v>0</v>
      </c>
      <c r="AE125" s="244">
        <f>SUM(AE126:AE128)</f>
        <v>0</v>
      </c>
      <c r="AG125" s="244">
        <f>SUM(AG126:AG128)</f>
        <v>0</v>
      </c>
      <c r="AI125" s="244">
        <f>SUM(AI126:AI128)</f>
        <v>0</v>
      </c>
      <c r="AK125" s="244">
        <f>SUM(AK126:AK128)</f>
        <v>0</v>
      </c>
      <c r="AM125" s="244">
        <f>SUM(AM126:AM128)</f>
        <v>0</v>
      </c>
      <c r="AO125" s="244">
        <f>SUM(AO126:AO128)</f>
        <v>0</v>
      </c>
      <c r="AQ125" s="244">
        <f>SUM(AQ126:AQ128)</f>
        <v>0</v>
      </c>
      <c r="AS125" s="244">
        <f>SUM(AS126:AS128)</f>
        <v>0</v>
      </c>
      <c r="AT125" s="137"/>
      <c r="AU125" s="244">
        <f>SUM(AU126:AU128)</f>
        <v>0</v>
      </c>
      <c r="AW125" s="244">
        <f>SUM(AW126:AW128)</f>
        <v>0</v>
      </c>
      <c r="AY125" s="244">
        <f>SUM(AY126:AY128)</f>
        <v>100000</v>
      </c>
      <c r="AZ125" s="137"/>
      <c r="BA125" s="1"/>
    </row>
    <row r="126" spans="1:53" ht="15" customHeight="1" x14ac:dyDescent="0.25">
      <c r="A126" s="258"/>
      <c r="B126" s="127">
        <v>8.1</v>
      </c>
      <c r="C126" s="127" t="s">
        <v>98</v>
      </c>
      <c r="F126" s="275"/>
      <c r="G126" s="127"/>
      <c r="H126" s="127"/>
      <c r="I126" s="191">
        <v>100000</v>
      </c>
      <c r="J126" s="11"/>
      <c r="K126" s="191"/>
      <c r="L126" s="221"/>
      <c r="M126" s="191"/>
      <c r="O126" s="191"/>
      <c r="Q126" s="191"/>
      <c r="R126" s="221"/>
      <c r="S126" s="191"/>
      <c r="U126" s="191"/>
      <c r="W126" s="191"/>
      <c r="Y126" s="191"/>
      <c r="Z126" s="193"/>
      <c r="AA126" s="15"/>
      <c r="AC126" s="191"/>
      <c r="AE126" s="191"/>
      <c r="AG126" s="191"/>
      <c r="AI126" s="191"/>
      <c r="AK126" s="191"/>
      <c r="AM126" s="191"/>
      <c r="AO126" s="191"/>
      <c r="AQ126" s="191"/>
      <c r="AS126" s="191"/>
      <c r="AT126" s="193"/>
      <c r="AU126" s="191"/>
      <c r="AW126" s="191"/>
      <c r="AY126" s="126">
        <f>SUM(I126:AW126)</f>
        <v>100000</v>
      </c>
      <c r="AZ126" s="137"/>
      <c r="BA126" s="1"/>
    </row>
    <row r="127" spans="1:53" ht="15" customHeight="1" x14ac:dyDescent="0.25">
      <c r="A127" s="258"/>
      <c r="B127" s="127">
        <v>8.1999999999999993</v>
      </c>
      <c r="C127" s="127" t="s">
        <v>536</v>
      </c>
      <c r="F127" s="275"/>
      <c r="G127" s="127"/>
      <c r="H127" s="127"/>
      <c r="I127" s="191">
        <v>10000</v>
      </c>
      <c r="J127" s="11"/>
      <c r="K127" s="191"/>
      <c r="L127" s="221"/>
      <c r="M127" s="191"/>
      <c r="O127" s="191"/>
      <c r="Q127" s="191"/>
      <c r="R127" s="221"/>
      <c r="S127" s="191"/>
      <c r="U127" s="191"/>
      <c r="W127" s="191"/>
      <c r="Y127" s="191"/>
      <c r="Z127" s="193"/>
      <c r="AA127" s="15"/>
      <c r="AC127" s="191"/>
      <c r="AE127" s="191"/>
      <c r="AG127" s="191"/>
      <c r="AI127" s="191"/>
      <c r="AK127" s="191"/>
      <c r="AM127" s="191"/>
      <c r="AO127" s="191"/>
      <c r="AQ127" s="191"/>
      <c r="AS127" s="191"/>
      <c r="AT127" s="193"/>
      <c r="AU127" s="191"/>
      <c r="AW127" s="191"/>
      <c r="AY127" s="126"/>
      <c r="AZ127" s="137"/>
      <c r="BA127" s="1"/>
    </row>
    <row r="128" spans="1:53" s="11" customFormat="1" ht="15" customHeight="1" x14ac:dyDescent="0.25">
      <c r="A128" s="202"/>
      <c r="I128" s="267"/>
      <c r="K128" s="267"/>
      <c r="L128" s="272"/>
      <c r="M128" s="267"/>
      <c r="O128" s="267"/>
      <c r="Q128" s="267"/>
      <c r="R128" s="272"/>
      <c r="S128" s="267"/>
      <c r="U128" s="267"/>
      <c r="W128" s="267"/>
      <c r="Y128" s="267"/>
      <c r="AA128" s="15"/>
      <c r="AC128" s="267"/>
      <c r="AE128" s="267"/>
      <c r="AG128" s="267"/>
      <c r="AI128" s="267"/>
      <c r="AK128" s="267"/>
      <c r="AM128" s="267"/>
      <c r="AO128" s="267"/>
      <c r="AQ128" s="267"/>
      <c r="AS128" s="267"/>
      <c r="AU128" s="267"/>
      <c r="AW128" s="267"/>
      <c r="AY128" s="267"/>
      <c r="AZ128" s="137"/>
      <c r="BA128" s="1"/>
    </row>
    <row r="129" spans="1:53" s="11" customFormat="1" ht="15" customHeight="1" x14ac:dyDescent="0.25">
      <c r="A129" s="5">
        <v>9</v>
      </c>
      <c r="B129" s="239" t="s">
        <v>99</v>
      </c>
      <c r="C129" s="250"/>
      <c r="D129" s="250"/>
      <c r="E129" s="250"/>
      <c r="F129" s="264"/>
      <c r="G129" s="206"/>
      <c r="H129" s="276"/>
      <c r="I129" s="244">
        <f>SUM(I130:I131)</f>
        <v>2072531.487</v>
      </c>
      <c r="K129" s="244">
        <f>SUM(K130:K131)</f>
        <v>0</v>
      </c>
      <c r="L129" s="136"/>
      <c r="M129" s="244" t="e">
        <f>SUM(M130:M131)</f>
        <v>#REF!</v>
      </c>
      <c r="O129" s="244" t="e">
        <f>SUM(O130:O131)</f>
        <v>#REF!</v>
      </c>
      <c r="Q129" s="244" t="e">
        <f>SUM(Q130:Q131)</f>
        <v>#REF!</v>
      </c>
      <c r="R129" s="136"/>
      <c r="S129" s="244" t="e">
        <f>SUM(S130:S131)</f>
        <v>#REF!</v>
      </c>
      <c r="U129" s="256"/>
      <c r="W129" s="244" t="e">
        <f>SUM(W130:W131)</f>
        <v>#REF!</v>
      </c>
      <c r="Y129" s="244" t="e">
        <f>SUM(Y130:Y131)</f>
        <v>#REF!</v>
      </c>
      <c r="Z129" s="137"/>
      <c r="AA129" s="15"/>
      <c r="AC129" s="244" t="e">
        <f>SUM(AC130:AC131)</f>
        <v>#REF!</v>
      </c>
      <c r="AE129" s="244" t="e">
        <f>SUM(AE130:AE131)</f>
        <v>#REF!</v>
      </c>
      <c r="AG129" s="244" t="e">
        <f>SUM(AG130:AG131)</f>
        <v>#REF!</v>
      </c>
      <c r="AI129" s="244" t="e">
        <f>SUM(AI130:AI131)</f>
        <v>#REF!</v>
      </c>
      <c r="AK129" s="244" t="e">
        <f>SUM(AK130:AK131)</f>
        <v>#REF!</v>
      </c>
      <c r="AM129" s="244" t="e">
        <f>SUM(AM130:AM131)</f>
        <v>#REF!</v>
      </c>
      <c r="AO129" s="244" t="e">
        <f>SUM(AO130:AO131)</f>
        <v>#REF!</v>
      </c>
      <c r="AQ129" s="244" t="e">
        <f>SUM(AQ130:AQ131)</f>
        <v>#REF!</v>
      </c>
      <c r="AS129" s="244">
        <f>SUM(AS130:AS131)</f>
        <v>0</v>
      </c>
      <c r="AT129" s="137"/>
      <c r="AU129" s="244" t="e">
        <f>SUM(AU130:AU131)</f>
        <v>#REF!</v>
      </c>
      <c r="AW129" s="244" t="e">
        <f>SUM(AW130:AW131)</f>
        <v>#REF!</v>
      </c>
      <c r="AY129" s="244" t="e">
        <f>SUM(AY130:AY131)</f>
        <v>#REF!</v>
      </c>
      <c r="AZ129" s="137"/>
      <c r="BA129" s="1"/>
    </row>
    <row r="130" spans="1:53" s="11" customFormat="1" ht="15" customHeight="1" x14ac:dyDescent="0.25">
      <c r="A130" s="88"/>
      <c r="F130" s="626">
        <v>0.02</v>
      </c>
      <c r="G130" s="198" t="s">
        <v>96</v>
      </c>
      <c r="H130" s="277"/>
      <c r="I130" s="625">
        <f>$F$130*I79</f>
        <v>2072531.487</v>
      </c>
      <c r="K130" s="267">
        <f>$F$130*K79</f>
        <v>0</v>
      </c>
      <c r="L130" s="268"/>
      <c r="M130" s="267" t="e">
        <f>$F$130*M79</f>
        <v>#REF!</v>
      </c>
      <c r="O130" s="267" t="e">
        <f>$F$130*O79</f>
        <v>#REF!</v>
      </c>
      <c r="Q130" s="267" t="e">
        <f>$F$130*Q79</f>
        <v>#REF!</v>
      </c>
      <c r="R130" s="268"/>
      <c r="S130" s="267" t="e">
        <f>$F$130*S79</f>
        <v>#REF!</v>
      </c>
      <c r="U130" s="269"/>
      <c r="W130" s="267" t="e">
        <f>$F$130*W79</f>
        <v>#REF!</v>
      </c>
      <c r="Y130" s="267" t="e">
        <f>$F$130*Y79</f>
        <v>#REF!</v>
      </c>
      <c r="Z130" s="77"/>
      <c r="AA130" s="15"/>
      <c r="AC130" s="267" t="e">
        <f>$F$130*AC79</f>
        <v>#REF!</v>
      </c>
      <c r="AE130" s="267" t="e">
        <f>$F$130*AE79</f>
        <v>#REF!</v>
      </c>
      <c r="AG130" s="267" t="e">
        <f>$F$130*AG79</f>
        <v>#REF!</v>
      </c>
      <c r="AI130" s="267" t="e">
        <f>$F$130*AI79</f>
        <v>#REF!</v>
      </c>
      <c r="AK130" s="267" t="e">
        <f>$F$130*AK79</f>
        <v>#REF!</v>
      </c>
      <c r="AM130" s="267" t="e">
        <f>$F$130*AM79</f>
        <v>#REF!</v>
      </c>
      <c r="AO130" s="267" t="e">
        <f>$F$130*AO79</f>
        <v>#REF!</v>
      </c>
      <c r="AQ130" s="267" t="e">
        <f>$F$130*AQ79</f>
        <v>#REF!</v>
      </c>
      <c r="AS130" s="267">
        <f>$F$130*AS79</f>
        <v>0</v>
      </c>
      <c r="AT130" s="77"/>
      <c r="AU130" s="267" t="e">
        <f>$F$130*AU79</f>
        <v>#REF!</v>
      </c>
      <c r="AW130" s="267" t="e">
        <f>$F$130*AW79</f>
        <v>#REF!</v>
      </c>
      <c r="AY130" s="126" t="e">
        <f>SUM(I130:AW130)</f>
        <v>#REF!</v>
      </c>
      <c r="AZ130" s="77"/>
      <c r="BA130" s="1"/>
    </row>
    <row r="131" spans="1:53" s="11" customFormat="1" ht="12.75" customHeight="1" x14ac:dyDescent="0.25">
      <c r="A131" s="202"/>
      <c r="B131" s="12"/>
      <c r="D131" s="55"/>
      <c r="E131" s="55"/>
      <c r="F131" s="142"/>
      <c r="G131" s="143"/>
      <c r="H131" s="277"/>
      <c r="I131" s="159"/>
      <c r="K131" s="139"/>
      <c r="L131" s="136"/>
      <c r="M131" s="139"/>
      <c r="O131" s="139"/>
      <c r="Q131" s="139"/>
      <c r="R131" s="136"/>
      <c r="S131" s="139"/>
      <c r="U131" s="139"/>
      <c r="W131" s="139"/>
      <c r="Y131" s="139"/>
      <c r="Z131" s="137"/>
      <c r="AA131" s="15"/>
      <c r="AC131" s="139"/>
      <c r="AE131" s="139"/>
      <c r="AG131" s="139"/>
      <c r="AI131" s="139"/>
      <c r="AK131" s="139"/>
      <c r="AM131" s="139"/>
      <c r="AO131" s="139"/>
      <c r="AQ131" s="139"/>
      <c r="AS131" s="139"/>
      <c r="AT131" s="137"/>
      <c r="AU131" s="139"/>
      <c r="AW131" s="139"/>
      <c r="AY131" s="162"/>
      <c r="AZ131" s="137"/>
      <c r="BA131" s="1"/>
    </row>
    <row r="132" spans="1:53" s="11" customFormat="1" ht="15" customHeight="1" x14ac:dyDescent="0.25">
      <c r="A132" s="5">
        <v>10</v>
      </c>
      <c r="B132" s="239" t="s">
        <v>100</v>
      </c>
      <c r="C132" s="250"/>
      <c r="D132" s="278"/>
      <c r="E132" s="278"/>
      <c r="F132" s="279"/>
      <c r="G132" s="280"/>
      <c r="H132" s="281"/>
      <c r="I132" s="244">
        <f>SUM(I133:I134)</f>
        <v>0</v>
      </c>
      <c r="K132" s="244"/>
      <c r="L132" s="136"/>
      <c r="M132" s="244"/>
      <c r="O132" s="244"/>
      <c r="Q132" s="244"/>
      <c r="R132" s="136"/>
      <c r="S132" s="244"/>
      <c r="U132" s="139"/>
      <c r="W132" s="244"/>
      <c r="Y132" s="244"/>
      <c r="Z132" s="137"/>
      <c r="AA132" s="15"/>
      <c r="AC132" s="244"/>
      <c r="AE132" s="244"/>
      <c r="AG132" s="244"/>
      <c r="AI132" s="244"/>
      <c r="AK132" s="244"/>
      <c r="AM132" s="244"/>
      <c r="AO132" s="244"/>
      <c r="AQ132" s="244"/>
      <c r="AS132" s="244"/>
      <c r="AT132" s="137"/>
      <c r="AU132" s="244"/>
      <c r="AW132" s="244"/>
      <c r="AY132" s="257">
        <f>SUM(I132:AT132)-U132</f>
        <v>0</v>
      </c>
      <c r="AZ132" s="137"/>
      <c r="BA132" s="1"/>
    </row>
    <row r="133" spans="1:53" s="629" customFormat="1" ht="15" customHeight="1" x14ac:dyDescent="0.25">
      <c r="A133" s="627"/>
      <c r="B133" s="639">
        <v>10.1</v>
      </c>
      <c r="C133" s="639" t="s">
        <v>537</v>
      </c>
      <c r="D133" s="630"/>
      <c r="E133" s="630"/>
      <c r="F133" s="599">
        <v>0</v>
      </c>
      <c r="G133" s="127" t="s">
        <v>539</v>
      </c>
      <c r="H133" s="633"/>
      <c r="I133" s="634">
        <f>F133*2</f>
        <v>0</v>
      </c>
      <c r="K133" s="634"/>
      <c r="L133" s="635"/>
      <c r="M133" s="634"/>
      <c r="O133" s="634"/>
      <c r="Q133" s="634"/>
      <c r="R133" s="635"/>
      <c r="S133" s="634"/>
      <c r="U133" s="634"/>
      <c r="W133" s="634"/>
      <c r="Y133" s="634"/>
      <c r="Z133" s="636"/>
      <c r="AC133" s="634"/>
      <c r="AE133" s="634"/>
      <c r="AG133" s="634"/>
      <c r="AI133" s="634"/>
      <c r="AK133" s="634"/>
      <c r="AM133" s="634"/>
      <c r="AO133" s="634"/>
      <c r="AQ133" s="634"/>
      <c r="AS133" s="634"/>
      <c r="AT133" s="636"/>
      <c r="AU133" s="634"/>
      <c r="AW133" s="634"/>
      <c r="AY133" s="637"/>
      <c r="AZ133" s="636"/>
      <c r="BA133" s="638"/>
    </row>
    <row r="134" spans="1:53" s="629" customFormat="1" ht="15" customHeight="1" x14ac:dyDescent="0.25">
      <c r="A134" s="627"/>
      <c r="B134" s="639">
        <v>10.199999999999999</v>
      </c>
      <c r="C134" s="639" t="s">
        <v>538</v>
      </c>
      <c r="D134" s="630"/>
      <c r="E134" s="630"/>
      <c r="F134" s="631"/>
      <c r="G134" s="632"/>
      <c r="H134" s="633"/>
      <c r="I134" s="634"/>
      <c r="K134" s="634"/>
      <c r="L134" s="635"/>
      <c r="M134" s="634"/>
      <c r="O134" s="634"/>
      <c r="Q134" s="634"/>
      <c r="R134" s="635"/>
      <c r="S134" s="634"/>
      <c r="U134" s="634"/>
      <c r="W134" s="634"/>
      <c r="Y134" s="634"/>
      <c r="Z134" s="636"/>
      <c r="AC134" s="634"/>
      <c r="AE134" s="634"/>
      <c r="AG134" s="634"/>
      <c r="AI134" s="634"/>
      <c r="AK134" s="634"/>
      <c r="AM134" s="634"/>
      <c r="AO134" s="634"/>
      <c r="AQ134" s="634"/>
      <c r="AS134" s="634"/>
      <c r="AT134" s="636"/>
      <c r="AU134" s="634"/>
      <c r="AW134" s="634"/>
      <c r="AY134" s="637"/>
      <c r="AZ134" s="636"/>
      <c r="BA134" s="638"/>
    </row>
    <row r="135" spans="1:53" s="629" customFormat="1" ht="15" customHeight="1" x14ac:dyDescent="0.25">
      <c r="A135" s="627"/>
      <c r="B135" s="628"/>
      <c r="D135" s="630"/>
      <c r="E135" s="630"/>
      <c r="F135" s="631"/>
      <c r="G135" s="632"/>
      <c r="H135" s="633"/>
      <c r="I135" s="634"/>
      <c r="K135" s="634"/>
      <c r="L135" s="635"/>
      <c r="M135" s="634"/>
      <c r="O135" s="634"/>
      <c r="Q135" s="634"/>
      <c r="R135" s="635"/>
      <c r="S135" s="634"/>
      <c r="U135" s="634"/>
      <c r="W135" s="634"/>
      <c r="Y135" s="634"/>
      <c r="Z135" s="636"/>
      <c r="AC135" s="634"/>
      <c r="AE135" s="634"/>
      <c r="AG135" s="634"/>
      <c r="AI135" s="634"/>
      <c r="AK135" s="634"/>
      <c r="AM135" s="634"/>
      <c r="AO135" s="634"/>
      <c r="AQ135" s="634"/>
      <c r="AS135" s="634"/>
      <c r="AT135" s="636"/>
      <c r="AU135" s="634"/>
      <c r="AW135" s="634"/>
      <c r="AY135" s="637"/>
      <c r="AZ135" s="636"/>
      <c r="BA135" s="638"/>
    </row>
    <row r="136" spans="1:53" ht="6.75" customHeight="1" x14ac:dyDescent="0.25">
      <c r="A136" s="202"/>
      <c r="B136" s="17"/>
      <c r="C136" s="17"/>
      <c r="D136" s="17"/>
      <c r="E136" s="17"/>
      <c r="F136" s="17"/>
      <c r="G136" s="17"/>
      <c r="H136" s="17"/>
      <c r="I136" s="262"/>
      <c r="J136" s="11"/>
      <c r="K136" s="262"/>
      <c r="L136" s="34"/>
      <c r="M136" s="262"/>
      <c r="O136" s="262"/>
      <c r="Q136" s="262"/>
      <c r="R136" s="34"/>
      <c r="S136" s="262"/>
      <c r="U136" s="262"/>
      <c r="W136" s="262"/>
      <c r="Y136" s="262"/>
      <c r="AA136" s="15"/>
      <c r="AC136" s="262"/>
      <c r="AE136" s="262"/>
      <c r="AG136" s="262"/>
      <c r="AI136" s="262"/>
      <c r="AK136" s="262"/>
      <c r="AM136" s="262"/>
      <c r="AO136" s="262"/>
      <c r="AQ136" s="262"/>
      <c r="AS136" s="262"/>
      <c r="AU136" s="262"/>
      <c r="AW136" s="262"/>
      <c r="AY136" s="263"/>
      <c r="AZ136" s="137"/>
      <c r="BA136" s="1"/>
    </row>
    <row r="137" spans="1:53" ht="15" customHeight="1" x14ac:dyDescent="0.25">
      <c r="A137" s="556" t="s">
        <v>552</v>
      </c>
      <c r="B137" s="556"/>
      <c r="C137" s="556"/>
      <c r="D137" s="556"/>
      <c r="E137" s="556"/>
      <c r="F137" s="556"/>
      <c r="G137" s="282"/>
      <c r="H137" s="282"/>
      <c r="I137" s="557">
        <f>I69+I79+I103+I106+I109+I122+I125+I129+I132</f>
        <v>132854169.80150001</v>
      </c>
      <c r="J137" s="11"/>
      <c r="K137" s="557" t="e">
        <f>K69+K79+K103+K106+K109+K122+K125+K129+K132</f>
        <v>#REF!</v>
      </c>
      <c r="L137" s="147"/>
      <c r="M137" s="557" t="e">
        <f>M69+M79+M103+M106+M109+M122+M125+M129+M132</f>
        <v>#REF!</v>
      </c>
      <c r="O137" s="557" t="e">
        <f>O69+O79+O103+O106+O109+O122+O125+O129+O132</f>
        <v>#REF!</v>
      </c>
      <c r="Q137" s="557" t="e">
        <f>Q69+Q79+Q103+Q106+Q109+Q122+Q125+Q129+Q132</f>
        <v>#REF!</v>
      </c>
      <c r="R137" s="147"/>
      <c r="S137" s="557" t="e">
        <f>S69+S79+S103+S106+S109+S122+S125+S129+S132</f>
        <v>#REF!</v>
      </c>
      <c r="U137" s="283"/>
      <c r="W137" s="557" t="e">
        <f>W69+W79+W103+W106+W109+W122+W125+W129+W132</f>
        <v>#REF!</v>
      </c>
      <c r="Y137" s="557" t="e">
        <f>Y69+Y79+Y103+Y106+Y109+Y122+Y125+Y129+Y132</f>
        <v>#REF!</v>
      </c>
      <c r="Z137" s="148"/>
      <c r="AA137" s="15"/>
      <c r="AC137" s="557" t="e">
        <f>AC69+AC79+AC103+AC106+AC109+AC122+AC125+AC129+AC132</f>
        <v>#REF!</v>
      </c>
      <c r="AE137" s="557" t="e">
        <f>AE69+AE79+AE103+AE106+AE109+AE122+AE125+AE129+AE132</f>
        <v>#REF!</v>
      </c>
      <c r="AG137" s="557" t="e">
        <f>AG69+AG79+AG103+AG106+AG109+AG122+AG125+AG129+AG132</f>
        <v>#REF!</v>
      </c>
      <c r="AI137" s="557" t="e">
        <f>AI69+AI79+AI103+AI106+AI109+AI122+AI125+AI129+AI132</f>
        <v>#REF!</v>
      </c>
      <c r="AK137" s="557" t="e">
        <f>AK69+AK79+AK103+AK106+AK109+AK122+AK125+AK129+AK132</f>
        <v>#REF!</v>
      </c>
      <c r="AM137" s="557" t="e">
        <f>AM69+AM79+AM103+AM106+AM109+AM122+AM125+AM129+AM132</f>
        <v>#REF!</v>
      </c>
      <c r="AO137" s="557" t="e">
        <f>AO69+AO79+AO103+AO106+AO109+AO122+AO125+AO129+AO132</f>
        <v>#REF!</v>
      </c>
      <c r="AQ137" s="557" t="e">
        <f>AQ69+AQ79+AQ103+AQ106+AQ109+AQ122+AQ125+AQ129+AQ132</f>
        <v>#REF!</v>
      </c>
      <c r="AS137" s="557">
        <f>AS69+AS79+AS103+AS106+AS109+AS122+AS125+AS129+AS132</f>
        <v>0</v>
      </c>
      <c r="AT137" s="148"/>
      <c r="AU137" s="557" t="e">
        <f>AU69+AU79+AU103+AU106+AU109+AU122+AU125+AU129+AU132</f>
        <v>#REF!</v>
      </c>
      <c r="AW137" s="557" t="e">
        <f>AW69+AW79+AW103+AW106+AW109+AW122+AW125+AW129+AW132</f>
        <v>#REF!</v>
      </c>
      <c r="AY137" s="557" t="e">
        <f>AY69+AY79+AY103+AY106+AY109+AY122+AY125+AY129+AY132</f>
        <v>#REF!</v>
      </c>
      <c r="AZ137" s="137"/>
      <c r="BA137" s="1"/>
    </row>
    <row r="138" spans="1:53" ht="15" customHeight="1" x14ac:dyDescent="0.25">
      <c r="A138" s="556"/>
      <c r="B138" s="556"/>
      <c r="C138" s="556"/>
      <c r="D138" s="556"/>
      <c r="E138" s="556"/>
      <c r="F138" s="556"/>
      <c r="G138" s="284"/>
      <c r="H138" s="284"/>
      <c r="I138" s="557"/>
      <c r="J138" s="11"/>
      <c r="K138" s="557"/>
      <c r="L138" s="147"/>
      <c r="M138" s="557"/>
      <c r="O138" s="557"/>
      <c r="Q138" s="557"/>
      <c r="R138" s="147"/>
      <c r="S138" s="557"/>
      <c r="U138" s="285"/>
      <c r="W138" s="557"/>
      <c r="Y138" s="557"/>
      <c r="Z138" s="148"/>
      <c r="AA138" s="15"/>
      <c r="AC138" s="557"/>
      <c r="AE138" s="557"/>
      <c r="AG138" s="557"/>
      <c r="AI138" s="557"/>
      <c r="AK138" s="557"/>
      <c r="AM138" s="557"/>
      <c r="AO138" s="557"/>
      <c r="AQ138" s="557"/>
      <c r="AS138" s="557"/>
      <c r="AT138" s="148"/>
      <c r="AU138" s="557"/>
      <c r="AW138" s="557"/>
      <c r="AY138" s="557"/>
      <c r="AZ138" s="137"/>
      <c r="BA138" s="1"/>
    </row>
    <row r="139" spans="1:53" ht="27.75" customHeight="1" x14ac:dyDescent="0.25">
      <c r="A139" s="558" t="s">
        <v>553</v>
      </c>
      <c r="B139" s="558"/>
      <c r="C139" s="558"/>
      <c r="D139" s="558"/>
      <c r="E139" s="558"/>
      <c r="F139" s="558"/>
      <c r="G139" s="558"/>
      <c r="H139" s="558"/>
      <c r="I139" s="640">
        <f>I137-I72</f>
        <v>120056241.80150001</v>
      </c>
      <c r="J139" s="172"/>
      <c r="K139" s="172" t="e">
        <f>K137-K72</f>
        <v>#REF!</v>
      </c>
      <c r="L139" s="172"/>
      <c r="M139" s="172" t="e">
        <f>M137-M72</f>
        <v>#REF!</v>
      </c>
      <c r="N139" s="172"/>
      <c r="O139" s="172" t="e">
        <f>O137-O72</f>
        <v>#REF!</v>
      </c>
      <c r="P139" s="172"/>
      <c r="Q139" s="172" t="e">
        <f>Q137-Q72</f>
        <v>#REF!</v>
      </c>
      <c r="R139" s="172"/>
      <c r="S139" s="172" t="e">
        <f>S137-S72</f>
        <v>#REF!</v>
      </c>
      <c r="T139" s="172"/>
      <c r="U139" s="172">
        <f>U137-U72</f>
        <v>0</v>
      </c>
      <c r="V139" s="172"/>
      <c r="W139" s="172" t="e">
        <f>W137-W72</f>
        <v>#REF!</v>
      </c>
      <c r="X139" s="172"/>
      <c r="Y139" s="172" t="e">
        <f>Y137-Y72</f>
        <v>#REF!</v>
      </c>
      <c r="Z139" s="286">
        <f>Z137-Z72</f>
        <v>0</v>
      </c>
      <c r="AA139" s="15"/>
      <c r="AB139" s="170">
        <f>AB137-AB72</f>
        <v>0</v>
      </c>
      <c r="AC139" s="172" t="e">
        <f>AC137-AC72</f>
        <v>#REF!</v>
      </c>
      <c r="AD139" s="172"/>
      <c r="AE139" s="172" t="e">
        <f>AE137-AE72</f>
        <v>#REF!</v>
      </c>
      <c r="AF139" s="172"/>
      <c r="AG139" s="172" t="e">
        <f>AG137-AG72</f>
        <v>#REF!</v>
      </c>
      <c r="AH139" s="172"/>
      <c r="AI139" s="172" t="e">
        <f>AI137-AI72</f>
        <v>#REF!</v>
      </c>
      <c r="AJ139" s="172"/>
      <c r="AK139" s="172" t="e">
        <f>AK137-AK72</f>
        <v>#REF!</v>
      </c>
      <c r="AL139" s="172"/>
      <c r="AM139" s="172" t="e">
        <f>AM137-AM72</f>
        <v>#REF!</v>
      </c>
      <c r="AN139" s="172"/>
      <c r="AO139" s="172" t="e">
        <f>AO137-AO72</f>
        <v>#REF!</v>
      </c>
      <c r="AP139" s="172"/>
      <c r="AQ139" s="172" t="e">
        <f>AQ137-AQ72</f>
        <v>#REF!</v>
      </c>
      <c r="AR139" s="172"/>
      <c r="AS139" s="172">
        <f>AS137-AS72</f>
        <v>0</v>
      </c>
      <c r="AT139" s="172"/>
      <c r="AU139" s="172" t="e">
        <f>AU137-AU72</f>
        <v>#REF!</v>
      </c>
      <c r="AV139" s="172"/>
      <c r="AW139" s="172" t="e">
        <f>AW137-AW72</f>
        <v>#REF!</v>
      </c>
      <c r="AX139" s="172"/>
      <c r="AY139" s="172" t="e">
        <f>AY137-AY72</f>
        <v>#REF!</v>
      </c>
      <c r="AZ139" s="137"/>
      <c r="BA139" s="1"/>
    </row>
    <row r="140" spans="1:53" ht="8.4" customHeight="1" x14ac:dyDescent="0.25">
      <c r="A140" s="202"/>
      <c r="I140" s="172"/>
      <c r="J140" s="67"/>
      <c r="K140" s="172"/>
      <c r="L140" s="170"/>
      <c r="M140" s="172"/>
      <c r="N140" s="67"/>
      <c r="O140" s="172"/>
      <c r="P140" s="67"/>
      <c r="Q140" s="172"/>
      <c r="R140" s="170"/>
      <c r="S140" s="172"/>
      <c r="T140" s="67"/>
      <c r="U140" s="172"/>
      <c r="V140" s="67"/>
      <c r="W140" s="172"/>
      <c r="X140" s="67"/>
      <c r="Y140" s="172"/>
      <c r="Z140" s="67"/>
      <c r="AA140" s="15"/>
      <c r="AB140" s="67"/>
      <c r="AC140" s="172"/>
      <c r="AD140" s="67"/>
      <c r="AE140" s="172"/>
      <c r="AF140" s="67"/>
      <c r="AG140" s="172"/>
      <c r="AH140" s="67"/>
      <c r="AI140" s="172"/>
      <c r="AJ140" s="67"/>
      <c r="AK140" s="172"/>
      <c r="AL140" s="67"/>
      <c r="AM140" s="172"/>
      <c r="AN140" s="67"/>
      <c r="AO140" s="172"/>
      <c r="AP140" s="67"/>
      <c r="AQ140" s="172"/>
      <c r="AR140" s="67"/>
      <c r="AS140" s="172"/>
      <c r="AT140" s="67"/>
      <c r="AU140" s="172"/>
      <c r="AV140" s="67"/>
      <c r="AW140" s="172"/>
      <c r="AX140" s="67"/>
      <c r="AY140" s="173"/>
      <c r="AZ140" s="67"/>
      <c r="BA140" s="1"/>
    </row>
    <row r="141" spans="1:53" ht="15" customHeight="1" x14ac:dyDescent="0.25">
      <c r="A141" s="562" t="s">
        <v>543</v>
      </c>
      <c r="B141" s="562"/>
      <c r="C141" s="562"/>
      <c r="D141" s="562"/>
      <c r="E141" s="562"/>
      <c r="F141" s="562"/>
      <c r="G141" s="301"/>
      <c r="H141" s="301"/>
      <c r="I141" s="302">
        <f>I61-I137</f>
        <v>43545830.198499992</v>
      </c>
      <c r="J141" s="11"/>
      <c r="K141" s="302" t="e">
        <f>K61-#REF!</f>
        <v>#REF!</v>
      </c>
      <c r="L141" s="303"/>
      <c r="M141" s="302" t="e">
        <f>M61-#REF!</f>
        <v>#REF!</v>
      </c>
      <c r="O141" s="302" t="e">
        <f>O61-#REF!</f>
        <v>#REF!</v>
      </c>
      <c r="Q141" s="302" t="e">
        <f>Q61-#REF!</f>
        <v>#REF!</v>
      </c>
      <c r="R141" s="303"/>
      <c r="S141" s="302" t="e">
        <f>S61-#REF!</f>
        <v>#REF!</v>
      </c>
      <c r="U141" s="304"/>
      <c r="W141" s="302" t="e">
        <f>W61-#REF!</f>
        <v>#REF!</v>
      </c>
      <c r="Y141" s="302" t="e">
        <f>Y61-#REF!</f>
        <v>#REF!</v>
      </c>
      <c r="Z141" s="305"/>
      <c r="AA141" s="15"/>
      <c r="AC141" s="302" t="e">
        <f>AC61-#REF!</f>
        <v>#REF!</v>
      </c>
      <c r="AE141" s="302" t="e">
        <f>AE61-#REF!</f>
        <v>#REF!</v>
      </c>
      <c r="AG141" s="302" t="e">
        <f>AG61-#REF!</f>
        <v>#REF!</v>
      </c>
      <c r="AI141" s="302" t="e">
        <f>AI61-#REF!</f>
        <v>#REF!</v>
      </c>
      <c r="AK141" s="302" t="e">
        <f>AK61-#REF!</f>
        <v>#REF!</v>
      </c>
      <c r="AM141" s="302" t="e">
        <f>AM61-#REF!</f>
        <v>#REF!</v>
      </c>
      <c r="AO141" s="302" t="e">
        <f>AO61-#REF!</f>
        <v>#REF!</v>
      </c>
      <c r="AQ141" s="302" t="e">
        <f>AQ61-#REF!</f>
        <v>#REF!</v>
      </c>
      <c r="AS141" s="302" t="e">
        <f>AS61-#REF!</f>
        <v>#REF!</v>
      </c>
      <c r="AT141" s="305"/>
      <c r="AU141" s="302" t="e">
        <f>AU61-#REF!</f>
        <v>#REF!</v>
      </c>
      <c r="AW141" s="302" t="e">
        <f>AW61-#REF!</f>
        <v>#REF!</v>
      </c>
      <c r="AY141" s="306" t="e">
        <f>AY61-#REF!</f>
        <v>#REF!</v>
      </c>
      <c r="AZ141" s="137"/>
      <c r="BA141" s="1"/>
    </row>
    <row r="142" spans="1:53" ht="15" customHeight="1" x14ac:dyDescent="0.25">
      <c r="A142" s="562"/>
      <c r="B142" s="562"/>
      <c r="C142" s="562"/>
      <c r="D142" s="562"/>
      <c r="E142" s="562"/>
      <c r="F142" s="562"/>
      <c r="G142" s="307"/>
      <c r="H142" s="307"/>
      <c r="I142" s="308">
        <f>I141/I61</f>
        <v>0.24685844783730154</v>
      </c>
      <c r="J142" s="11"/>
      <c r="K142" s="308" t="e">
        <f>K141/K61</f>
        <v>#REF!</v>
      </c>
      <c r="L142" s="208"/>
      <c r="M142" s="308" t="e">
        <f>M141/M61</f>
        <v>#REF!</v>
      </c>
      <c r="O142" s="308" t="e">
        <f>O141/O61</f>
        <v>#REF!</v>
      </c>
      <c r="Q142" s="308" t="e">
        <f>Q141/Q61</f>
        <v>#REF!</v>
      </c>
      <c r="R142" s="208"/>
      <c r="S142" s="308" t="e">
        <f>S141/S61</f>
        <v>#REF!</v>
      </c>
      <c r="U142" s="309"/>
      <c r="W142" s="308" t="e">
        <f>W141/W61</f>
        <v>#REF!</v>
      </c>
      <c r="Y142" s="308" t="e">
        <f>Y141/Y61</f>
        <v>#REF!</v>
      </c>
      <c r="Z142" s="210"/>
      <c r="AA142" s="15"/>
      <c r="AC142" s="308" t="e">
        <f>AC141/AC61</f>
        <v>#REF!</v>
      </c>
      <c r="AE142" s="308" t="e">
        <f>AE141/AE61</f>
        <v>#REF!</v>
      </c>
      <c r="AG142" s="308" t="e">
        <f>AG141/AG61</f>
        <v>#REF!</v>
      </c>
      <c r="AI142" s="308" t="e">
        <f>AI141/AI61</f>
        <v>#REF!</v>
      </c>
      <c r="AK142" s="308" t="e">
        <f>AK141/AK61</f>
        <v>#REF!</v>
      </c>
      <c r="AM142" s="308" t="e">
        <f>AM141/AM61</f>
        <v>#REF!</v>
      </c>
      <c r="AO142" s="308" t="e">
        <f>AO141/AO61</f>
        <v>#REF!</v>
      </c>
      <c r="AQ142" s="308" t="e">
        <f>AQ141/AQ61</f>
        <v>#REF!</v>
      </c>
      <c r="AS142" s="308" t="e">
        <f>AS141/AS61</f>
        <v>#REF!</v>
      </c>
      <c r="AT142" s="210"/>
      <c r="AU142" s="308" t="e">
        <f>AU141/AU61</f>
        <v>#REF!</v>
      </c>
      <c r="AW142" s="308" t="e">
        <f>AW141/AW61</f>
        <v>#REF!</v>
      </c>
      <c r="AY142" s="310" t="e">
        <f>AY141/AY61</f>
        <v>#REF!</v>
      </c>
      <c r="AZ142" s="210"/>
      <c r="BA142" s="212"/>
    </row>
    <row r="143" spans="1:53" ht="6.75" customHeight="1" x14ac:dyDescent="0.25">
      <c r="A143" s="88"/>
      <c r="I143" s="262"/>
      <c r="J143" s="11"/>
      <c r="K143" s="262"/>
      <c r="L143" s="34"/>
      <c r="M143" s="262"/>
      <c r="O143" s="262"/>
      <c r="Q143" s="262"/>
      <c r="R143" s="34"/>
      <c r="S143" s="262"/>
      <c r="U143" s="262"/>
      <c r="W143" s="262"/>
      <c r="Y143" s="262"/>
      <c r="AA143" s="15"/>
      <c r="AC143" s="262"/>
      <c r="AE143" s="262"/>
      <c r="AG143" s="262"/>
      <c r="AI143" s="262"/>
      <c r="AK143" s="262"/>
      <c r="AM143" s="262"/>
      <c r="AO143" s="262"/>
      <c r="AQ143" s="262"/>
      <c r="AS143" s="262"/>
      <c r="AU143" s="262"/>
      <c r="AW143" s="262"/>
      <c r="AY143" s="263"/>
      <c r="BA143" s="1"/>
    </row>
    <row r="144" spans="1:53" s="17" customFormat="1" ht="15" customHeight="1" x14ac:dyDescent="0.25">
      <c r="A144" s="311">
        <v>11</v>
      </c>
      <c r="B144" s="312" t="s">
        <v>540</v>
      </c>
      <c r="C144" s="312"/>
      <c r="D144" s="312"/>
      <c r="E144" s="312"/>
      <c r="F144" s="312"/>
      <c r="G144" s="312"/>
      <c r="H144" s="312"/>
      <c r="I144" s="313">
        <f>SUM(I145:I146)</f>
        <v>5402463.33354</v>
      </c>
      <c r="J144" s="11"/>
      <c r="K144" s="313">
        <f>SUM(K145:K146)</f>
        <v>0</v>
      </c>
      <c r="L144" s="230"/>
      <c r="M144" s="313" t="e">
        <f>SUM(M145:M146)</f>
        <v>#REF!</v>
      </c>
      <c r="O144" s="313" t="e">
        <f>SUM(O145:O146)</f>
        <v>#REF!</v>
      </c>
      <c r="Q144" s="313" t="e">
        <f>SUM(Q145:Q146)</f>
        <v>#REF!</v>
      </c>
      <c r="R144" s="314"/>
      <c r="S144" s="313" t="e">
        <f>SUM(S145:S146)</f>
        <v>#REF!</v>
      </c>
      <c r="U144" s="229"/>
      <c r="W144" s="313" t="e">
        <f>SUM(W145:W146)</f>
        <v>#REF!</v>
      </c>
      <c r="Y144" s="313" t="e">
        <f>SUM(Y145:Y146)</f>
        <v>#REF!</v>
      </c>
      <c r="Z144" s="215"/>
      <c r="AA144" s="15"/>
      <c r="AC144" s="313" t="e">
        <f>SUM(AC145:AC146)</f>
        <v>#REF!</v>
      </c>
      <c r="AE144" s="313" t="e">
        <f>SUM(AE145:AE146)</f>
        <v>#REF!</v>
      </c>
      <c r="AG144" s="313" t="e">
        <f>SUM(AG145:AG146)</f>
        <v>#REF!</v>
      </c>
      <c r="AI144" s="313" t="e">
        <f>SUM(AI145:AI146)</f>
        <v>#REF!</v>
      </c>
      <c r="AK144" s="313" t="e">
        <f>SUM(AK145:AK146)</f>
        <v>#REF!</v>
      </c>
      <c r="AM144" s="313" t="e">
        <f>SUM(AM145:AM146)</f>
        <v>#REF!</v>
      </c>
      <c r="AO144" s="313" t="e">
        <f>SUM(AO145:AO146)</f>
        <v>#REF!</v>
      </c>
      <c r="AQ144" s="313" t="e">
        <f>SUM(AQ145:AQ146)</f>
        <v>#REF!</v>
      </c>
      <c r="AS144" s="313">
        <f>SUM(AS145:AS146)</f>
        <v>0</v>
      </c>
      <c r="AT144" s="130"/>
      <c r="AU144" s="313" t="e">
        <f>SUM(AU145:AU146)</f>
        <v>#REF!</v>
      </c>
      <c r="AW144" s="313" t="e">
        <f>SUM(AW145:AW146)</f>
        <v>#REF!</v>
      </c>
      <c r="AY144" s="315" t="e">
        <f>SUM(I144:AW144)</f>
        <v>#REF!</v>
      </c>
      <c r="AZ144" s="67"/>
      <c r="BA144" s="1"/>
    </row>
    <row r="145" spans="1:53" s="17" customFormat="1" ht="15" customHeight="1" x14ac:dyDescent="0.25">
      <c r="A145" s="316"/>
      <c r="B145" s="586">
        <v>11.1</v>
      </c>
      <c r="C145" s="8" t="s">
        <v>108</v>
      </c>
      <c r="E145" s="317">
        <v>4.5499999999999999E-2</v>
      </c>
      <c r="F145" s="212">
        <v>0.7</v>
      </c>
      <c r="G145" s="318" t="s">
        <v>109</v>
      </c>
      <c r="H145" s="319">
        <v>4</v>
      </c>
      <c r="I145" s="600">
        <f>$E$145*$F$145*I72*$H$145</f>
        <v>1630456.0272000001</v>
      </c>
      <c r="J145" s="11"/>
      <c r="K145" s="191">
        <f>$E$145*$F$145*K72*$H$145</f>
        <v>0</v>
      </c>
      <c r="L145" s="230"/>
      <c r="M145" s="191">
        <f>$E$145*$F$145*M72*$H$145</f>
        <v>0</v>
      </c>
      <c r="O145" s="191">
        <f>$E$145*$F$145*O72*$H$145</f>
        <v>0</v>
      </c>
      <c r="Q145" s="191">
        <f>$E$145*$F$145*Q72*$H$145</f>
        <v>0</v>
      </c>
      <c r="R145" s="314"/>
      <c r="S145" s="191">
        <f>$E$145*$F$145*S72*$H$145</f>
        <v>0</v>
      </c>
      <c r="U145" s="229"/>
      <c r="W145" s="191">
        <f>$E$145*$F$145*W72*$H$145</f>
        <v>0</v>
      </c>
      <c r="Y145" s="191">
        <f>$E$145*$F$145*Y72*$H$145</f>
        <v>0</v>
      </c>
      <c r="Z145" s="215"/>
      <c r="AA145" s="11"/>
      <c r="AC145" s="191">
        <f>$E$145*$F$145*AC72*$H$145</f>
        <v>0</v>
      </c>
      <c r="AE145" s="191">
        <f>$E$145*$F$145*AE72*$H$145</f>
        <v>0</v>
      </c>
      <c r="AG145" s="191">
        <f>$E$145*$F$145*AG72*$H$145</f>
        <v>0</v>
      </c>
      <c r="AI145" s="191">
        <f>$E$145*$F$145*AI72*$H$145</f>
        <v>0</v>
      </c>
      <c r="AK145" s="191">
        <f>$E$145*$F$145*AK72*$H$145</f>
        <v>0</v>
      </c>
      <c r="AM145" s="191">
        <f>$E$145*$F$145*AM72*$H$145</f>
        <v>0</v>
      </c>
      <c r="AO145" s="191">
        <f>$E$145*$F$145*AO72*$H$145</f>
        <v>0</v>
      </c>
      <c r="AQ145" s="191">
        <f>$E$145*$F$145*AQ72*$H$145</f>
        <v>0</v>
      </c>
      <c r="AS145" s="191">
        <f>$E$145*$F$145*AS72*$H$145</f>
        <v>0</v>
      </c>
      <c r="AT145" s="130"/>
      <c r="AU145" s="191">
        <f>$E$145*$F$145*AU72*$H$145</f>
        <v>0</v>
      </c>
      <c r="AW145" s="191">
        <f>$E$145*$F$145*AW72*$H$145</f>
        <v>0</v>
      </c>
      <c r="AY145" s="126">
        <f>SUM(I145:AW145)</f>
        <v>1630456.0272000001</v>
      </c>
      <c r="AZ145" s="67"/>
      <c r="BA145" s="1"/>
    </row>
    <row r="146" spans="1:53" s="17" customFormat="1" ht="15" customHeight="1" x14ac:dyDescent="0.25">
      <c r="A146" s="316"/>
      <c r="B146" s="586">
        <v>11.2</v>
      </c>
      <c r="C146" s="8" t="s">
        <v>110</v>
      </c>
      <c r="E146" s="317">
        <v>4.5499999999999999E-2</v>
      </c>
      <c r="F146" s="212">
        <v>0.2</v>
      </c>
      <c r="G146" s="318" t="s">
        <v>96</v>
      </c>
      <c r="H146" s="319">
        <v>4</v>
      </c>
      <c r="I146" s="600">
        <f>$E$146*$F$146*I79*$H$146</f>
        <v>3772007.3063400001</v>
      </c>
      <c r="J146" s="11"/>
      <c r="K146" s="200">
        <f>$E$146*$F$146*K79*$H$146</f>
        <v>0</v>
      </c>
      <c r="L146" s="230"/>
      <c r="M146" s="200" t="e">
        <f>$E$146*$F$146*M79*$H$146</f>
        <v>#REF!</v>
      </c>
      <c r="O146" s="200" t="e">
        <f>$E$146*$F$146*O79*$H$146</f>
        <v>#REF!</v>
      </c>
      <c r="Q146" s="200" t="e">
        <f>$E$146*$F$146*Q79*$H$146</f>
        <v>#REF!</v>
      </c>
      <c r="R146" s="314"/>
      <c r="S146" s="200" t="e">
        <f>$E$146*$F$146*S79*$H$146</f>
        <v>#REF!</v>
      </c>
      <c r="U146" s="229"/>
      <c r="W146" s="200" t="e">
        <f>$E$146*$F$146*W79*$H$146</f>
        <v>#REF!</v>
      </c>
      <c r="Y146" s="200" t="e">
        <f>$E$146*$F$146*Y79*$H$146</f>
        <v>#REF!</v>
      </c>
      <c r="Z146" s="215"/>
      <c r="AA146" s="11"/>
      <c r="AC146" s="200" t="e">
        <f>$E$146*$F$146*AC79*$H$146</f>
        <v>#REF!</v>
      </c>
      <c r="AE146" s="200" t="e">
        <f>$E$146*$F$146*AE79*$H$146</f>
        <v>#REF!</v>
      </c>
      <c r="AG146" s="200" t="e">
        <f>$E$146*$F$146*AG79*$H$146</f>
        <v>#REF!</v>
      </c>
      <c r="AI146" s="200" t="e">
        <f>$E$146*$F$146*AI79*$H$146</f>
        <v>#REF!</v>
      </c>
      <c r="AK146" s="200" t="e">
        <f>$E$146*$F$146*AK79*$H$146</f>
        <v>#REF!</v>
      </c>
      <c r="AM146" s="200" t="e">
        <f>$E$146*$F$146*AM79*$H$146</f>
        <v>#REF!</v>
      </c>
      <c r="AO146" s="200" t="e">
        <f>$E$146*$F$146*AO79*$H$146</f>
        <v>#REF!</v>
      </c>
      <c r="AQ146" s="200" t="e">
        <f>$E$146*$F$146*AQ79*$H$146</f>
        <v>#REF!</v>
      </c>
      <c r="AS146" s="200">
        <f>$E$146*$F$146*AS79*$H$146</f>
        <v>0</v>
      </c>
      <c r="AT146" s="130"/>
      <c r="AU146" s="200" t="e">
        <f>$E$146*$F$146*AU79*$H$146</f>
        <v>#REF!</v>
      </c>
      <c r="AW146" s="200" t="e">
        <f>$E$146*$F$146*AW79*$H$146</f>
        <v>#REF!</v>
      </c>
      <c r="AY146" s="126" t="e">
        <f>SUM(I146:AW146)</f>
        <v>#REF!</v>
      </c>
      <c r="AZ146" s="67"/>
      <c r="BA146" s="1"/>
    </row>
    <row r="147" spans="1:53" s="17" customFormat="1" ht="15" customHeight="1" x14ac:dyDescent="0.25">
      <c r="A147" s="316"/>
      <c r="G147" s="320"/>
      <c r="H147" s="321"/>
      <c r="I147" s="322"/>
      <c r="J147" s="11"/>
      <c r="K147" s="322"/>
      <c r="L147" s="186"/>
      <c r="M147" s="322"/>
      <c r="O147" s="322"/>
      <c r="Q147" s="322"/>
      <c r="R147" s="186"/>
      <c r="S147" s="322"/>
      <c r="U147" s="322"/>
      <c r="W147" s="322"/>
      <c r="Y147" s="322"/>
      <c r="Z147" s="323"/>
      <c r="AA147" s="15"/>
      <c r="AC147" s="322"/>
      <c r="AE147" s="322"/>
      <c r="AG147" s="322"/>
      <c r="AI147" s="322"/>
      <c r="AK147" s="322"/>
      <c r="AM147" s="322"/>
      <c r="AO147" s="322"/>
      <c r="AQ147" s="322"/>
      <c r="AS147" s="322"/>
      <c r="AT147" s="130"/>
      <c r="AU147" s="322"/>
      <c r="AW147" s="322"/>
      <c r="AY147" s="204"/>
      <c r="AZ147" s="130"/>
      <c r="BA147" s="1"/>
    </row>
    <row r="148" spans="1:53" ht="15" customHeight="1" x14ac:dyDescent="0.25">
      <c r="A148" s="556" t="s">
        <v>542</v>
      </c>
      <c r="B148" s="556"/>
      <c r="C148" s="556"/>
      <c r="D148" s="556"/>
      <c r="E148" s="556"/>
      <c r="F148" s="556"/>
      <c r="G148" s="282"/>
      <c r="H148" s="282"/>
      <c r="I148" s="557" t="e">
        <f>#REF!+I144</f>
        <v>#REF!</v>
      </c>
      <c r="J148" s="11"/>
      <c r="K148" s="557" t="e">
        <f>#REF!+K144</f>
        <v>#REF!</v>
      </c>
      <c r="L148" s="147"/>
      <c r="M148" s="557" t="e">
        <f>#REF!+M144</f>
        <v>#REF!</v>
      </c>
      <c r="O148" s="557" t="e">
        <f>#REF!+O144</f>
        <v>#REF!</v>
      </c>
      <c r="Q148" s="557" t="e">
        <f>#REF!+Q144</f>
        <v>#REF!</v>
      </c>
      <c r="R148" s="147"/>
      <c r="S148" s="557" t="e">
        <f>#REF!+S144</f>
        <v>#REF!</v>
      </c>
      <c r="U148" s="559"/>
      <c r="W148" s="557" t="e">
        <f>#REF!+W144</f>
        <v>#REF!</v>
      </c>
      <c r="Y148" s="557" t="e">
        <f>#REF!+Y144</f>
        <v>#REF!</v>
      </c>
      <c r="Z148" s="148"/>
      <c r="AA148" s="15"/>
      <c r="AC148" s="557" t="e">
        <f>#REF!+AC144</f>
        <v>#REF!</v>
      </c>
      <c r="AE148" s="557" t="e">
        <f>#REF!+AE144</f>
        <v>#REF!</v>
      </c>
      <c r="AG148" s="557" t="e">
        <f>#REF!+AG144</f>
        <v>#REF!</v>
      </c>
      <c r="AI148" s="557" t="e">
        <f>#REF!+AI144</f>
        <v>#REF!</v>
      </c>
      <c r="AK148" s="557" t="e">
        <f>#REF!+AK144</f>
        <v>#REF!</v>
      </c>
      <c r="AM148" s="557" t="e">
        <f>#REF!+AM144</f>
        <v>#REF!</v>
      </c>
      <c r="AO148" s="557" t="e">
        <f>#REF!+AO144</f>
        <v>#REF!</v>
      </c>
      <c r="AQ148" s="557" t="e">
        <f>#REF!+AQ144</f>
        <v>#REF!</v>
      </c>
      <c r="AS148" s="557" t="e">
        <f>#REF!+AS144</f>
        <v>#REF!</v>
      </c>
      <c r="AT148" s="148"/>
      <c r="AU148" s="557" t="e">
        <f>#REF!+AU144</f>
        <v>#REF!</v>
      </c>
      <c r="AW148" s="557" t="e">
        <f>#REF!+AW144</f>
        <v>#REF!</v>
      </c>
      <c r="AY148" s="560" t="e">
        <f>#REF!+AY144</f>
        <v>#REF!</v>
      </c>
      <c r="AZ148" s="67"/>
      <c r="BA148" s="561"/>
    </row>
    <row r="149" spans="1:53" ht="15" customHeight="1" x14ac:dyDescent="0.25">
      <c r="A149" s="556"/>
      <c r="B149" s="556"/>
      <c r="C149" s="556"/>
      <c r="D149" s="556"/>
      <c r="E149" s="556"/>
      <c r="F149" s="556"/>
      <c r="G149" s="284"/>
      <c r="H149" s="284"/>
      <c r="I149" s="557"/>
      <c r="J149" s="11"/>
      <c r="K149" s="557"/>
      <c r="L149" s="299"/>
      <c r="M149" s="557"/>
      <c r="O149" s="557"/>
      <c r="Q149" s="557"/>
      <c r="R149" s="299"/>
      <c r="S149" s="557"/>
      <c r="U149" s="559"/>
      <c r="W149" s="557"/>
      <c r="Y149" s="557"/>
      <c r="Z149" s="300"/>
      <c r="AA149" s="15"/>
      <c r="AC149" s="557"/>
      <c r="AE149" s="557"/>
      <c r="AG149" s="557"/>
      <c r="AI149" s="557"/>
      <c r="AK149" s="557"/>
      <c r="AM149" s="557"/>
      <c r="AO149" s="557"/>
      <c r="AQ149" s="557"/>
      <c r="AS149" s="557"/>
      <c r="AT149" s="300"/>
      <c r="AU149" s="557"/>
      <c r="AW149" s="557"/>
      <c r="AY149" s="560"/>
      <c r="AZ149" s="324"/>
      <c r="BA149" s="561"/>
    </row>
    <row r="150" spans="1:53" ht="6.75" customHeight="1" x14ac:dyDescent="0.25">
      <c r="A150" s="54"/>
      <c r="I150" s="262"/>
      <c r="J150" s="11"/>
      <c r="K150" s="262"/>
      <c r="L150" s="34"/>
      <c r="M150" s="262"/>
      <c r="O150" s="262"/>
      <c r="Q150" s="262"/>
      <c r="R150" s="34"/>
      <c r="S150" s="262"/>
      <c r="U150" s="262"/>
      <c r="W150" s="262"/>
      <c r="Y150" s="262"/>
      <c r="AA150" s="15"/>
      <c r="AC150" s="262"/>
      <c r="AE150" s="262"/>
      <c r="AG150" s="262"/>
      <c r="AI150" s="262"/>
      <c r="AK150" s="262"/>
      <c r="AM150" s="262"/>
      <c r="AO150" s="262"/>
      <c r="AQ150" s="262"/>
      <c r="AS150" s="262"/>
      <c r="AU150" s="262"/>
      <c r="AW150" s="262"/>
      <c r="AY150" s="263"/>
      <c r="BA150" s="1"/>
    </row>
    <row r="151" spans="1:53" ht="15" customHeight="1" x14ac:dyDescent="0.25">
      <c r="A151" s="562" t="s">
        <v>541</v>
      </c>
      <c r="B151" s="562"/>
      <c r="C151" s="562"/>
      <c r="D151" s="562"/>
      <c r="E151" s="562"/>
      <c r="F151" s="562"/>
      <c r="G151" s="325"/>
      <c r="H151" s="325"/>
      <c r="I151" s="302">
        <f>I141-I144</f>
        <v>38143366.864959992</v>
      </c>
      <c r="J151" s="11"/>
      <c r="K151" s="302" t="e">
        <f>K141-K144</f>
        <v>#REF!</v>
      </c>
      <c r="L151" s="303"/>
      <c r="M151" s="302" t="e">
        <f>M141-M144</f>
        <v>#REF!</v>
      </c>
      <c r="O151" s="302" t="e">
        <f>O141-O144</f>
        <v>#REF!</v>
      </c>
      <c r="Q151" s="302" t="e">
        <f>Q141-Q144</f>
        <v>#REF!</v>
      </c>
      <c r="R151" s="303"/>
      <c r="S151" s="302" t="e">
        <f>S141-S144</f>
        <v>#REF!</v>
      </c>
      <c r="U151" s="304"/>
      <c r="W151" s="302" t="e">
        <f>W141-W144</f>
        <v>#REF!</v>
      </c>
      <c r="Y151" s="302" t="e">
        <f>Y141-Y144</f>
        <v>#REF!</v>
      </c>
      <c r="Z151" s="305"/>
      <c r="AA151" s="15"/>
      <c r="AC151" s="302" t="e">
        <f>AC141-AC144</f>
        <v>#REF!</v>
      </c>
      <c r="AE151" s="302" t="e">
        <f>AE141-AE144</f>
        <v>#REF!</v>
      </c>
      <c r="AG151" s="302" t="e">
        <f>AG141-AG144</f>
        <v>#REF!</v>
      </c>
      <c r="AI151" s="302" t="e">
        <f>AI141-AI144</f>
        <v>#REF!</v>
      </c>
      <c r="AK151" s="302" t="e">
        <f>AK141-AK144</f>
        <v>#REF!</v>
      </c>
      <c r="AM151" s="302" t="e">
        <f>AM141-AM144</f>
        <v>#REF!</v>
      </c>
      <c r="AO151" s="302" t="e">
        <f>AO141-AO144</f>
        <v>#REF!</v>
      </c>
      <c r="AQ151" s="302" t="e">
        <f>AQ141-AQ144</f>
        <v>#REF!</v>
      </c>
      <c r="AS151" s="302" t="e">
        <f>AS141-AS144</f>
        <v>#REF!</v>
      </c>
      <c r="AT151" s="305"/>
      <c r="AU151" s="302" t="e">
        <f>AU141-AU144</f>
        <v>#REF!</v>
      </c>
      <c r="AW151" s="302" t="e">
        <f>AW141-AW144</f>
        <v>#REF!</v>
      </c>
      <c r="AY151" s="306" t="e">
        <f>AY141-AY144</f>
        <v>#REF!</v>
      </c>
      <c r="AZ151" s="137"/>
      <c r="BA151" s="1"/>
    </row>
    <row r="152" spans="1:53" ht="15" customHeight="1" x14ac:dyDescent="0.25">
      <c r="A152" s="562"/>
      <c r="B152" s="562"/>
      <c r="C152" s="562"/>
      <c r="D152" s="562"/>
      <c r="E152" s="562"/>
      <c r="F152" s="562"/>
      <c r="G152" s="326"/>
      <c r="H152" s="326"/>
      <c r="I152" s="308">
        <f>I151/I61</f>
        <v>0.21623223846349202</v>
      </c>
      <c r="J152" s="11"/>
      <c r="K152" s="308" t="e">
        <f>K151/K61</f>
        <v>#REF!</v>
      </c>
      <c r="L152" s="208"/>
      <c r="M152" s="308" t="e">
        <f>M151/M61</f>
        <v>#REF!</v>
      </c>
      <c r="O152" s="308" t="e">
        <f>O151/O61</f>
        <v>#REF!</v>
      </c>
      <c r="Q152" s="308" t="e">
        <f>Q151/Q61</f>
        <v>#REF!</v>
      </c>
      <c r="R152" s="208"/>
      <c r="S152" s="308" t="e">
        <f>S151/S61</f>
        <v>#REF!</v>
      </c>
      <c r="U152" s="309"/>
      <c r="W152" s="308" t="e">
        <f>W151/W61</f>
        <v>#REF!</v>
      </c>
      <c r="Y152" s="308" t="e">
        <f>Y151/Y61</f>
        <v>#REF!</v>
      </c>
      <c r="Z152" s="210"/>
      <c r="AA152" s="15"/>
      <c r="AC152" s="308" t="e">
        <f>AC151/AC61</f>
        <v>#REF!</v>
      </c>
      <c r="AE152" s="308" t="e">
        <f>AE151/AE61</f>
        <v>#REF!</v>
      </c>
      <c r="AG152" s="308" t="e">
        <f>AG151/AG61</f>
        <v>#REF!</v>
      </c>
      <c r="AI152" s="308" t="e">
        <f>AI151/AI61</f>
        <v>#REF!</v>
      </c>
      <c r="AK152" s="308" t="e">
        <f>AK151/AK61</f>
        <v>#REF!</v>
      </c>
      <c r="AM152" s="308" t="e">
        <f>AM151/AM61</f>
        <v>#REF!</v>
      </c>
      <c r="AO152" s="308" t="e">
        <f>AO151/AO61</f>
        <v>#REF!</v>
      </c>
      <c r="AQ152" s="308" t="e">
        <f>AQ151/AQ61</f>
        <v>#REF!</v>
      </c>
      <c r="AS152" s="308" t="e">
        <f>AS151/AS61</f>
        <v>#REF!</v>
      </c>
      <c r="AT152" s="210"/>
      <c r="AU152" s="308" t="e">
        <f>AU151/AU61</f>
        <v>#REF!</v>
      </c>
      <c r="AW152" s="308" t="e">
        <f>AW151/AW61</f>
        <v>#REF!</v>
      </c>
      <c r="AY152" s="310" t="e">
        <f>AY151/AY61</f>
        <v>#REF!</v>
      </c>
      <c r="AZ152" s="210"/>
      <c r="BA152" s="212"/>
    </row>
    <row r="153" spans="1:53" ht="6.75" customHeight="1" x14ac:dyDescent="0.25">
      <c r="A153" s="88"/>
      <c r="I153" s="262"/>
      <c r="J153" s="198"/>
      <c r="K153" s="262"/>
      <c r="L153" s="34"/>
      <c r="M153" s="262"/>
      <c r="O153" s="262"/>
      <c r="Q153" s="262"/>
      <c r="R153" s="34"/>
      <c r="S153" s="262"/>
      <c r="U153" s="262"/>
      <c r="W153" s="262"/>
      <c r="Y153" s="262"/>
      <c r="AA153" s="15"/>
      <c r="AC153" s="262"/>
      <c r="AE153" s="262"/>
      <c r="AG153" s="262"/>
      <c r="AI153" s="262"/>
      <c r="AK153" s="262"/>
      <c r="AM153" s="262"/>
      <c r="AO153" s="262"/>
      <c r="AQ153" s="262"/>
      <c r="AS153" s="262"/>
      <c r="AU153" s="262"/>
      <c r="AW153" s="262"/>
      <c r="AY153" s="263"/>
      <c r="BA153" s="1"/>
    </row>
    <row r="154" spans="1:53" s="17" customFormat="1" ht="15" customHeight="1" x14ac:dyDescent="0.25">
      <c r="A154" s="181">
        <v>12</v>
      </c>
      <c r="B154" s="182" t="s">
        <v>111</v>
      </c>
      <c r="C154" s="182"/>
      <c r="D154" s="182"/>
      <c r="E154" s="182"/>
      <c r="F154" s="618">
        <v>1.4E-2</v>
      </c>
      <c r="G154" s="327" t="s">
        <v>54</v>
      </c>
      <c r="H154" s="328"/>
      <c r="I154" s="329"/>
      <c r="J154" s="11"/>
      <c r="K154" s="329" t="e">
        <f>$F$154*K61</f>
        <v>#REF!</v>
      </c>
      <c r="L154" s="192"/>
      <c r="M154" s="329">
        <f>$F$154*M61</f>
        <v>0</v>
      </c>
      <c r="O154" s="329">
        <f>$F$154*O61</f>
        <v>0</v>
      </c>
      <c r="Q154" s="329">
        <f>$F$154*Q61</f>
        <v>0</v>
      </c>
      <c r="R154" s="192"/>
      <c r="S154" s="329">
        <f>$F$154*S61</f>
        <v>0</v>
      </c>
      <c r="U154" s="191"/>
      <c r="W154" s="329">
        <f>$F$154*W61</f>
        <v>0</v>
      </c>
      <c r="Y154" s="329">
        <f>$F$154*Y61</f>
        <v>0</v>
      </c>
      <c r="Z154" s="193"/>
      <c r="AA154" s="15"/>
      <c r="AC154" s="329">
        <f>$F$154*AC61</f>
        <v>0</v>
      </c>
      <c r="AE154" s="329">
        <f>$F$154*AE61</f>
        <v>0</v>
      </c>
      <c r="AG154" s="329">
        <f>$F$154*AG61</f>
        <v>0</v>
      </c>
      <c r="AI154" s="329">
        <f>$F$154*AI61</f>
        <v>0</v>
      </c>
      <c r="AK154" s="329">
        <f>$F$154*AK61</f>
        <v>0</v>
      </c>
      <c r="AM154" s="329">
        <f>$F$154*AM61</f>
        <v>0</v>
      </c>
      <c r="AO154" s="329">
        <f>$F$154*AO61</f>
        <v>0</v>
      </c>
      <c r="AQ154" s="329">
        <f>$F$154*AQ61</f>
        <v>0</v>
      </c>
      <c r="AS154" s="329">
        <f>$F$154*AS61</f>
        <v>0</v>
      </c>
      <c r="AT154" s="130"/>
      <c r="AU154" s="329">
        <f>$F$154*AU61</f>
        <v>0</v>
      </c>
      <c r="AW154" s="329">
        <f>$F$154*AW61</f>
        <v>0</v>
      </c>
      <c r="AY154" s="188" t="e">
        <f>SUM(I154:AW154)</f>
        <v>#REF!</v>
      </c>
      <c r="AZ154" s="130"/>
      <c r="BA154" s="1"/>
    </row>
    <row r="155" spans="1:53" s="17" customFormat="1" ht="15" customHeight="1" x14ac:dyDescent="0.25">
      <c r="A155" s="316">
        <v>13</v>
      </c>
      <c r="B155" s="17" t="s">
        <v>112</v>
      </c>
      <c r="F155" s="618">
        <v>0.03</v>
      </c>
      <c r="G155" s="127" t="s">
        <v>54</v>
      </c>
      <c r="H155" s="330"/>
      <c r="I155" s="331"/>
      <c r="J155" s="11"/>
      <c r="K155" s="331" t="e">
        <f>$F$155*K61</f>
        <v>#REF!</v>
      </c>
      <c r="L155" s="192"/>
      <c r="M155" s="331">
        <f>$F$155*M61</f>
        <v>0</v>
      </c>
      <c r="O155" s="331">
        <f>$F$155*O61</f>
        <v>0</v>
      </c>
      <c r="Q155" s="331">
        <f>$F$155*Q61</f>
        <v>0</v>
      </c>
      <c r="R155" s="192"/>
      <c r="S155" s="331">
        <f>$F$155*S61</f>
        <v>0</v>
      </c>
      <c r="U155" s="191"/>
      <c r="W155" s="331">
        <f>$F$155*W61</f>
        <v>0</v>
      </c>
      <c r="Y155" s="331">
        <f>$F$155*Y61</f>
        <v>0</v>
      </c>
      <c r="Z155" s="193"/>
      <c r="AA155" s="15"/>
      <c r="AC155" s="331">
        <f>$F$155*AC61</f>
        <v>0</v>
      </c>
      <c r="AE155" s="331">
        <f>$F$155*AE61</f>
        <v>0</v>
      </c>
      <c r="AG155" s="331">
        <f>$F$155*AG61</f>
        <v>0</v>
      </c>
      <c r="AI155" s="331">
        <f>$F$155*AI61</f>
        <v>0</v>
      </c>
      <c r="AK155" s="331">
        <f>$F$155*AK61</f>
        <v>0</v>
      </c>
      <c r="AM155" s="331">
        <f>$F$155*AM61</f>
        <v>0</v>
      </c>
      <c r="AO155" s="331">
        <f>$F$155*AO61</f>
        <v>0</v>
      </c>
      <c r="AQ155" s="331">
        <f>$F$155*AQ61</f>
        <v>0</v>
      </c>
      <c r="AS155" s="331">
        <f>$F$155*AS61</f>
        <v>0</v>
      </c>
      <c r="AT155" s="130"/>
      <c r="AU155" s="331">
        <f>$F$155*AU61</f>
        <v>0</v>
      </c>
      <c r="AW155" s="331">
        <f>$F$155*AW61</f>
        <v>0</v>
      </c>
      <c r="AY155" s="126" t="e">
        <f>SUM(I155:AW155)</f>
        <v>#REF!</v>
      </c>
      <c r="AZ155" s="193"/>
      <c r="BA155" s="1"/>
    </row>
    <row r="156" spans="1:53" s="17" customFormat="1" ht="15" customHeight="1" x14ac:dyDescent="0.25">
      <c r="A156" s="332">
        <v>14</v>
      </c>
      <c r="B156" s="333" t="s">
        <v>113</v>
      </c>
      <c r="C156" s="333"/>
      <c r="D156" s="333"/>
      <c r="E156" s="333"/>
      <c r="F156" s="618">
        <v>5.0000000000000001E-3</v>
      </c>
      <c r="G156" s="334" t="s">
        <v>54</v>
      </c>
      <c r="H156" s="335"/>
      <c r="I156" s="336"/>
      <c r="J156" s="11"/>
      <c r="K156" s="336" t="e">
        <f>$F$156*K61</f>
        <v>#REF!</v>
      </c>
      <c r="L156" s="192"/>
      <c r="M156" s="336">
        <f>$F$156*M61</f>
        <v>0</v>
      </c>
      <c r="O156" s="336">
        <f>$F$156*O61</f>
        <v>0</v>
      </c>
      <c r="Q156" s="336">
        <f>$F$156*Q61</f>
        <v>0</v>
      </c>
      <c r="R156" s="192"/>
      <c r="S156" s="336">
        <f>$F$156*S61</f>
        <v>0</v>
      </c>
      <c r="U156" s="191"/>
      <c r="W156" s="336">
        <f>$F$156*W61</f>
        <v>0</v>
      </c>
      <c r="Y156" s="336">
        <f>$F$156*Y61</f>
        <v>0</v>
      </c>
      <c r="Z156" s="193"/>
      <c r="AA156" s="15"/>
      <c r="AC156" s="336">
        <f>$F$156*AC61</f>
        <v>0</v>
      </c>
      <c r="AE156" s="336">
        <f>$F$156*AE61</f>
        <v>0</v>
      </c>
      <c r="AG156" s="336">
        <f>$F$156*AG61</f>
        <v>0</v>
      </c>
      <c r="AI156" s="336">
        <f>$F$156*AI61</f>
        <v>0</v>
      </c>
      <c r="AK156" s="336">
        <f>$F$156*AK61</f>
        <v>0</v>
      </c>
      <c r="AM156" s="336">
        <f>$F$156*AM61</f>
        <v>0</v>
      </c>
      <c r="AO156" s="336">
        <f>$F$156*AO61</f>
        <v>0</v>
      </c>
      <c r="AQ156" s="336">
        <f>$F$156*AQ61</f>
        <v>0</v>
      </c>
      <c r="AS156" s="336">
        <f>$F$156*AS61</f>
        <v>0</v>
      </c>
      <c r="AT156" s="130"/>
      <c r="AU156" s="336">
        <f>$F$156*AU61</f>
        <v>0</v>
      </c>
      <c r="AW156" s="336">
        <f>$F$156*AW61</f>
        <v>0</v>
      </c>
      <c r="AY156" s="291" t="e">
        <f>SUM(I156:AW156)</f>
        <v>#REF!</v>
      </c>
      <c r="AZ156" s="130"/>
      <c r="BA156" s="1"/>
    </row>
    <row r="157" spans="1:53" s="17" customFormat="1" ht="15" customHeight="1" x14ac:dyDescent="0.25">
      <c r="A157" s="311">
        <v>15</v>
      </c>
      <c r="B157" s="312" t="s">
        <v>114</v>
      </c>
      <c r="C157" s="312"/>
      <c r="D157" s="312"/>
      <c r="E157" s="312"/>
      <c r="F157" s="618">
        <v>0.01</v>
      </c>
      <c r="G157" s="337" t="s">
        <v>54</v>
      </c>
      <c r="H157" s="338"/>
      <c r="I157" s="339"/>
      <c r="J157" s="11"/>
      <c r="K157" s="339" t="e">
        <f>$F$157*K61</f>
        <v>#REF!</v>
      </c>
      <c r="L157" s="192"/>
      <c r="M157" s="339">
        <f>$F$157*M61</f>
        <v>0</v>
      </c>
      <c r="O157" s="339">
        <f>$F$157*O61</f>
        <v>0</v>
      </c>
      <c r="Q157" s="339">
        <f>$F$157*Q61</f>
        <v>0</v>
      </c>
      <c r="R157" s="192"/>
      <c r="S157" s="339">
        <f>$F$157*S61</f>
        <v>0</v>
      </c>
      <c r="U157" s="191"/>
      <c r="W157" s="339">
        <f>$F$157*W61</f>
        <v>0</v>
      </c>
      <c r="Y157" s="339">
        <f>$F$157*Y61</f>
        <v>0</v>
      </c>
      <c r="Z157" s="193"/>
      <c r="AA157" s="15"/>
      <c r="AC157" s="339">
        <f>$F$157*AC61</f>
        <v>0</v>
      </c>
      <c r="AE157" s="339">
        <f>$F$157*AE61</f>
        <v>0</v>
      </c>
      <c r="AG157" s="339">
        <f>$F$157*AG61</f>
        <v>0</v>
      </c>
      <c r="AI157" s="339">
        <f>$F$157*AI61</f>
        <v>0</v>
      </c>
      <c r="AK157" s="339">
        <f>$F$157*AK61</f>
        <v>0</v>
      </c>
      <c r="AM157" s="339">
        <f>$F$157*AM61</f>
        <v>0</v>
      </c>
      <c r="AO157" s="339">
        <f>$F$157*AO61</f>
        <v>0</v>
      </c>
      <c r="AQ157" s="339">
        <f>$F$157*AQ61</f>
        <v>0</v>
      </c>
      <c r="AS157" s="339">
        <f>$F$157*AS61</f>
        <v>0</v>
      </c>
      <c r="AT157" s="130"/>
      <c r="AU157" s="339">
        <f>$F$157*AU61</f>
        <v>0</v>
      </c>
      <c r="AW157" s="339">
        <f>$F$157*AW61</f>
        <v>0</v>
      </c>
      <c r="AY157" s="315" t="e">
        <f>SUM(I157:AW157)</f>
        <v>#REF!</v>
      </c>
      <c r="AZ157" s="130"/>
      <c r="BA157" s="1"/>
    </row>
    <row r="158" spans="1:53" s="17" customFormat="1" ht="6.75" customHeight="1" x14ac:dyDescent="0.25">
      <c r="A158" s="316"/>
      <c r="D158" s="340"/>
      <c r="E158" s="340"/>
      <c r="F158" s="8"/>
      <c r="H158" s="330"/>
      <c r="I158" s="203"/>
      <c r="J158" s="11"/>
      <c r="K158" s="203"/>
      <c r="L158" s="186"/>
      <c r="M158" s="203"/>
      <c r="O158" s="203"/>
      <c r="Q158" s="203"/>
      <c r="R158" s="186"/>
      <c r="S158" s="203"/>
      <c r="U158" s="203"/>
      <c r="W158" s="203"/>
      <c r="Y158" s="203"/>
      <c r="Z158" s="130"/>
      <c r="AA158" s="15"/>
      <c r="AC158" s="203"/>
      <c r="AE158" s="203"/>
      <c r="AG158" s="203"/>
      <c r="AI158" s="203"/>
      <c r="AK158" s="203"/>
      <c r="AM158" s="203"/>
      <c r="AO158" s="203"/>
      <c r="AQ158" s="203"/>
      <c r="AS158" s="203"/>
      <c r="AT158" s="130"/>
      <c r="AU158" s="203"/>
      <c r="AW158" s="203"/>
      <c r="AY158" s="204"/>
      <c r="AZ158" s="130"/>
      <c r="BA158" s="1"/>
    </row>
    <row r="159" spans="1:53" s="17" customFormat="1" ht="15" customHeight="1" x14ac:dyDescent="0.25">
      <c r="A159" s="316"/>
      <c r="D159" s="340"/>
      <c r="E159" s="340"/>
      <c r="F159" s="8"/>
      <c r="H159" s="330"/>
      <c r="I159" s="341">
        <f>SUM(I154:I157)</f>
        <v>0</v>
      </c>
      <c r="J159" s="11"/>
      <c r="K159" s="341" t="e">
        <f>SUM(K154:K157)</f>
        <v>#REF!</v>
      </c>
      <c r="L159" s="186"/>
      <c r="M159" s="341">
        <f>SUM(M154:M157)</f>
        <v>0</v>
      </c>
      <c r="O159" s="341">
        <f>SUM(O154:O157)</f>
        <v>0</v>
      </c>
      <c r="Q159" s="341">
        <f>SUM(Q154:Q157)</f>
        <v>0</v>
      </c>
      <c r="R159" s="186"/>
      <c r="S159" s="341">
        <f>SUM(S154:S157)</f>
        <v>0</v>
      </c>
      <c r="U159" s="341"/>
      <c r="W159" s="341">
        <f>SUM(W154:W157)</f>
        <v>0</v>
      </c>
      <c r="Y159" s="341">
        <f>SUM(Y154:Y157)</f>
        <v>0</v>
      </c>
      <c r="Z159" s="130"/>
      <c r="AA159" s="15"/>
      <c r="AC159" s="341">
        <f>SUM(AC154:AC157)</f>
        <v>0</v>
      </c>
      <c r="AE159" s="341">
        <f>SUM(AE154:AE157)</f>
        <v>0</v>
      </c>
      <c r="AG159" s="341">
        <f>SUM(AG154:AG157)</f>
        <v>0</v>
      </c>
      <c r="AI159" s="341">
        <f>SUM(AI154:AI157)</f>
        <v>0</v>
      </c>
      <c r="AK159" s="341">
        <f>SUM(AK154:AK157)</f>
        <v>0</v>
      </c>
      <c r="AM159" s="341">
        <f>SUM(AM154:AM157)</f>
        <v>0</v>
      </c>
      <c r="AO159" s="341">
        <f>SUM(AO154:AO157)</f>
        <v>0</v>
      </c>
      <c r="AQ159" s="341">
        <f>SUM(AQ154:AQ157)</f>
        <v>0</v>
      </c>
      <c r="AS159" s="341">
        <f>SUM(AS154:AS157)</f>
        <v>0</v>
      </c>
      <c r="AT159" s="130"/>
      <c r="AU159" s="341">
        <f>SUM(AU154:AU157)</f>
        <v>0</v>
      </c>
      <c r="AW159" s="341">
        <f>SUM(AW154:AW157)</f>
        <v>0</v>
      </c>
      <c r="AY159" s="342" t="e">
        <f>SUM(AY154:AY157)</f>
        <v>#REF!</v>
      </c>
      <c r="AZ159" s="130"/>
      <c r="BA159" s="1"/>
    </row>
    <row r="160" spans="1:53" s="17" customFormat="1" ht="6.75" customHeight="1" x14ac:dyDescent="0.25">
      <c r="A160" s="316"/>
      <c r="D160" s="340"/>
      <c r="E160" s="340"/>
      <c r="F160" s="8"/>
      <c r="H160" s="330"/>
      <c r="I160" s="203"/>
      <c r="J160" s="198"/>
      <c r="K160" s="203"/>
      <c r="L160" s="186"/>
      <c r="M160" s="203"/>
      <c r="O160" s="203"/>
      <c r="Q160" s="203"/>
      <c r="R160" s="186"/>
      <c r="S160" s="203"/>
      <c r="U160" s="203"/>
      <c r="W160" s="203"/>
      <c r="Y160" s="203"/>
      <c r="Z160" s="130"/>
      <c r="AA160" s="15"/>
      <c r="AC160" s="203"/>
      <c r="AE160" s="203"/>
      <c r="AG160" s="203"/>
      <c r="AI160" s="203"/>
      <c r="AK160" s="203"/>
      <c r="AM160" s="203"/>
      <c r="AO160" s="203"/>
      <c r="AQ160" s="203"/>
      <c r="AS160" s="203"/>
      <c r="AT160" s="130"/>
      <c r="AU160" s="203"/>
      <c r="AW160" s="203"/>
      <c r="AY160" s="204"/>
      <c r="AZ160" s="130"/>
      <c r="BA160" s="1"/>
    </row>
    <row r="161" spans="1:53" ht="15" customHeight="1" x14ac:dyDescent="0.25">
      <c r="A161" s="343" t="s">
        <v>115</v>
      </c>
      <c r="B161" s="344"/>
      <c r="C161" s="344"/>
      <c r="D161" s="344"/>
      <c r="E161" s="344"/>
      <c r="F161" s="344"/>
      <c r="G161" s="325"/>
      <c r="H161" s="325"/>
      <c r="I161" s="302">
        <f>I151-I159</f>
        <v>38143366.864959992</v>
      </c>
      <c r="J161" s="11"/>
      <c r="K161" s="302" t="e">
        <f>K151-K159</f>
        <v>#REF!</v>
      </c>
      <c r="L161" s="303"/>
      <c r="M161" s="302" t="e">
        <f>M151-M159</f>
        <v>#REF!</v>
      </c>
      <c r="O161" s="302" t="e">
        <f>O151-O159</f>
        <v>#REF!</v>
      </c>
      <c r="Q161" s="302" t="e">
        <f>Q151-Q159</f>
        <v>#REF!</v>
      </c>
      <c r="R161" s="303"/>
      <c r="S161" s="302" t="e">
        <f>S151-S159</f>
        <v>#REF!</v>
      </c>
      <c r="U161" s="304"/>
      <c r="W161" s="302" t="e">
        <f>W151-W159</f>
        <v>#REF!</v>
      </c>
      <c r="Y161" s="302" t="e">
        <f>Y151-Y159</f>
        <v>#REF!</v>
      </c>
      <c r="Z161" s="305"/>
      <c r="AA161" s="15"/>
      <c r="AC161" s="302" t="e">
        <f>AC151-AC159</f>
        <v>#REF!</v>
      </c>
      <c r="AE161" s="302" t="e">
        <f>AE151-AE159</f>
        <v>#REF!</v>
      </c>
      <c r="AG161" s="302" t="e">
        <f>AG151-AG159</f>
        <v>#REF!</v>
      </c>
      <c r="AI161" s="302" t="e">
        <f>AI151-AI159</f>
        <v>#REF!</v>
      </c>
      <c r="AK161" s="302" t="e">
        <f>AK151-AK159</f>
        <v>#REF!</v>
      </c>
      <c r="AM161" s="302" t="e">
        <f>AM151-AM159</f>
        <v>#REF!</v>
      </c>
      <c r="AO161" s="302" t="e">
        <f>AO151-AO159</f>
        <v>#REF!</v>
      </c>
      <c r="AQ161" s="302" t="e">
        <f>AQ151-AQ159</f>
        <v>#REF!</v>
      </c>
      <c r="AS161" s="302" t="e">
        <f>AS151-AS159</f>
        <v>#REF!</v>
      </c>
      <c r="AT161" s="305"/>
      <c r="AU161" s="302" t="e">
        <f>AU151-AU159</f>
        <v>#REF!</v>
      </c>
      <c r="AW161" s="302" t="e">
        <f>AW151-AW159</f>
        <v>#REF!</v>
      </c>
      <c r="AY161" s="306" t="e">
        <f>AY151-AY159</f>
        <v>#REF!</v>
      </c>
      <c r="AZ161" s="67"/>
      <c r="BA161" s="1"/>
    </row>
    <row r="162" spans="1:53" ht="15" customHeight="1" x14ac:dyDescent="0.25">
      <c r="A162" s="345" t="s">
        <v>116</v>
      </c>
      <c r="B162" s="346"/>
      <c r="C162" s="346"/>
      <c r="D162" s="346"/>
      <c r="E162" s="346"/>
      <c r="F162" s="346"/>
      <c r="G162" s="347"/>
      <c r="H162" s="347"/>
      <c r="I162" s="348">
        <f>I161/I61</f>
        <v>0.21623223846349202</v>
      </c>
      <c r="J162" s="11"/>
      <c r="K162" s="348" t="e">
        <f>K161/K61</f>
        <v>#REF!</v>
      </c>
      <c r="L162" s="208"/>
      <c r="M162" s="348" t="e">
        <f>M161/M61</f>
        <v>#REF!</v>
      </c>
      <c r="O162" s="348" t="e">
        <f>O161/O61</f>
        <v>#REF!</v>
      </c>
      <c r="Q162" s="348" t="e">
        <f>Q161/Q61</f>
        <v>#REF!</v>
      </c>
      <c r="R162" s="208"/>
      <c r="S162" s="348" t="e">
        <f>S161/S61</f>
        <v>#REF!</v>
      </c>
      <c r="U162" s="349"/>
      <c r="W162" s="348" t="e">
        <f>W161/W61</f>
        <v>#REF!</v>
      </c>
      <c r="Y162" s="348" t="e">
        <f>Y161/Y61</f>
        <v>#REF!</v>
      </c>
      <c r="Z162" s="210"/>
      <c r="AA162" s="15"/>
      <c r="AC162" s="348" t="e">
        <f>AC161/AC61</f>
        <v>#REF!</v>
      </c>
      <c r="AE162" s="348" t="e">
        <f>AE161/AE61</f>
        <v>#REF!</v>
      </c>
      <c r="AG162" s="348" t="e">
        <f>AG161/AG61</f>
        <v>#REF!</v>
      </c>
      <c r="AI162" s="348" t="e">
        <f>AI161/AI61</f>
        <v>#REF!</v>
      </c>
      <c r="AK162" s="348" t="e">
        <f>AK161/AK61</f>
        <v>#REF!</v>
      </c>
      <c r="AM162" s="348" t="e">
        <f>AM161/AM61</f>
        <v>#REF!</v>
      </c>
      <c r="AO162" s="348" t="e">
        <f>AO161/AO61</f>
        <v>#REF!</v>
      </c>
      <c r="AQ162" s="348" t="e">
        <f>AQ161/AQ61</f>
        <v>#REF!</v>
      </c>
      <c r="AS162" s="348" t="e">
        <f>AS161/AS61</f>
        <v>#REF!</v>
      </c>
      <c r="AT162" s="210"/>
      <c r="AU162" s="348" t="e">
        <f>AU161/AU61</f>
        <v>#REF!</v>
      </c>
      <c r="AW162" s="348" t="e">
        <f>AW161/AW61</f>
        <v>#REF!</v>
      </c>
      <c r="AY162" s="350" t="e">
        <f>AY161/AY61</f>
        <v>#REF!</v>
      </c>
      <c r="AZ162" s="210"/>
      <c r="BA162" s="212"/>
    </row>
    <row r="163" spans="1:53" ht="15" customHeight="1" x14ac:dyDescent="0.3">
      <c r="A163" s="351"/>
      <c r="B163" s="352"/>
      <c r="D163" s="300"/>
      <c r="E163" s="300"/>
      <c r="F163" s="300"/>
      <c r="G163" s="353"/>
      <c r="H163" s="353"/>
      <c r="I163" s="354"/>
      <c r="J163" s="11"/>
      <c r="K163" s="210"/>
      <c r="L163" s="210"/>
      <c r="M163" s="210"/>
      <c r="O163" s="210"/>
      <c r="Q163" s="210"/>
      <c r="R163" s="210"/>
      <c r="S163" s="210"/>
      <c r="U163" s="210"/>
      <c r="W163" s="210"/>
      <c r="Y163" s="210"/>
      <c r="Z163" s="210"/>
      <c r="AA163" s="15"/>
      <c r="AC163" s="210"/>
      <c r="AE163" s="210"/>
      <c r="AF163" s="355"/>
      <c r="AG163" s="210"/>
      <c r="AI163" s="210"/>
      <c r="AK163" s="210"/>
      <c r="AM163" s="210"/>
      <c r="AO163" s="210"/>
      <c r="AQ163" s="210"/>
      <c r="AS163" s="210"/>
      <c r="AT163" s="210"/>
      <c r="AU163" s="210"/>
      <c r="AW163" s="210"/>
      <c r="AY163" s="210"/>
      <c r="AZ163" s="210"/>
      <c r="BA163" s="212"/>
    </row>
    <row r="164" spans="1:53" ht="15" customHeight="1" x14ac:dyDescent="0.3">
      <c r="B164" s="351"/>
      <c r="D164" s="300"/>
      <c r="E164" s="300"/>
      <c r="F164" s="300"/>
      <c r="G164" s="353"/>
      <c r="H164" s="353"/>
      <c r="I164" s="356"/>
      <c r="J164" s="11"/>
      <c r="K164" s="210"/>
      <c r="L164" s="210"/>
      <c r="M164" s="210"/>
      <c r="O164" s="210"/>
      <c r="Q164" s="210"/>
      <c r="R164" s="210"/>
      <c r="S164" s="210"/>
      <c r="U164" s="210"/>
      <c r="W164" s="210"/>
      <c r="Y164" s="210"/>
      <c r="Z164" s="210"/>
      <c r="AA164" s="15"/>
      <c r="AC164" s="210"/>
      <c r="AE164" s="210"/>
      <c r="AF164" s="355"/>
      <c r="AG164" s="210"/>
      <c r="AI164" s="210"/>
      <c r="AK164" s="210"/>
      <c r="AM164" s="210"/>
      <c r="AO164" s="210"/>
      <c r="AQ164" s="210"/>
      <c r="AS164" s="210"/>
      <c r="AT164" s="210"/>
      <c r="AU164" s="210"/>
      <c r="AW164" s="210"/>
      <c r="AY164" s="210"/>
      <c r="AZ164" s="210"/>
      <c r="BA164" s="212"/>
    </row>
    <row r="165" spans="1:53" ht="15" customHeight="1" x14ac:dyDescent="0.25">
      <c r="I165" s="357"/>
      <c r="J165" s="11"/>
      <c r="AA165" s="15"/>
    </row>
    <row r="166" spans="1:53" ht="15" customHeight="1" x14ac:dyDescent="0.25">
      <c r="J166" s="11"/>
      <c r="AA166" s="15"/>
    </row>
    <row r="167" spans="1:53" ht="15" customHeight="1" x14ac:dyDescent="0.25">
      <c r="J167" s="11"/>
      <c r="AA167" s="15"/>
    </row>
    <row r="168" spans="1:53" ht="15" customHeight="1" x14ac:dyDescent="0.25">
      <c r="J168" s="11"/>
      <c r="AA168" s="15"/>
    </row>
    <row r="169" spans="1:53" ht="15" customHeight="1" x14ac:dyDescent="0.25">
      <c r="I169" s="357"/>
      <c r="J169" s="11"/>
      <c r="AA169" s="15"/>
    </row>
    <row r="170" spans="1:53" ht="15" customHeight="1" x14ac:dyDescent="0.25">
      <c r="I170" s="357"/>
      <c r="J170" s="11"/>
      <c r="AA170" s="15"/>
    </row>
    <row r="171" spans="1:53" ht="15" customHeight="1" x14ac:dyDescent="0.25">
      <c r="G171" s="67"/>
      <c r="I171" s="357"/>
      <c r="J171" s="11"/>
      <c r="AA171" s="15"/>
    </row>
    <row r="172" spans="1:53" ht="15" customHeight="1" x14ac:dyDescent="0.25">
      <c r="I172" s="357"/>
      <c r="J172" s="11"/>
      <c r="AA172" s="15"/>
    </row>
    <row r="173" spans="1:53" ht="15" customHeight="1" x14ac:dyDescent="0.25">
      <c r="I173" s="357"/>
      <c r="J173" s="11"/>
    </row>
    <row r="174" spans="1:53" ht="15" customHeight="1" x14ac:dyDescent="0.25"/>
    <row r="175" spans="1:53" ht="15" customHeight="1" x14ac:dyDescent="0.25"/>
    <row r="176" spans="1:53" ht="15" customHeight="1" x14ac:dyDescent="0.25"/>
    <row r="177" spans="9:10" ht="15" customHeight="1" x14ac:dyDescent="0.25"/>
    <row r="178" spans="9:10" ht="15" customHeight="1" x14ac:dyDescent="0.25">
      <c r="I178" s="357"/>
      <c r="J178" s="11"/>
    </row>
    <row r="179" spans="9:10" ht="15" customHeight="1" x14ac:dyDescent="0.25">
      <c r="I179" s="357"/>
      <c r="J179" s="11"/>
    </row>
    <row r="180" spans="9:10" ht="15" customHeight="1" x14ac:dyDescent="0.25">
      <c r="I180" s="357"/>
      <c r="J180" s="11"/>
    </row>
    <row r="181" spans="9:10" ht="15" customHeight="1" x14ac:dyDescent="0.25">
      <c r="I181" s="357"/>
      <c r="J181" s="11"/>
    </row>
    <row r="182" spans="9:10" ht="15" customHeight="1" x14ac:dyDescent="0.25">
      <c r="J182" s="11"/>
    </row>
    <row r="183" spans="9:10" ht="15" customHeight="1" x14ac:dyDescent="0.25">
      <c r="I183" s="357"/>
      <c r="J183" s="11"/>
    </row>
    <row r="184" spans="9:10" ht="15" customHeight="1" x14ac:dyDescent="0.25">
      <c r="I184" s="357"/>
      <c r="J184" s="11"/>
    </row>
    <row r="185" spans="9:10" ht="15" customHeight="1" x14ac:dyDescent="0.25">
      <c r="I185" s="198"/>
      <c r="J185" s="198"/>
    </row>
    <row r="186" spans="9:10" ht="15" customHeight="1" x14ac:dyDescent="0.25">
      <c r="I186" s="198"/>
      <c r="J186" s="198"/>
    </row>
  </sheetData>
  <mergeCells count="50">
    <mergeCell ref="AW148:AW149"/>
    <mergeCell ref="AY148:AY149"/>
    <mergeCell ref="BA148:BA149"/>
    <mergeCell ref="A151:F152"/>
    <mergeCell ref="AM148:AM149"/>
    <mergeCell ref="AO148:AO149"/>
    <mergeCell ref="AQ148:AQ149"/>
    <mergeCell ref="AS148:AS149"/>
    <mergeCell ref="AU148:AU149"/>
    <mergeCell ref="AC148:AC149"/>
    <mergeCell ref="AE148:AE149"/>
    <mergeCell ref="AG148:AG149"/>
    <mergeCell ref="AI148:AI149"/>
    <mergeCell ref="AK148:AK149"/>
    <mergeCell ref="Q148:Q149"/>
    <mergeCell ref="S148:S149"/>
    <mergeCell ref="U148:U149"/>
    <mergeCell ref="W148:W149"/>
    <mergeCell ref="Y148:Y149"/>
    <mergeCell ref="A148:F149"/>
    <mergeCell ref="I148:I149"/>
    <mergeCell ref="K148:K149"/>
    <mergeCell ref="M148:M149"/>
    <mergeCell ref="O148:O149"/>
    <mergeCell ref="A141:F142"/>
    <mergeCell ref="AS137:AS138"/>
    <mergeCell ref="AU137:AU138"/>
    <mergeCell ref="AW137:AW138"/>
    <mergeCell ref="AY137:AY138"/>
    <mergeCell ref="A139:H139"/>
    <mergeCell ref="AI137:AI138"/>
    <mergeCell ref="AK137:AK138"/>
    <mergeCell ref="AM137:AM138"/>
    <mergeCell ref="AO137:AO138"/>
    <mergeCell ref="AQ137:AQ138"/>
    <mergeCell ref="W137:W138"/>
    <mergeCell ref="Y137:Y138"/>
    <mergeCell ref="AC137:AC138"/>
    <mergeCell ref="AE137:AE138"/>
    <mergeCell ref="AG137:AG138"/>
    <mergeCell ref="K137:K138"/>
    <mergeCell ref="M137:M138"/>
    <mergeCell ref="O137:O138"/>
    <mergeCell ref="Q137:Q138"/>
    <mergeCell ref="S137:S138"/>
    <mergeCell ref="A59:H60"/>
    <mergeCell ref="A79:A81"/>
    <mergeCell ref="B79:C81"/>
    <mergeCell ref="A137:F138"/>
    <mergeCell ref="I137:I138"/>
  </mergeCells>
  <pageMargins left="0.23611111111111099" right="0.23611111111111099" top="0.23611111111111099" bottom="0.51180555555555596" header="0.511811023622047" footer="0.511811023622047"/>
  <pageSetup paperSize="8" scale="44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43C0C"/>
  </sheetPr>
  <dimension ref="A1:BK99"/>
  <sheetViews>
    <sheetView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sqref="A1:AD1"/>
    </sheetView>
  </sheetViews>
  <sheetFormatPr defaultColWidth="8.6640625" defaultRowHeight="13.2" x14ac:dyDescent="0.25"/>
  <cols>
    <col min="1" max="1" width="42" customWidth="1"/>
    <col min="2" max="2" width="18" customWidth="1"/>
    <col min="3" max="62" width="9" customWidth="1"/>
    <col min="63" max="63" width="14" customWidth="1"/>
  </cols>
  <sheetData>
    <row r="1" spans="1:63" ht="27.75" customHeight="1" x14ac:dyDescent="0.25">
      <c r="A1" s="563" t="s">
        <v>117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  <c r="U1" s="563"/>
      <c r="V1" s="563"/>
      <c r="W1" s="563"/>
      <c r="X1" s="563"/>
      <c r="Y1" s="563"/>
      <c r="Z1" s="563"/>
      <c r="AA1" s="563"/>
      <c r="AB1" s="563"/>
      <c r="AC1" s="563"/>
      <c r="AD1" s="563"/>
    </row>
    <row r="2" spans="1:63" ht="15" customHeight="1" x14ac:dyDescent="0.25">
      <c r="A2" s="564" t="s">
        <v>118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  <c r="U2" s="564"/>
      <c r="V2" s="564"/>
      <c r="W2" s="564"/>
      <c r="X2" s="564"/>
      <c r="Y2" s="564"/>
      <c r="Z2" s="564"/>
      <c r="AA2" s="564"/>
      <c r="AB2" s="564"/>
      <c r="AC2" s="564"/>
      <c r="AD2" s="564"/>
    </row>
    <row r="3" spans="1:63" ht="15.75" customHeight="1" x14ac:dyDescent="0.25">
      <c r="A3" s="358"/>
      <c r="B3" s="358"/>
      <c r="C3" s="565" t="s">
        <v>119</v>
      </c>
      <c r="D3" s="565"/>
      <c r="E3" s="565"/>
      <c r="F3" s="565"/>
      <c r="G3" s="565"/>
      <c r="H3" s="565"/>
      <c r="I3" s="565"/>
      <c r="J3" s="565"/>
      <c r="K3" s="565"/>
      <c r="L3" s="565"/>
      <c r="M3" s="565"/>
      <c r="N3" s="565"/>
      <c r="O3" s="565" t="s">
        <v>120</v>
      </c>
      <c r="P3" s="565"/>
      <c r="Q3" s="565"/>
      <c r="R3" s="565"/>
      <c r="S3" s="565"/>
      <c r="T3" s="565"/>
      <c r="U3" s="565"/>
      <c r="V3" s="565"/>
      <c r="W3" s="565"/>
      <c r="X3" s="565"/>
      <c r="Y3" s="565"/>
      <c r="Z3" s="565"/>
      <c r="AA3" s="565" t="s">
        <v>121</v>
      </c>
      <c r="AB3" s="565"/>
      <c r="AC3" s="565"/>
      <c r="AD3" s="565"/>
      <c r="AE3" s="565"/>
      <c r="AF3" s="565"/>
      <c r="AG3" s="565"/>
      <c r="AH3" s="565"/>
      <c r="AI3" s="565"/>
      <c r="AJ3" s="565"/>
      <c r="AK3" s="565"/>
      <c r="AL3" s="565"/>
      <c r="AM3" s="565" t="s">
        <v>122</v>
      </c>
      <c r="AN3" s="565"/>
      <c r="AO3" s="565"/>
      <c r="AP3" s="565"/>
      <c r="AQ3" s="565"/>
      <c r="AR3" s="565"/>
      <c r="AS3" s="565"/>
      <c r="AT3" s="565"/>
      <c r="AU3" s="565"/>
      <c r="AV3" s="565"/>
      <c r="AW3" s="565"/>
      <c r="AX3" s="565"/>
      <c r="AY3" s="565" t="s">
        <v>123</v>
      </c>
      <c r="AZ3" s="565"/>
      <c r="BA3" s="565"/>
      <c r="BB3" s="565"/>
      <c r="BC3" s="565"/>
      <c r="BD3" s="565"/>
      <c r="BE3" s="565"/>
      <c r="BF3" s="565"/>
      <c r="BG3" s="565"/>
      <c r="BH3" s="565"/>
      <c r="BI3" s="565"/>
      <c r="BJ3" s="565"/>
    </row>
    <row r="4" spans="1:63" ht="27.75" customHeight="1" x14ac:dyDescent="0.25">
      <c r="A4" s="359" t="s">
        <v>124</v>
      </c>
      <c r="B4" s="360" t="s">
        <v>125</v>
      </c>
      <c r="C4" s="361" t="s">
        <v>126</v>
      </c>
      <c r="D4" s="361" t="s">
        <v>127</v>
      </c>
      <c r="E4" s="361" t="s">
        <v>128</v>
      </c>
      <c r="F4" s="361" t="s">
        <v>129</v>
      </c>
      <c r="G4" s="361" t="s">
        <v>130</v>
      </c>
      <c r="H4" s="361" t="s">
        <v>131</v>
      </c>
      <c r="I4" s="361" t="s">
        <v>132</v>
      </c>
      <c r="J4" s="361" t="s">
        <v>133</v>
      </c>
      <c r="K4" s="361" t="s">
        <v>134</v>
      </c>
      <c r="L4" s="361" t="s">
        <v>135</v>
      </c>
      <c r="M4" s="361" t="s">
        <v>136</v>
      </c>
      <c r="N4" s="361" t="s">
        <v>137</v>
      </c>
      <c r="O4" s="362" t="s">
        <v>138</v>
      </c>
      <c r="P4" s="362" t="s">
        <v>139</v>
      </c>
      <c r="Q4" s="362" t="s">
        <v>140</v>
      </c>
      <c r="R4" s="362" t="s">
        <v>141</v>
      </c>
      <c r="S4" s="362" t="s">
        <v>142</v>
      </c>
      <c r="T4" s="362" t="s">
        <v>143</v>
      </c>
      <c r="U4" s="362" t="s">
        <v>144</v>
      </c>
      <c r="V4" s="362" t="s">
        <v>145</v>
      </c>
      <c r="W4" s="362" t="s">
        <v>146</v>
      </c>
      <c r="X4" s="362" t="s">
        <v>147</v>
      </c>
      <c r="Y4" s="362" t="s">
        <v>148</v>
      </c>
      <c r="Z4" s="362" t="s">
        <v>149</v>
      </c>
      <c r="AA4" s="361" t="s">
        <v>150</v>
      </c>
      <c r="AB4" s="361" t="s">
        <v>151</v>
      </c>
      <c r="AC4" s="361" t="s">
        <v>152</v>
      </c>
      <c r="AD4" s="361" t="s">
        <v>153</v>
      </c>
      <c r="AE4" s="361" t="s">
        <v>154</v>
      </c>
      <c r="AF4" s="361" t="s">
        <v>155</v>
      </c>
      <c r="AG4" s="361" t="s">
        <v>156</v>
      </c>
      <c r="AH4" s="361" t="s">
        <v>157</v>
      </c>
      <c r="AI4" s="361" t="s">
        <v>158</v>
      </c>
      <c r="AJ4" s="361" t="s">
        <v>159</v>
      </c>
      <c r="AK4" s="361" t="s">
        <v>160</v>
      </c>
      <c r="AL4" s="361" t="s">
        <v>161</v>
      </c>
      <c r="AM4" s="362" t="s">
        <v>162</v>
      </c>
      <c r="AN4" s="362" t="s">
        <v>163</v>
      </c>
      <c r="AO4" s="362" t="s">
        <v>164</v>
      </c>
      <c r="AP4" s="362" t="s">
        <v>165</v>
      </c>
      <c r="AQ4" s="362" t="s">
        <v>166</v>
      </c>
      <c r="AR4" s="362" t="s">
        <v>167</v>
      </c>
      <c r="AS4" s="362" t="s">
        <v>168</v>
      </c>
      <c r="AT4" s="362" t="s">
        <v>169</v>
      </c>
      <c r="AU4" s="362" t="s">
        <v>170</v>
      </c>
      <c r="AV4" s="362" t="s">
        <v>171</v>
      </c>
      <c r="AW4" s="362" t="s">
        <v>172</v>
      </c>
      <c r="AX4" s="362" t="s">
        <v>173</v>
      </c>
      <c r="AY4" s="361" t="s">
        <v>174</v>
      </c>
      <c r="AZ4" s="361" t="s">
        <v>175</v>
      </c>
      <c r="BA4" s="361" t="s">
        <v>176</v>
      </c>
      <c r="BB4" s="361" t="s">
        <v>177</v>
      </c>
      <c r="BC4" s="361" t="s">
        <v>178</v>
      </c>
      <c r="BD4" s="361" t="s">
        <v>179</v>
      </c>
      <c r="BE4" s="361" t="s">
        <v>180</v>
      </c>
      <c r="BF4" s="361" t="s">
        <v>181</v>
      </c>
      <c r="BG4" s="361" t="s">
        <v>182</v>
      </c>
      <c r="BH4" s="361" t="s">
        <v>183</v>
      </c>
      <c r="BI4" s="361" t="s">
        <v>184</v>
      </c>
      <c r="BJ4" s="361" t="s">
        <v>185</v>
      </c>
      <c r="BK4" s="363" t="s">
        <v>21</v>
      </c>
    </row>
    <row r="5" spans="1:63" ht="13.5" customHeight="1" x14ac:dyDescent="0.25">
      <c r="A5" s="364" t="s">
        <v>186</v>
      </c>
      <c r="C5" s="365">
        <v>46023</v>
      </c>
      <c r="D5" s="365">
        <v>46054</v>
      </c>
      <c r="E5" s="365">
        <v>46082</v>
      </c>
      <c r="F5" s="365">
        <v>46113</v>
      </c>
      <c r="G5" s="365">
        <v>46143</v>
      </c>
      <c r="H5" s="365">
        <v>46174</v>
      </c>
      <c r="I5" s="365">
        <v>46204</v>
      </c>
      <c r="J5" s="365">
        <v>46235</v>
      </c>
      <c r="K5" s="365">
        <v>46266</v>
      </c>
      <c r="L5" s="365">
        <v>46296</v>
      </c>
      <c r="M5" s="365">
        <v>46327</v>
      </c>
      <c r="N5" s="365">
        <v>46357</v>
      </c>
      <c r="O5" s="365">
        <v>46388</v>
      </c>
      <c r="P5" s="365">
        <v>46419</v>
      </c>
      <c r="Q5" s="365">
        <v>46447</v>
      </c>
      <c r="R5" s="365">
        <v>46478</v>
      </c>
      <c r="S5" s="365">
        <v>46508</v>
      </c>
      <c r="T5" s="365">
        <v>46539</v>
      </c>
      <c r="U5" s="365">
        <v>46569</v>
      </c>
      <c r="V5" s="365">
        <v>46600</v>
      </c>
      <c r="W5" s="365">
        <v>46631</v>
      </c>
      <c r="X5" s="365">
        <v>46661</v>
      </c>
      <c r="Y5" s="365">
        <v>46692</v>
      </c>
      <c r="Z5" s="365">
        <v>46722</v>
      </c>
      <c r="AA5" s="365">
        <v>46753</v>
      </c>
      <c r="AB5" s="365">
        <v>46784</v>
      </c>
      <c r="AC5" s="365">
        <v>46813</v>
      </c>
      <c r="AD5" s="365">
        <v>46844</v>
      </c>
      <c r="AE5" s="365">
        <v>46874</v>
      </c>
      <c r="AF5" s="365">
        <v>46905</v>
      </c>
      <c r="AG5" s="365">
        <v>46935</v>
      </c>
      <c r="AH5" s="365">
        <v>46966</v>
      </c>
      <c r="AI5" s="365">
        <v>46997</v>
      </c>
      <c r="AJ5" s="365">
        <v>47027</v>
      </c>
      <c r="AK5" s="365">
        <v>47058</v>
      </c>
      <c r="AL5" s="365">
        <v>47088</v>
      </c>
      <c r="AM5" s="365">
        <v>47119</v>
      </c>
      <c r="AN5" s="365">
        <v>47150</v>
      </c>
      <c r="AO5" s="365">
        <v>47178</v>
      </c>
      <c r="AP5" s="365">
        <v>47209</v>
      </c>
      <c r="AQ5" s="365">
        <v>47239</v>
      </c>
      <c r="AR5" s="365">
        <v>47270</v>
      </c>
      <c r="AS5" s="365">
        <v>47300</v>
      </c>
      <c r="AT5" s="365">
        <v>47331</v>
      </c>
      <c r="AU5" s="365">
        <v>47362</v>
      </c>
      <c r="AV5" s="365">
        <v>47392</v>
      </c>
      <c r="AW5" s="365">
        <v>47423</v>
      </c>
      <c r="AX5" s="365">
        <v>47453</v>
      </c>
      <c r="AY5" s="365">
        <v>47484</v>
      </c>
      <c r="AZ5" s="365">
        <v>47515</v>
      </c>
      <c r="BA5" s="365">
        <v>47543</v>
      </c>
      <c r="BB5" s="365">
        <v>47574</v>
      </c>
      <c r="BC5" s="365">
        <v>47604</v>
      </c>
      <c r="BD5" s="365">
        <v>47635</v>
      </c>
      <c r="BE5" s="365">
        <v>47665</v>
      </c>
      <c r="BF5" s="365">
        <v>47696</v>
      </c>
      <c r="BG5" s="365">
        <v>47727</v>
      </c>
      <c r="BH5" s="365">
        <v>47757</v>
      </c>
      <c r="BI5" s="365">
        <v>47788</v>
      </c>
      <c r="BJ5" s="365">
        <v>47818</v>
      </c>
    </row>
    <row r="7" spans="1:63" ht="15" customHeight="1" x14ac:dyDescent="0.25">
      <c r="A7" s="566" t="s">
        <v>187</v>
      </c>
      <c r="B7" s="566"/>
      <c r="C7" s="566"/>
      <c r="D7" s="566"/>
      <c r="E7" s="566"/>
      <c r="F7" s="566"/>
      <c r="G7" s="566"/>
      <c r="H7" s="566"/>
      <c r="I7" s="566"/>
      <c r="J7" s="566"/>
      <c r="K7" s="566"/>
      <c r="L7" s="566"/>
      <c r="M7" s="566"/>
      <c r="N7" s="566"/>
      <c r="O7" s="566"/>
      <c r="P7" s="566"/>
      <c r="Q7" s="566"/>
      <c r="R7" s="566"/>
      <c r="S7" s="566"/>
      <c r="T7" s="566"/>
      <c r="U7" s="566"/>
      <c r="V7" s="566"/>
      <c r="W7" s="566"/>
      <c r="X7" s="566"/>
      <c r="Y7" s="566"/>
      <c r="Z7" s="566"/>
      <c r="AA7" s="566"/>
      <c r="AB7" s="566"/>
      <c r="AC7" s="566"/>
      <c r="AD7" s="566"/>
      <c r="AE7" s="566"/>
      <c r="AF7" s="566"/>
      <c r="AG7" s="566"/>
      <c r="AH7" s="566"/>
      <c r="AI7" s="566"/>
      <c r="AJ7" s="566"/>
      <c r="AK7" s="566"/>
      <c r="AL7" s="566"/>
      <c r="AM7" s="566"/>
      <c r="AN7" s="566"/>
      <c r="AO7" s="566"/>
      <c r="AP7" s="566"/>
      <c r="AQ7" s="566"/>
      <c r="AR7" s="566"/>
      <c r="AS7" s="566"/>
      <c r="AT7" s="566"/>
      <c r="AU7" s="566"/>
      <c r="AV7" s="566"/>
      <c r="AW7" s="566"/>
      <c r="AX7" s="566"/>
      <c r="AY7" s="566"/>
      <c r="AZ7" s="566"/>
      <c r="BA7" s="566"/>
      <c r="BB7" s="566"/>
      <c r="BC7" s="566"/>
      <c r="BD7" s="566"/>
      <c r="BE7" s="566"/>
      <c r="BF7" s="566"/>
      <c r="BG7" s="566"/>
      <c r="BH7" s="566"/>
      <c r="BI7" s="566"/>
      <c r="BJ7" s="566"/>
      <c r="BK7" s="566"/>
    </row>
    <row r="8" spans="1:63" ht="15" customHeight="1" x14ac:dyDescent="0.25">
      <c r="A8" s="366" t="s">
        <v>188</v>
      </c>
      <c r="B8" s="367" t="s">
        <v>189</v>
      </c>
    </row>
    <row r="9" spans="1:63" ht="15" customHeight="1" x14ac:dyDescent="0.25">
      <c r="A9" s="366" t="s">
        <v>190</v>
      </c>
      <c r="B9" s="368">
        <v>5</v>
      </c>
    </row>
    <row r="10" spans="1:63" ht="15" customHeight="1" x14ac:dyDescent="0.25">
      <c r="A10" s="366" t="s">
        <v>191</v>
      </c>
      <c r="B10" s="367" t="s">
        <v>192</v>
      </c>
    </row>
    <row r="11" spans="1:63" ht="15" customHeight="1" x14ac:dyDescent="0.25">
      <c r="A11" s="366" t="s">
        <v>193</v>
      </c>
      <c r="B11" s="369" t="e">
        <f>'Feasibility Study'!AY38/1000</f>
        <v>#REF!</v>
      </c>
    </row>
    <row r="12" spans="1:63" ht="15" customHeight="1" x14ac:dyDescent="0.25">
      <c r="A12" s="366" t="s">
        <v>194</v>
      </c>
      <c r="B12" s="369" t="e">
        <f>'Feasibility Study'!AY61/1000</f>
        <v>#REF!</v>
      </c>
    </row>
    <row r="13" spans="1:63" ht="15" customHeight="1" x14ac:dyDescent="0.25">
      <c r="A13" s="366" t="s">
        <v>195</v>
      </c>
      <c r="B13" s="369" t="e">
        <f>'Feasibility Study'!AY148/1000</f>
        <v>#REF!</v>
      </c>
    </row>
    <row r="14" spans="1:63" ht="15" customHeight="1" x14ac:dyDescent="0.25">
      <c r="A14" s="366" t="s">
        <v>196</v>
      </c>
      <c r="B14" s="369" t="e">
        <f>'Feasibility Study'!AY161/1000</f>
        <v>#REF!</v>
      </c>
    </row>
    <row r="15" spans="1:63" ht="15" customHeight="1" x14ac:dyDescent="0.25">
      <c r="A15" s="366" t="s">
        <v>197</v>
      </c>
      <c r="B15" s="369">
        <f>'Feasibility Study'!AY72/1000</f>
        <v>12797.928000000002</v>
      </c>
    </row>
    <row r="16" spans="1:63" ht="15" customHeight="1" x14ac:dyDescent="0.25">
      <c r="A16" s="366" t="s">
        <v>198</v>
      </c>
      <c r="B16" s="369" t="e">
        <f>'Feasibility Study'!AY79/1000</f>
        <v>#REF!</v>
      </c>
    </row>
    <row r="17" spans="1:63" ht="15" customHeight="1" x14ac:dyDescent="0.25">
      <c r="A17" s="366" t="s">
        <v>199</v>
      </c>
      <c r="B17" s="370">
        <v>4.5499999999999999E-2</v>
      </c>
    </row>
    <row r="18" spans="1:63" ht="15" customHeight="1" x14ac:dyDescent="0.25">
      <c r="A18" s="366" t="s">
        <v>200</v>
      </c>
      <c r="B18" s="371">
        <v>0.16</v>
      </c>
    </row>
    <row r="20" spans="1:63" ht="15" customHeight="1" x14ac:dyDescent="0.25">
      <c r="A20" s="566" t="s">
        <v>201</v>
      </c>
      <c r="B20" s="566"/>
      <c r="C20" s="566"/>
      <c r="D20" s="566"/>
      <c r="E20" s="566"/>
      <c r="F20" s="566"/>
      <c r="G20" s="566"/>
      <c r="H20" s="566"/>
      <c r="I20" s="566"/>
      <c r="J20" s="566"/>
      <c r="K20" s="566"/>
      <c r="L20" s="566"/>
      <c r="M20" s="566"/>
      <c r="N20" s="566"/>
      <c r="O20" s="566"/>
      <c r="P20" s="566"/>
      <c r="Q20" s="566"/>
      <c r="R20" s="566"/>
      <c r="S20" s="566"/>
      <c r="T20" s="566"/>
      <c r="U20" s="566"/>
      <c r="V20" s="566"/>
      <c r="W20" s="566"/>
      <c r="X20" s="566"/>
      <c r="Y20" s="566"/>
      <c r="Z20" s="566"/>
      <c r="AA20" s="566"/>
      <c r="AB20" s="566"/>
      <c r="AC20" s="566"/>
      <c r="AD20" s="566"/>
      <c r="AE20" s="566"/>
      <c r="AF20" s="566"/>
      <c r="AG20" s="566"/>
      <c r="AH20" s="566"/>
      <c r="AI20" s="566"/>
      <c r="AJ20" s="566"/>
      <c r="AK20" s="566"/>
      <c r="AL20" s="566"/>
      <c r="AM20" s="566"/>
      <c r="AN20" s="566"/>
      <c r="AO20" s="566"/>
      <c r="AP20" s="566"/>
      <c r="AQ20" s="566"/>
      <c r="AR20" s="566"/>
      <c r="AS20" s="566"/>
      <c r="AT20" s="566"/>
      <c r="AU20" s="566"/>
      <c r="AV20" s="566"/>
      <c r="AW20" s="566"/>
      <c r="AX20" s="566"/>
      <c r="AY20" s="566"/>
      <c r="AZ20" s="566"/>
      <c r="BA20" s="566"/>
      <c r="BB20" s="566"/>
      <c r="BC20" s="566"/>
      <c r="BD20" s="566"/>
      <c r="BE20" s="566"/>
      <c r="BF20" s="566"/>
      <c r="BG20" s="566"/>
      <c r="BH20" s="566"/>
      <c r="BI20" s="566"/>
      <c r="BJ20" s="566"/>
      <c r="BK20" s="566"/>
    </row>
    <row r="21" spans="1:63" ht="15" customHeight="1" x14ac:dyDescent="0.25">
      <c r="A21" s="567" t="s">
        <v>202</v>
      </c>
      <c r="B21" s="567"/>
      <c r="C21" s="567"/>
      <c r="D21" s="567"/>
      <c r="E21" s="567"/>
      <c r="F21" s="567"/>
      <c r="G21" s="567"/>
      <c r="H21" s="567"/>
      <c r="I21" s="567"/>
      <c r="J21" s="567"/>
      <c r="K21" s="567"/>
      <c r="L21" s="567"/>
      <c r="M21" s="567"/>
      <c r="N21" s="567"/>
      <c r="O21" s="567"/>
      <c r="P21" s="567"/>
      <c r="Q21" s="567"/>
      <c r="R21" s="567"/>
      <c r="S21" s="567"/>
      <c r="T21" s="567"/>
      <c r="U21" s="567"/>
      <c r="V21" s="567"/>
      <c r="W21" s="567"/>
      <c r="X21" s="567"/>
      <c r="Y21" s="567"/>
      <c r="Z21" s="567"/>
      <c r="AA21" s="567"/>
      <c r="AB21" s="567"/>
      <c r="AC21" s="567"/>
      <c r="AD21" s="567"/>
    </row>
    <row r="22" spans="1:63" ht="15" customHeight="1" x14ac:dyDescent="0.25">
      <c r="A22" s="372" t="s">
        <v>203</v>
      </c>
      <c r="B22" s="372" t="s">
        <v>204</v>
      </c>
      <c r="C22" s="373" t="s">
        <v>205</v>
      </c>
      <c r="D22" s="373" t="s">
        <v>206</v>
      </c>
      <c r="E22" s="373" t="s">
        <v>207</v>
      </c>
      <c r="F22" s="373" t="s">
        <v>208</v>
      </c>
      <c r="G22" s="373" t="s">
        <v>209</v>
      </c>
      <c r="H22" s="373" t="s">
        <v>210</v>
      </c>
      <c r="I22" s="373" t="s">
        <v>211</v>
      </c>
      <c r="J22" s="373" t="s">
        <v>212</v>
      </c>
      <c r="K22" s="373" t="s">
        <v>213</v>
      </c>
      <c r="L22" s="373" t="s">
        <v>214</v>
      </c>
      <c r="M22" s="373" t="s">
        <v>215</v>
      </c>
      <c r="N22" s="373" t="s">
        <v>216</v>
      </c>
      <c r="O22" s="373" t="s">
        <v>205</v>
      </c>
      <c r="P22" s="373" t="s">
        <v>206</v>
      </c>
      <c r="Q22" s="373" t="s">
        <v>207</v>
      </c>
      <c r="R22" s="373" t="s">
        <v>208</v>
      </c>
      <c r="S22" s="373" t="s">
        <v>209</v>
      </c>
      <c r="T22" s="373" t="s">
        <v>210</v>
      </c>
      <c r="U22" s="373" t="s">
        <v>211</v>
      </c>
      <c r="V22" s="373" t="s">
        <v>212</v>
      </c>
      <c r="W22" s="373" t="s">
        <v>213</v>
      </c>
      <c r="X22" s="373" t="s">
        <v>214</v>
      </c>
      <c r="Y22" s="373" t="s">
        <v>215</v>
      </c>
      <c r="Z22" s="373" t="s">
        <v>216</v>
      </c>
      <c r="AA22" s="373" t="s">
        <v>205</v>
      </c>
      <c r="AB22" s="373" t="s">
        <v>206</v>
      </c>
      <c r="AC22" s="373" t="s">
        <v>207</v>
      </c>
      <c r="AD22" s="373" t="s">
        <v>208</v>
      </c>
      <c r="AE22" s="373" t="s">
        <v>209</v>
      </c>
      <c r="AF22" s="373" t="s">
        <v>210</v>
      </c>
      <c r="AG22" s="373" t="s">
        <v>211</v>
      </c>
      <c r="AH22" s="373" t="s">
        <v>212</v>
      </c>
      <c r="AI22" s="373" t="s">
        <v>213</v>
      </c>
      <c r="AJ22" s="373" t="s">
        <v>214</v>
      </c>
      <c r="AK22" s="373" t="s">
        <v>215</v>
      </c>
      <c r="AL22" s="373" t="s">
        <v>216</v>
      </c>
      <c r="AM22" s="373" t="s">
        <v>205</v>
      </c>
      <c r="AN22" s="373" t="s">
        <v>206</v>
      </c>
      <c r="AO22" s="373" t="s">
        <v>207</v>
      </c>
      <c r="AP22" s="373" t="s">
        <v>208</v>
      </c>
      <c r="AQ22" s="373" t="s">
        <v>209</v>
      </c>
      <c r="AR22" s="373" t="s">
        <v>210</v>
      </c>
      <c r="AS22" s="373" t="s">
        <v>211</v>
      </c>
      <c r="AT22" s="373" t="s">
        <v>212</v>
      </c>
      <c r="AU22" s="373" t="s">
        <v>213</v>
      </c>
      <c r="AV22" s="373" t="s">
        <v>214</v>
      </c>
      <c r="AW22" s="373" t="s">
        <v>215</v>
      </c>
      <c r="AX22" s="373" t="s">
        <v>216</v>
      </c>
      <c r="AY22" s="373" t="s">
        <v>205</v>
      </c>
      <c r="AZ22" s="373" t="s">
        <v>206</v>
      </c>
      <c r="BA22" s="373" t="s">
        <v>207</v>
      </c>
      <c r="BB22" s="373" t="s">
        <v>208</v>
      </c>
      <c r="BC22" s="373" t="s">
        <v>209</v>
      </c>
      <c r="BD22" s="373" t="s">
        <v>210</v>
      </c>
      <c r="BE22" s="373" t="s">
        <v>211</v>
      </c>
      <c r="BF22" s="373" t="s">
        <v>212</v>
      </c>
      <c r="BG22" s="373" t="s">
        <v>213</v>
      </c>
      <c r="BH22" s="373" t="s">
        <v>214</v>
      </c>
      <c r="BI22" s="373" t="s">
        <v>215</v>
      </c>
      <c r="BJ22" s="373" t="s">
        <v>216</v>
      </c>
      <c r="BK22" s="374" t="s">
        <v>217</v>
      </c>
    </row>
    <row r="23" spans="1:63" ht="15" customHeight="1" x14ac:dyDescent="0.25">
      <c r="A23" s="367" t="s">
        <v>218</v>
      </c>
      <c r="B23" s="375" t="s">
        <v>219</v>
      </c>
      <c r="C23" s="376">
        <v>0.01</v>
      </c>
      <c r="D23" s="376">
        <v>0.01</v>
      </c>
      <c r="E23" s="376">
        <v>0.01</v>
      </c>
      <c r="F23" s="376">
        <v>0.02</v>
      </c>
      <c r="G23" s="376">
        <v>0.02</v>
      </c>
      <c r="H23" s="376">
        <v>0.02</v>
      </c>
      <c r="I23" s="376">
        <v>0.02</v>
      </c>
      <c r="J23" s="376">
        <v>0.02</v>
      </c>
      <c r="K23" s="376">
        <v>0.02</v>
      </c>
      <c r="L23" s="376">
        <v>0.03</v>
      </c>
      <c r="M23" s="376">
        <v>0.03</v>
      </c>
      <c r="N23" s="376">
        <v>0.03</v>
      </c>
      <c r="O23" s="376">
        <v>0.03</v>
      </c>
      <c r="P23" s="376">
        <v>0.03</v>
      </c>
      <c r="Q23" s="376">
        <v>0.03</v>
      </c>
      <c r="R23" s="376">
        <v>0.04</v>
      </c>
      <c r="S23" s="376">
        <v>0.04</v>
      </c>
      <c r="T23" s="376">
        <v>0.04</v>
      </c>
      <c r="U23" s="376">
        <v>0.04</v>
      </c>
      <c r="V23" s="376">
        <v>0.04</v>
      </c>
      <c r="W23" s="376">
        <v>0.04</v>
      </c>
      <c r="X23" s="376">
        <v>0.04</v>
      </c>
      <c r="Y23" s="376">
        <v>0.03</v>
      </c>
      <c r="Z23" s="376">
        <v>0.03</v>
      </c>
      <c r="AA23" s="376">
        <v>0.03</v>
      </c>
      <c r="AB23" s="376">
        <v>0.03</v>
      </c>
      <c r="AC23" s="376">
        <v>0.03</v>
      </c>
      <c r="AD23" s="376">
        <v>0.02</v>
      </c>
      <c r="AE23" s="376">
        <v>0.02</v>
      </c>
      <c r="AF23" s="376">
        <v>0.02</v>
      </c>
      <c r="AG23" s="376">
        <v>0.02</v>
      </c>
      <c r="AH23" s="376">
        <v>0.02</v>
      </c>
      <c r="AI23" s="376">
        <v>0.02</v>
      </c>
      <c r="AJ23" s="376">
        <v>0.02</v>
      </c>
      <c r="AK23" s="376">
        <v>0.02</v>
      </c>
      <c r="AL23" s="376">
        <v>0.02</v>
      </c>
      <c r="AM23" s="376">
        <v>0.01</v>
      </c>
      <c r="AN23" s="376">
        <v>0.01</v>
      </c>
      <c r="AO23" s="376">
        <v>0.01</v>
      </c>
      <c r="AP23" s="376">
        <v>0.01</v>
      </c>
      <c r="AQ23" s="376">
        <v>0.01</v>
      </c>
      <c r="AR23" s="376">
        <v>0.01</v>
      </c>
      <c r="AS23" s="376">
        <v>0</v>
      </c>
      <c r="AT23" s="376">
        <v>0</v>
      </c>
      <c r="AU23" s="376">
        <v>0</v>
      </c>
      <c r="AV23" s="376">
        <v>0</v>
      </c>
      <c r="AW23" s="376">
        <v>0</v>
      </c>
      <c r="AX23" s="376">
        <v>0</v>
      </c>
      <c r="AY23" s="376">
        <v>0</v>
      </c>
      <c r="AZ23" s="376">
        <v>0</v>
      </c>
      <c r="BA23" s="376">
        <v>0</v>
      </c>
      <c r="BB23" s="376">
        <v>0</v>
      </c>
      <c r="BC23" s="376">
        <v>0</v>
      </c>
      <c r="BD23" s="376">
        <v>0</v>
      </c>
      <c r="BE23" s="376">
        <v>0</v>
      </c>
      <c r="BF23" s="376">
        <v>0</v>
      </c>
      <c r="BG23" s="376">
        <v>0</v>
      </c>
      <c r="BH23" s="376">
        <v>0</v>
      </c>
      <c r="BI23" s="376">
        <v>0</v>
      </c>
      <c r="BJ23" s="376">
        <v>0</v>
      </c>
      <c r="BK23" s="377">
        <f t="shared" ref="BK23:BK40" si="0">SUM(C23:BJ23)</f>
        <v>1.0000000000000004</v>
      </c>
    </row>
    <row r="24" spans="1:63" ht="15" customHeight="1" x14ac:dyDescent="0.25">
      <c r="A24" s="367" t="s">
        <v>220</v>
      </c>
      <c r="B24" s="375" t="s">
        <v>219</v>
      </c>
      <c r="C24" s="376">
        <v>0.01</v>
      </c>
      <c r="D24" s="376">
        <v>0.01</v>
      </c>
      <c r="E24" s="376">
        <v>0.01</v>
      </c>
      <c r="F24" s="376">
        <v>0.02</v>
      </c>
      <c r="G24" s="376">
        <v>0.02</v>
      </c>
      <c r="H24" s="376">
        <v>0.02</v>
      </c>
      <c r="I24" s="376">
        <v>0.02</v>
      </c>
      <c r="J24" s="376">
        <v>0.02</v>
      </c>
      <c r="K24" s="376">
        <v>0.02</v>
      </c>
      <c r="L24" s="376">
        <v>0.03</v>
      </c>
      <c r="M24" s="376">
        <v>0.03</v>
      </c>
      <c r="N24" s="376">
        <v>0.03</v>
      </c>
      <c r="O24" s="376">
        <v>0.03</v>
      </c>
      <c r="P24" s="376">
        <v>0.03</v>
      </c>
      <c r="Q24" s="376">
        <v>0.03</v>
      </c>
      <c r="R24" s="376">
        <v>0.04</v>
      </c>
      <c r="S24" s="376">
        <v>0.04</v>
      </c>
      <c r="T24" s="376">
        <v>0.04</v>
      </c>
      <c r="U24" s="376">
        <v>0.04</v>
      </c>
      <c r="V24" s="376">
        <v>0.04</v>
      </c>
      <c r="W24" s="376">
        <v>0.04</v>
      </c>
      <c r="X24" s="376">
        <v>0.04</v>
      </c>
      <c r="Y24" s="376">
        <v>0.03</v>
      </c>
      <c r="Z24" s="376">
        <v>0.03</v>
      </c>
      <c r="AA24" s="376">
        <v>0.03</v>
      </c>
      <c r="AB24" s="376">
        <v>0.03</v>
      </c>
      <c r="AC24" s="376">
        <v>0.03</v>
      </c>
      <c r="AD24" s="376">
        <v>0.02</v>
      </c>
      <c r="AE24" s="376">
        <v>0.02</v>
      </c>
      <c r="AF24" s="376">
        <v>0.02</v>
      </c>
      <c r="AG24" s="376">
        <v>0.02</v>
      </c>
      <c r="AH24" s="376">
        <v>0.02</v>
      </c>
      <c r="AI24" s="376">
        <v>0.02</v>
      </c>
      <c r="AJ24" s="376">
        <v>0.02</v>
      </c>
      <c r="AK24" s="376">
        <v>0.02</v>
      </c>
      <c r="AL24" s="376">
        <v>0.02</v>
      </c>
      <c r="AM24" s="376">
        <v>0.01</v>
      </c>
      <c r="AN24" s="376">
        <v>0.01</v>
      </c>
      <c r="AO24" s="376">
        <v>0.01</v>
      </c>
      <c r="AP24" s="376">
        <v>0.01</v>
      </c>
      <c r="AQ24" s="376">
        <v>0.01</v>
      </c>
      <c r="AR24" s="376">
        <v>0.01</v>
      </c>
      <c r="AS24" s="376">
        <v>0</v>
      </c>
      <c r="AT24" s="376">
        <v>0</v>
      </c>
      <c r="AU24" s="376">
        <v>0</v>
      </c>
      <c r="AV24" s="376">
        <v>0</v>
      </c>
      <c r="AW24" s="376">
        <v>0</v>
      </c>
      <c r="AX24" s="376">
        <v>0</v>
      </c>
      <c r="AY24" s="376">
        <v>0</v>
      </c>
      <c r="AZ24" s="376">
        <v>0</v>
      </c>
      <c r="BA24" s="376">
        <v>0</v>
      </c>
      <c r="BB24" s="376">
        <v>0</v>
      </c>
      <c r="BC24" s="376">
        <v>0</v>
      </c>
      <c r="BD24" s="376">
        <v>0</v>
      </c>
      <c r="BE24" s="376">
        <v>0</v>
      </c>
      <c r="BF24" s="376">
        <v>0</v>
      </c>
      <c r="BG24" s="376">
        <v>0</v>
      </c>
      <c r="BH24" s="376">
        <v>0</v>
      </c>
      <c r="BI24" s="376">
        <v>0</v>
      </c>
      <c r="BJ24" s="376">
        <v>0</v>
      </c>
      <c r="BK24" s="377">
        <f t="shared" si="0"/>
        <v>1.0000000000000004</v>
      </c>
    </row>
    <row r="25" spans="1:63" ht="15" customHeight="1" x14ac:dyDescent="0.25">
      <c r="A25" s="367" t="s">
        <v>221</v>
      </c>
      <c r="B25" s="375" t="s">
        <v>222</v>
      </c>
      <c r="C25" s="376">
        <v>0.02</v>
      </c>
      <c r="D25" s="376">
        <v>0.02</v>
      </c>
      <c r="E25" s="376">
        <v>0.03</v>
      </c>
      <c r="F25" s="376">
        <v>0.03</v>
      </c>
      <c r="G25" s="376">
        <v>0.03</v>
      </c>
      <c r="H25" s="376">
        <v>0.05</v>
      </c>
      <c r="I25" s="376">
        <v>0.04</v>
      </c>
      <c r="J25" s="376">
        <v>0.04</v>
      </c>
      <c r="K25" s="376">
        <v>0.04</v>
      </c>
      <c r="L25" s="376">
        <v>0.04</v>
      </c>
      <c r="M25" s="376">
        <v>0.04</v>
      </c>
      <c r="N25" s="376">
        <v>0.04</v>
      </c>
      <c r="O25" s="376">
        <v>0.04</v>
      </c>
      <c r="P25" s="376">
        <v>0.04</v>
      </c>
      <c r="Q25" s="376">
        <v>0.04</v>
      </c>
      <c r="R25" s="376">
        <v>0.04</v>
      </c>
      <c r="S25" s="376">
        <v>0.03</v>
      </c>
      <c r="T25" s="376">
        <v>0.03</v>
      </c>
      <c r="U25" s="376">
        <v>0.03</v>
      </c>
      <c r="V25" s="376">
        <v>0.03</v>
      </c>
      <c r="W25" s="376">
        <v>0.03</v>
      </c>
      <c r="X25" s="376">
        <v>0.03</v>
      </c>
      <c r="Y25" s="376">
        <v>0.03</v>
      </c>
      <c r="Z25" s="376">
        <v>0.03</v>
      </c>
      <c r="AA25" s="376">
        <v>0.02</v>
      </c>
      <c r="AB25" s="376">
        <v>0.02</v>
      </c>
      <c r="AC25" s="376">
        <v>0.02</v>
      </c>
      <c r="AD25" s="376">
        <v>0.02</v>
      </c>
      <c r="AE25" s="376">
        <v>0.02</v>
      </c>
      <c r="AF25" s="376">
        <v>0.02</v>
      </c>
      <c r="AG25" s="376">
        <v>0.01</v>
      </c>
      <c r="AH25" s="376">
        <v>0.01</v>
      </c>
      <c r="AI25" s="376">
        <v>0.01</v>
      </c>
      <c r="AJ25" s="376">
        <v>0.01</v>
      </c>
      <c r="AK25" s="376">
        <v>0.01</v>
      </c>
      <c r="AL25" s="376">
        <v>0.01</v>
      </c>
      <c r="AM25" s="376">
        <v>0</v>
      </c>
      <c r="AN25" s="376">
        <v>0</v>
      </c>
      <c r="AO25" s="376">
        <v>0</v>
      </c>
      <c r="AP25" s="376">
        <v>0</v>
      </c>
      <c r="AQ25" s="376">
        <v>0</v>
      </c>
      <c r="AR25" s="376">
        <v>0</v>
      </c>
      <c r="AS25" s="376">
        <v>0</v>
      </c>
      <c r="AT25" s="376">
        <v>0</v>
      </c>
      <c r="AU25" s="376">
        <v>0</v>
      </c>
      <c r="AV25" s="376">
        <v>0</v>
      </c>
      <c r="AW25" s="376">
        <v>0</v>
      </c>
      <c r="AX25" s="376">
        <v>0</v>
      </c>
      <c r="AY25" s="376">
        <v>0</v>
      </c>
      <c r="AZ25" s="376">
        <v>0</v>
      </c>
      <c r="BA25" s="376">
        <v>0</v>
      </c>
      <c r="BB25" s="376">
        <v>0</v>
      </c>
      <c r="BC25" s="376">
        <v>0</v>
      </c>
      <c r="BD25" s="376">
        <v>0</v>
      </c>
      <c r="BE25" s="376">
        <v>0</v>
      </c>
      <c r="BF25" s="376">
        <v>0</v>
      </c>
      <c r="BG25" s="376">
        <v>0</v>
      </c>
      <c r="BH25" s="376">
        <v>0</v>
      </c>
      <c r="BI25" s="376">
        <v>0</v>
      </c>
      <c r="BJ25" s="376">
        <v>0</v>
      </c>
      <c r="BK25" s="377">
        <f t="shared" si="0"/>
        <v>1.0000000000000002</v>
      </c>
    </row>
    <row r="26" spans="1:63" ht="15" customHeight="1" x14ac:dyDescent="0.25">
      <c r="A26" s="367" t="s">
        <v>223</v>
      </c>
      <c r="B26" s="375" t="s">
        <v>222</v>
      </c>
      <c r="C26" s="376">
        <v>0.02</v>
      </c>
      <c r="D26" s="376">
        <v>0.02</v>
      </c>
      <c r="E26" s="376">
        <v>0.03</v>
      </c>
      <c r="F26" s="376">
        <v>0.03</v>
      </c>
      <c r="G26" s="376">
        <v>0.03</v>
      </c>
      <c r="H26" s="376">
        <v>0.05</v>
      </c>
      <c r="I26" s="376">
        <v>0.04</v>
      </c>
      <c r="J26" s="376">
        <v>0.04</v>
      </c>
      <c r="K26" s="376">
        <v>0.04</v>
      </c>
      <c r="L26" s="376">
        <v>0.04</v>
      </c>
      <c r="M26" s="376">
        <v>0.04</v>
      </c>
      <c r="N26" s="376">
        <v>0.04</v>
      </c>
      <c r="O26" s="376">
        <v>0.04</v>
      </c>
      <c r="P26" s="376">
        <v>0.04</v>
      </c>
      <c r="Q26" s="376">
        <v>0.04</v>
      </c>
      <c r="R26" s="376">
        <v>0.04</v>
      </c>
      <c r="S26" s="376">
        <v>0.03</v>
      </c>
      <c r="T26" s="376">
        <v>0.03</v>
      </c>
      <c r="U26" s="376">
        <v>0.03</v>
      </c>
      <c r="V26" s="376">
        <v>0.03</v>
      </c>
      <c r="W26" s="376">
        <v>0.03</v>
      </c>
      <c r="X26" s="376">
        <v>0.03</v>
      </c>
      <c r="Y26" s="376">
        <v>0.03</v>
      </c>
      <c r="Z26" s="376">
        <v>0.03</v>
      </c>
      <c r="AA26" s="376">
        <v>0.02</v>
      </c>
      <c r="AB26" s="376">
        <v>0.02</v>
      </c>
      <c r="AC26" s="376">
        <v>0.02</v>
      </c>
      <c r="AD26" s="376">
        <v>0.02</v>
      </c>
      <c r="AE26" s="376">
        <v>0.02</v>
      </c>
      <c r="AF26" s="376">
        <v>0.02</v>
      </c>
      <c r="AG26" s="376">
        <v>0.01</v>
      </c>
      <c r="AH26" s="376">
        <v>0.01</v>
      </c>
      <c r="AI26" s="376">
        <v>0.01</v>
      </c>
      <c r="AJ26" s="376">
        <v>0.01</v>
      </c>
      <c r="AK26" s="376">
        <v>0.01</v>
      </c>
      <c r="AL26" s="376">
        <v>0.01</v>
      </c>
      <c r="AM26" s="376">
        <v>0</v>
      </c>
      <c r="AN26" s="376">
        <v>0</v>
      </c>
      <c r="AO26" s="376">
        <v>0</v>
      </c>
      <c r="AP26" s="376">
        <v>0</v>
      </c>
      <c r="AQ26" s="376">
        <v>0</v>
      </c>
      <c r="AR26" s="376">
        <v>0</v>
      </c>
      <c r="AS26" s="376">
        <v>0</v>
      </c>
      <c r="AT26" s="376">
        <v>0</v>
      </c>
      <c r="AU26" s="376">
        <v>0</v>
      </c>
      <c r="AV26" s="376">
        <v>0</v>
      </c>
      <c r="AW26" s="376">
        <v>0</v>
      </c>
      <c r="AX26" s="376">
        <v>0</v>
      </c>
      <c r="AY26" s="376">
        <v>0</v>
      </c>
      <c r="AZ26" s="376">
        <v>0</v>
      </c>
      <c r="BA26" s="376">
        <v>0</v>
      </c>
      <c r="BB26" s="376">
        <v>0</v>
      </c>
      <c r="BC26" s="376">
        <v>0</v>
      </c>
      <c r="BD26" s="376">
        <v>0</v>
      </c>
      <c r="BE26" s="376">
        <v>0</v>
      </c>
      <c r="BF26" s="376">
        <v>0</v>
      </c>
      <c r="BG26" s="376">
        <v>0</v>
      </c>
      <c r="BH26" s="376">
        <v>0</v>
      </c>
      <c r="BI26" s="376">
        <v>0</v>
      </c>
      <c r="BJ26" s="376">
        <v>0</v>
      </c>
      <c r="BK26" s="377">
        <f t="shared" si="0"/>
        <v>1.0000000000000002</v>
      </c>
    </row>
    <row r="27" spans="1:63" ht="15" customHeight="1" x14ac:dyDescent="0.25">
      <c r="A27" s="367" t="s">
        <v>224</v>
      </c>
      <c r="B27" s="375" t="s">
        <v>225</v>
      </c>
      <c r="C27" s="376">
        <v>0.02</v>
      </c>
      <c r="D27" s="376">
        <v>0.03</v>
      </c>
      <c r="E27" s="376">
        <v>0.03</v>
      </c>
      <c r="F27" s="376">
        <v>0.04</v>
      </c>
      <c r="G27" s="376">
        <v>0.04</v>
      </c>
      <c r="H27" s="376">
        <v>0.04</v>
      </c>
      <c r="I27" s="376">
        <v>0.04</v>
      </c>
      <c r="J27" s="376">
        <v>0.04</v>
      </c>
      <c r="K27" s="376">
        <v>0.05</v>
      </c>
      <c r="L27" s="376">
        <v>0.05</v>
      </c>
      <c r="M27" s="376">
        <v>0.05</v>
      </c>
      <c r="N27" s="376">
        <v>0.05</v>
      </c>
      <c r="O27" s="376">
        <v>0.05</v>
      </c>
      <c r="P27" s="376">
        <v>0.05</v>
      </c>
      <c r="Q27" s="376">
        <v>0.05</v>
      </c>
      <c r="R27" s="376">
        <v>0.05</v>
      </c>
      <c r="S27" s="376">
        <v>0.04</v>
      </c>
      <c r="T27" s="376">
        <v>0.04</v>
      </c>
      <c r="U27" s="376">
        <v>0.04</v>
      </c>
      <c r="V27" s="376">
        <v>0.04</v>
      </c>
      <c r="W27" s="376">
        <v>0.03</v>
      </c>
      <c r="X27" s="376">
        <v>0.03</v>
      </c>
      <c r="Y27" s="376">
        <v>0.02</v>
      </c>
      <c r="Z27" s="376">
        <v>0.02</v>
      </c>
      <c r="AA27" s="376">
        <v>0.01</v>
      </c>
      <c r="AB27" s="376">
        <v>0.01</v>
      </c>
      <c r="AC27" s="376">
        <v>0.01</v>
      </c>
      <c r="AD27" s="376">
        <v>0.01</v>
      </c>
      <c r="AE27" s="376">
        <v>0.01</v>
      </c>
      <c r="AF27" s="376">
        <v>0.01</v>
      </c>
      <c r="AG27" s="376">
        <v>0</v>
      </c>
      <c r="AH27" s="376">
        <v>0</v>
      </c>
      <c r="AI27" s="376">
        <v>0</v>
      </c>
      <c r="AJ27" s="376">
        <v>0</v>
      </c>
      <c r="AK27" s="376">
        <v>0</v>
      </c>
      <c r="AL27" s="376">
        <v>0</v>
      </c>
      <c r="AM27" s="376">
        <v>0</v>
      </c>
      <c r="AN27" s="376">
        <v>0</v>
      </c>
      <c r="AO27" s="376">
        <v>0</v>
      </c>
      <c r="AP27" s="376">
        <v>0</v>
      </c>
      <c r="AQ27" s="376">
        <v>0</v>
      </c>
      <c r="AR27" s="376">
        <v>0</v>
      </c>
      <c r="AS27" s="376">
        <v>0</v>
      </c>
      <c r="AT27" s="376">
        <v>0</v>
      </c>
      <c r="AU27" s="376">
        <v>0</v>
      </c>
      <c r="AV27" s="376">
        <v>0</v>
      </c>
      <c r="AW27" s="376">
        <v>0</v>
      </c>
      <c r="AX27" s="376">
        <v>0</v>
      </c>
      <c r="AY27" s="376">
        <v>0</v>
      </c>
      <c r="AZ27" s="376">
        <v>0</v>
      </c>
      <c r="BA27" s="376">
        <v>0</v>
      </c>
      <c r="BB27" s="376">
        <v>0</v>
      </c>
      <c r="BC27" s="376">
        <v>0</v>
      </c>
      <c r="BD27" s="376">
        <v>0</v>
      </c>
      <c r="BE27" s="376">
        <v>0</v>
      </c>
      <c r="BF27" s="376">
        <v>0</v>
      </c>
      <c r="BG27" s="376">
        <v>0</v>
      </c>
      <c r="BH27" s="376">
        <v>0</v>
      </c>
      <c r="BI27" s="376">
        <v>0</v>
      </c>
      <c r="BJ27" s="376">
        <v>0</v>
      </c>
      <c r="BK27" s="377">
        <f t="shared" si="0"/>
        <v>1.0000000000000004</v>
      </c>
    </row>
    <row r="28" spans="1:63" ht="15" customHeight="1" x14ac:dyDescent="0.25">
      <c r="A28" s="367" t="s">
        <v>226</v>
      </c>
      <c r="B28" s="375" t="s">
        <v>219</v>
      </c>
      <c r="C28" s="376">
        <v>0.01</v>
      </c>
      <c r="D28" s="376">
        <v>0.01</v>
      </c>
      <c r="E28" s="376">
        <v>0.01</v>
      </c>
      <c r="F28" s="376">
        <v>0.02</v>
      </c>
      <c r="G28" s="376">
        <v>0.02</v>
      </c>
      <c r="H28" s="376">
        <v>0.02</v>
      </c>
      <c r="I28" s="376">
        <v>0.02</v>
      </c>
      <c r="J28" s="376">
        <v>0.02</v>
      </c>
      <c r="K28" s="376">
        <v>0.02</v>
      </c>
      <c r="L28" s="376">
        <v>0.03</v>
      </c>
      <c r="M28" s="376">
        <v>0.03</v>
      </c>
      <c r="N28" s="376">
        <v>0.03</v>
      </c>
      <c r="O28" s="376">
        <v>0.03</v>
      </c>
      <c r="P28" s="376">
        <v>0.03</v>
      </c>
      <c r="Q28" s="376">
        <v>0.03</v>
      </c>
      <c r="R28" s="376">
        <v>0.04</v>
      </c>
      <c r="S28" s="376">
        <v>0.04</v>
      </c>
      <c r="T28" s="376">
        <v>0.04</v>
      </c>
      <c r="U28" s="376">
        <v>0.04</v>
      </c>
      <c r="V28" s="376">
        <v>0.04</v>
      </c>
      <c r="W28" s="376">
        <v>0.04</v>
      </c>
      <c r="X28" s="376">
        <v>0.04</v>
      </c>
      <c r="Y28" s="376">
        <v>0.03</v>
      </c>
      <c r="Z28" s="376">
        <v>0.03</v>
      </c>
      <c r="AA28" s="376">
        <v>0.03</v>
      </c>
      <c r="AB28" s="376">
        <v>0.03</v>
      </c>
      <c r="AC28" s="376">
        <v>0.03</v>
      </c>
      <c r="AD28" s="376">
        <v>0.02</v>
      </c>
      <c r="AE28" s="376">
        <v>0.02</v>
      </c>
      <c r="AF28" s="376">
        <v>0.02</v>
      </c>
      <c r="AG28" s="376">
        <v>0.02</v>
      </c>
      <c r="AH28" s="376">
        <v>0.02</v>
      </c>
      <c r="AI28" s="376">
        <v>0.02</v>
      </c>
      <c r="AJ28" s="376">
        <v>0.02</v>
      </c>
      <c r="AK28" s="376">
        <v>0.02</v>
      </c>
      <c r="AL28" s="376">
        <v>0.02</v>
      </c>
      <c r="AM28" s="376">
        <v>0.01</v>
      </c>
      <c r="AN28" s="376">
        <v>0.01</v>
      </c>
      <c r="AO28" s="376">
        <v>0.01</v>
      </c>
      <c r="AP28" s="376">
        <v>0.01</v>
      </c>
      <c r="AQ28" s="376">
        <v>0.01</v>
      </c>
      <c r="AR28" s="376">
        <v>0.01</v>
      </c>
      <c r="AS28" s="376">
        <v>0</v>
      </c>
      <c r="AT28" s="376">
        <v>0</v>
      </c>
      <c r="AU28" s="376">
        <v>0</v>
      </c>
      <c r="AV28" s="376">
        <v>0</v>
      </c>
      <c r="AW28" s="376">
        <v>0</v>
      </c>
      <c r="AX28" s="376">
        <v>0</v>
      </c>
      <c r="AY28" s="376">
        <v>0</v>
      </c>
      <c r="AZ28" s="376">
        <v>0</v>
      </c>
      <c r="BA28" s="376">
        <v>0</v>
      </c>
      <c r="BB28" s="376">
        <v>0</v>
      </c>
      <c r="BC28" s="376">
        <v>0</v>
      </c>
      <c r="BD28" s="376">
        <v>0</v>
      </c>
      <c r="BE28" s="376">
        <v>0</v>
      </c>
      <c r="BF28" s="376">
        <v>0</v>
      </c>
      <c r="BG28" s="376">
        <v>0</v>
      </c>
      <c r="BH28" s="376">
        <v>0</v>
      </c>
      <c r="BI28" s="376">
        <v>0</v>
      </c>
      <c r="BJ28" s="376">
        <v>0</v>
      </c>
      <c r="BK28" s="377">
        <f t="shared" si="0"/>
        <v>1.0000000000000004</v>
      </c>
    </row>
    <row r="29" spans="1:63" ht="15" customHeight="1" x14ac:dyDescent="0.25">
      <c r="A29" s="367" t="s">
        <v>227</v>
      </c>
      <c r="B29" s="375" t="s">
        <v>225</v>
      </c>
      <c r="C29" s="376">
        <v>0.02</v>
      </c>
      <c r="D29" s="376">
        <v>0.03</v>
      </c>
      <c r="E29" s="376">
        <v>0.03</v>
      </c>
      <c r="F29" s="376">
        <v>0.04</v>
      </c>
      <c r="G29" s="376">
        <v>0.04</v>
      </c>
      <c r="H29" s="376">
        <v>0.04</v>
      </c>
      <c r="I29" s="376">
        <v>0.04</v>
      </c>
      <c r="J29" s="376">
        <v>0.04</v>
      </c>
      <c r="K29" s="376">
        <v>0.05</v>
      </c>
      <c r="L29" s="376">
        <v>0.05</v>
      </c>
      <c r="M29" s="376">
        <v>0.05</v>
      </c>
      <c r="N29" s="376">
        <v>0.05</v>
      </c>
      <c r="O29" s="376">
        <v>0.05</v>
      </c>
      <c r="P29" s="376">
        <v>0.05</v>
      </c>
      <c r="Q29" s="376">
        <v>0.05</v>
      </c>
      <c r="R29" s="376">
        <v>0.05</v>
      </c>
      <c r="S29" s="376">
        <v>0.04</v>
      </c>
      <c r="T29" s="376">
        <v>0.04</v>
      </c>
      <c r="U29" s="376">
        <v>0.04</v>
      </c>
      <c r="V29" s="376">
        <v>0.04</v>
      </c>
      <c r="W29" s="376">
        <v>0.03</v>
      </c>
      <c r="X29" s="376">
        <v>0.03</v>
      </c>
      <c r="Y29" s="376">
        <v>0.02</v>
      </c>
      <c r="Z29" s="376">
        <v>0.02</v>
      </c>
      <c r="AA29" s="376">
        <v>0.01</v>
      </c>
      <c r="AB29" s="376">
        <v>0.01</v>
      </c>
      <c r="AC29" s="376">
        <v>0.01</v>
      </c>
      <c r="AD29" s="376">
        <v>0.01</v>
      </c>
      <c r="AE29" s="376">
        <v>0.01</v>
      </c>
      <c r="AF29" s="376">
        <v>0.01</v>
      </c>
      <c r="AG29" s="376">
        <v>0</v>
      </c>
      <c r="AH29" s="376">
        <v>0</v>
      </c>
      <c r="AI29" s="376">
        <v>0</v>
      </c>
      <c r="AJ29" s="376">
        <v>0</v>
      </c>
      <c r="AK29" s="376">
        <v>0</v>
      </c>
      <c r="AL29" s="376">
        <v>0</v>
      </c>
      <c r="AM29" s="376">
        <v>0</v>
      </c>
      <c r="AN29" s="376">
        <v>0</v>
      </c>
      <c r="AO29" s="376">
        <v>0</v>
      </c>
      <c r="AP29" s="376">
        <v>0</v>
      </c>
      <c r="AQ29" s="376">
        <v>0</v>
      </c>
      <c r="AR29" s="376">
        <v>0</v>
      </c>
      <c r="AS29" s="376">
        <v>0</v>
      </c>
      <c r="AT29" s="376">
        <v>0</v>
      </c>
      <c r="AU29" s="376">
        <v>0</v>
      </c>
      <c r="AV29" s="376">
        <v>0</v>
      </c>
      <c r="AW29" s="376">
        <v>0</v>
      </c>
      <c r="AX29" s="376">
        <v>0</v>
      </c>
      <c r="AY29" s="376">
        <v>0</v>
      </c>
      <c r="AZ29" s="376">
        <v>0</v>
      </c>
      <c r="BA29" s="376">
        <v>0</v>
      </c>
      <c r="BB29" s="376">
        <v>0</v>
      </c>
      <c r="BC29" s="376">
        <v>0</v>
      </c>
      <c r="BD29" s="376">
        <v>0</v>
      </c>
      <c r="BE29" s="376">
        <v>0</v>
      </c>
      <c r="BF29" s="376">
        <v>0</v>
      </c>
      <c r="BG29" s="376">
        <v>0</v>
      </c>
      <c r="BH29" s="376">
        <v>0</v>
      </c>
      <c r="BI29" s="376">
        <v>0</v>
      </c>
      <c r="BJ29" s="376">
        <v>0</v>
      </c>
      <c r="BK29" s="377">
        <f t="shared" si="0"/>
        <v>1.0000000000000004</v>
      </c>
    </row>
    <row r="30" spans="1:63" ht="15" customHeight="1" x14ac:dyDescent="0.25">
      <c r="A30" s="367" t="s">
        <v>228</v>
      </c>
      <c r="B30" s="375" t="s">
        <v>225</v>
      </c>
      <c r="C30" s="376">
        <v>0.02</v>
      </c>
      <c r="D30" s="376">
        <v>0.03</v>
      </c>
      <c r="E30" s="376">
        <v>0.03</v>
      </c>
      <c r="F30" s="376">
        <v>0.04</v>
      </c>
      <c r="G30" s="376">
        <v>0.04</v>
      </c>
      <c r="H30" s="376">
        <v>0.04</v>
      </c>
      <c r="I30" s="376">
        <v>0.04</v>
      </c>
      <c r="J30" s="376">
        <v>0.04</v>
      </c>
      <c r="K30" s="376">
        <v>0.05</v>
      </c>
      <c r="L30" s="376">
        <v>0.05</v>
      </c>
      <c r="M30" s="376">
        <v>0.05</v>
      </c>
      <c r="N30" s="376">
        <v>0.05</v>
      </c>
      <c r="O30" s="376">
        <v>0.05</v>
      </c>
      <c r="P30" s="376">
        <v>0.05</v>
      </c>
      <c r="Q30" s="376">
        <v>0.05</v>
      </c>
      <c r="R30" s="376">
        <v>0.05</v>
      </c>
      <c r="S30" s="376">
        <v>0.04</v>
      </c>
      <c r="T30" s="376">
        <v>0.04</v>
      </c>
      <c r="U30" s="376">
        <v>0.04</v>
      </c>
      <c r="V30" s="376">
        <v>0.04</v>
      </c>
      <c r="W30" s="376">
        <v>0.03</v>
      </c>
      <c r="X30" s="376">
        <v>0.03</v>
      </c>
      <c r="Y30" s="376">
        <v>0.02</v>
      </c>
      <c r="Z30" s="376">
        <v>0.02</v>
      </c>
      <c r="AA30" s="376">
        <v>0.01</v>
      </c>
      <c r="AB30" s="376">
        <v>0.01</v>
      </c>
      <c r="AC30" s="376">
        <v>0.01</v>
      </c>
      <c r="AD30" s="376">
        <v>0.01</v>
      </c>
      <c r="AE30" s="376">
        <v>0.01</v>
      </c>
      <c r="AF30" s="376">
        <v>0.01</v>
      </c>
      <c r="AG30" s="376">
        <v>0</v>
      </c>
      <c r="AH30" s="376">
        <v>0</v>
      </c>
      <c r="AI30" s="376">
        <v>0</v>
      </c>
      <c r="AJ30" s="376">
        <v>0</v>
      </c>
      <c r="AK30" s="376">
        <v>0</v>
      </c>
      <c r="AL30" s="376">
        <v>0</v>
      </c>
      <c r="AM30" s="376">
        <v>0</v>
      </c>
      <c r="AN30" s="376">
        <v>0</v>
      </c>
      <c r="AO30" s="376">
        <v>0</v>
      </c>
      <c r="AP30" s="376">
        <v>0</v>
      </c>
      <c r="AQ30" s="376">
        <v>0</v>
      </c>
      <c r="AR30" s="376">
        <v>0</v>
      </c>
      <c r="AS30" s="376">
        <v>0</v>
      </c>
      <c r="AT30" s="376">
        <v>0</v>
      </c>
      <c r="AU30" s="376">
        <v>0</v>
      </c>
      <c r="AV30" s="376">
        <v>0</v>
      </c>
      <c r="AW30" s="376">
        <v>0</v>
      </c>
      <c r="AX30" s="376">
        <v>0</v>
      </c>
      <c r="AY30" s="376">
        <v>0</v>
      </c>
      <c r="AZ30" s="376">
        <v>0</v>
      </c>
      <c r="BA30" s="376">
        <v>0</v>
      </c>
      <c r="BB30" s="376">
        <v>0</v>
      </c>
      <c r="BC30" s="376">
        <v>0</v>
      </c>
      <c r="BD30" s="376">
        <v>0</v>
      </c>
      <c r="BE30" s="376">
        <v>0</v>
      </c>
      <c r="BF30" s="376">
        <v>0</v>
      </c>
      <c r="BG30" s="376">
        <v>0</v>
      </c>
      <c r="BH30" s="376">
        <v>0</v>
      </c>
      <c r="BI30" s="376">
        <v>0</v>
      </c>
      <c r="BJ30" s="376">
        <v>0</v>
      </c>
      <c r="BK30" s="377">
        <f t="shared" si="0"/>
        <v>1.0000000000000004</v>
      </c>
    </row>
    <row r="31" spans="1:63" ht="15" customHeight="1" x14ac:dyDescent="0.25">
      <c r="A31" s="367" t="s">
        <v>229</v>
      </c>
      <c r="B31" s="375" t="s">
        <v>219</v>
      </c>
      <c r="C31" s="376">
        <v>0.01</v>
      </c>
      <c r="D31" s="376">
        <v>0.01</v>
      </c>
      <c r="E31" s="376">
        <v>0.01</v>
      </c>
      <c r="F31" s="376">
        <v>0.02</v>
      </c>
      <c r="G31" s="376">
        <v>0.02</v>
      </c>
      <c r="H31" s="376">
        <v>0.02</v>
      </c>
      <c r="I31" s="376">
        <v>0.02</v>
      </c>
      <c r="J31" s="376">
        <v>0.02</v>
      </c>
      <c r="K31" s="376">
        <v>0.02</v>
      </c>
      <c r="L31" s="376">
        <v>0.03</v>
      </c>
      <c r="M31" s="376">
        <v>0.03</v>
      </c>
      <c r="N31" s="376">
        <v>0.03</v>
      </c>
      <c r="O31" s="376">
        <v>0.03</v>
      </c>
      <c r="P31" s="376">
        <v>0.03</v>
      </c>
      <c r="Q31" s="376">
        <v>0.03</v>
      </c>
      <c r="R31" s="376">
        <v>0.04</v>
      </c>
      <c r="S31" s="376">
        <v>0.04</v>
      </c>
      <c r="T31" s="376">
        <v>0.04</v>
      </c>
      <c r="U31" s="376">
        <v>0.04</v>
      </c>
      <c r="V31" s="376">
        <v>0.04</v>
      </c>
      <c r="W31" s="376">
        <v>0.04</v>
      </c>
      <c r="X31" s="376">
        <v>0.04</v>
      </c>
      <c r="Y31" s="376">
        <v>0.03</v>
      </c>
      <c r="Z31" s="376">
        <v>0.03</v>
      </c>
      <c r="AA31" s="376">
        <v>0.03</v>
      </c>
      <c r="AB31" s="376">
        <v>0.03</v>
      </c>
      <c r="AC31" s="376">
        <v>0.03</v>
      </c>
      <c r="AD31" s="376">
        <v>0.02</v>
      </c>
      <c r="AE31" s="376">
        <v>0.02</v>
      </c>
      <c r="AF31" s="376">
        <v>0.02</v>
      </c>
      <c r="AG31" s="376">
        <v>0.02</v>
      </c>
      <c r="AH31" s="376">
        <v>0.02</v>
      </c>
      <c r="AI31" s="376">
        <v>0.02</v>
      </c>
      <c r="AJ31" s="376">
        <v>0.02</v>
      </c>
      <c r="AK31" s="376">
        <v>0.02</v>
      </c>
      <c r="AL31" s="376">
        <v>0.02</v>
      </c>
      <c r="AM31" s="376">
        <v>0.01</v>
      </c>
      <c r="AN31" s="376">
        <v>0.01</v>
      </c>
      <c r="AO31" s="376">
        <v>0.01</v>
      </c>
      <c r="AP31" s="376">
        <v>0.01</v>
      </c>
      <c r="AQ31" s="376">
        <v>0.01</v>
      </c>
      <c r="AR31" s="376">
        <v>0.01</v>
      </c>
      <c r="AS31" s="376">
        <v>0</v>
      </c>
      <c r="AT31" s="376">
        <v>0</v>
      </c>
      <c r="AU31" s="376">
        <v>0</v>
      </c>
      <c r="AV31" s="376">
        <v>0</v>
      </c>
      <c r="AW31" s="376">
        <v>0</v>
      </c>
      <c r="AX31" s="376">
        <v>0</v>
      </c>
      <c r="AY31" s="376">
        <v>0</v>
      </c>
      <c r="AZ31" s="376">
        <v>0</v>
      </c>
      <c r="BA31" s="376">
        <v>0</v>
      </c>
      <c r="BB31" s="376">
        <v>0</v>
      </c>
      <c r="BC31" s="376">
        <v>0</v>
      </c>
      <c r="BD31" s="376">
        <v>0</v>
      </c>
      <c r="BE31" s="376">
        <v>0</v>
      </c>
      <c r="BF31" s="376">
        <v>0</v>
      </c>
      <c r="BG31" s="376">
        <v>0</v>
      </c>
      <c r="BH31" s="376">
        <v>0</v>
      </c>
      <c r="BI31" s="376">
        <v>0</v>
      </c>
      <c r="BJ31" s="376">
        <v>0</v>
      </c>
      <c r="BK31" s="377">
        <f t="shared" si="0"/>
        <v>1.0000000000000004</v>
      </c>
    </row>
    <row r="32" spans="1:63" ht="15" customHeight="1" x14ac:dyDescent="0.25">
      <c r="A32" s="367" t="s">
        <v>230</v>
      </c>
      <c r="B32" s="375" t="s">
        <v>219</v>
      </c>
      <c r="C32" s="376">
        <v>0.01</v>
      </c>
      <c r="D32" s="376">
        <v>0.01</v>
      </c>
      <c r="E32" s="376">
        <v>0.01</v>
      </c>
      <c r="F32" s="376">
        <v>0.02</v>
      </c>
      <c r="G32" s="376">
        <v>0.02</v>
      </c>
      <c r="H32" s="376">
        <v>0.02</v>
      </c>
      <c r="I32" s="376">
        <v>0.02</v>
      </c>
      <c r="J32" s="376">
        <v>0.02</v>
      </c>
      <c r="K32" s="376">
        <v>0.02</v>
      </c>
      <c r="L32" s="376">
        <v>0.03</v>
      </c>
      <c r="M32" s="376">
        <v>0.03</v>
      </c>
      <c r="N32" s="376">
        <v>0.03</v>
      </c>
      <c r="O32" s="376">
        <v>0.03</v>
      </c>
      <c r="P32" s="376">
        <v>0.03</v>
      </c>
      <c r="Q32" s="376">
        <v>0.03</v>
      </c>
      <c r="R32" s="376">
        <v>0.04</v>
      </c>
      <c r="S32" s="376">
        <v>0.04</v>
      </c>
      <c r="T32" s="376">
        <v>0.04</v>
      </c>
      <c r="U32" s="376">
        <v>0.04</v>
      </c>
      <c r="V32" s="376">
        <v>0.04</v>
      </c>
      <c r="W32" s="376">
        <v>0.04</v>
      </c>
      <c r="X32" s="376">
        <v>0.04</v>
      </c>
      <c r="Y32" s="376">
        <v>0.03</v>
      </c>
      <c r="Z32" s="376">
        <v>0.03</v>
      </c>
      <c r="AA32" s="376">
        <v>0.03</v>
      </c>
      <c r="AB32" s="376">
        <v>0.03</v>
      </c>
      <c r="AC32" s="376">
        <v>0.03</v>
      </c>
      <c r="AD32" s="376">
        <v>0.02</v>
      </c>
      <c r="AE32" s="376">
        <v>0.02</v>
      </c>
      <c r="AF32" s="376">
        <v>0.02</v>
      </c>
      <c r="AG32" s="376">
        <v>0.02</v>
      </c>
      <c r="AH32" s="376">
        <v>0.02</v>
      </c>
      <c r="AI32" s="376">
        <v>0.02</v>
      </c>
      <c r="AJ32" s="376">
        <v>0.02</v>
      </c>
      <c r="AK32" s="376">
        <v>0.02</v>
      </c>
      <c r="AL32" s="376">
        <v>0.02</v>
      </c>
      <c r="AM32" s="376">
        <v>0.01</v>
      </c>
      <c r="AN32" s="376">
        <v>0.01</v>
      </c>
      <c r="AO32" s="376">
        <v>0.01</v>
      </c>
      <c r="AP32" s="376">
        <v>0.01</v>
      </c>
      <c r="AQ32" s="376">
        <v>0.01</v>
      </c>
      <c r="AR32" s="376">
        <v>0.01</v>
      </c>
      <c r="AS32" s="376">
        <v>0</v>
      </c>
      <c r="AT32" s="376">
        <v>0</v>
      </c>
      <c r="AU32" s="376">
        <v>0</v>
      </c>
      <c r="AV32" s="376">
        <v>0</v>
      </c>
      <c r="AW32" s="376">
        <v>0</v>
      </c>
      <c r="AX32" s="376">
        <v>0</v>
      </c>
      <c r="AY32" s="376">
        <v>0</v>
      </c>
      <c r="AZ32" s="376">
        <v>0</v>
      </c>
      <c r="BA32" s="376">
        <v>0</v>
      </c>
      <c r="BB32" s="376">
        <v>0</v>
      </c>
      <c r="BC32" s="376">
        <v>0</v>
      </c>
      <c r="BD32" s="376">
        <v>0</v>
      </c>
      <c r="BE32" s="376">
        <v>0</v>
      </c>
      <c r="BF32" s="376">
        <v>0</v>
      </c>
      <c r="BG32" s="376">
        <v>0</v>
      </c>
      <c r="BH32" s="376">
        <v>0</v>
      </c>
      <c r="BI32" s="376">
        <v>0</v>
      </c>
      <c r="BJ32" s="376">
        <v>0</v>
      </c>
      <c r="BK32" s="377">
        <f t="shared" si="0"/>
        <v>1.0000000000000004</v>
      </c>
    </row>
    <row r="33" spans="1:63" ht="15" customHeight="1" x14ac:dyDescent="0.25">
      <c r="A33" s="367" t="s">
        <v>231</v>
      </c>
      <c r="B33" s="375" t="s">
        <v>219</v>
      </c>
      <c r="C33" s="376">
        <v>0.01</v>
      </c>
      <c r="D33" s="376">
        <v>0.01</v>
      </c>
      <c r="E33" s="376">
        <v>0.01</v>
      </c>
      <c r="F33" s="376">
        <v>0.02</v>
      </c>
      <c r="G33" s="376">
        <v>0.02</v>
      </c>
      <c r="H33" s="376">
        <v>0.02</v>
      </c>
      <c r="I33" s="376">
        <v>0.02</v>
      </c>
      <c r="J33" s="376">
        <v>0.02</v>
      </c>
      <c r="K33" s="376">
        <v>0.02</v>
      </c>
      <c r="L33" s="376">
        <v>0.03</v>
      </c>
      <c r="M33" s="376">
        <v>0.03</v>
      </c>
      <c r="N33" s="376">
        <v>0.03</v>
      </c>
      <c r="O33" s="376">
        <v>0.03</v>
      </c>
      <c r="P33" s="376">
        <v>0.03</v>
      </c>
      <c r="Q33" s="376">
        <v>0.03</v>
      </c>
      <c r="R33" s="376">
        <v>0.04</v>
      </c>
      <c r="S33" s="376">
        <v>0.04</v>
      </c>
      <c r="T33" s="376">
        <v>0.04</v>
      </c>
      <c r="U33" s="376">
        <v>0.04</v>
      </c>
      <c r="V33" s="376">
        <v>0.04</v>
      </c>
      <c r="W33" s="376">
        <v>0.04</v>
      </c>
      <c r="X33" s="376">
        <v>0.04</v>
      </c>
      <c r="Y33" s="376">
        <v>0.03</v>
      </c>
      <c r="Z33" s="376">
        <v>0.03</v>
      </c>
      <c r="AA33" s="376">
        <v>0.03</v>
      </c>
      <c r="AB33" s="376">
        <v>0.03</v>
      </c>
      <c r="AC33" s="376">
        <v>0.03</v>
      </c>
      <c r="AD33" s="376">
        <v>0.02</v>
      </c>
      <c r="AE33" s="376">
        <v>0.02</v>
      </c>
      <c r="AF33" s="376">
        <v>0.02</v>
      </c>
      <c r="AG33" s="376">
        <v>0.02</v>
      </c>
      <c r="AH33" s="376">
        <v>0.02</v>
      </c>
      <c r="AI33" s="376">
        <v>0.02</v>
      </c>
      <c r="AJ33" s="376">
        <v>0.02</v>
      </c>
      <c r="AK33" s="376">
        <v>0.02</v>
      </c>
      <c r="AL33" s="376">
        <v>0.02</v>
      </c>
      <c r="AM33" s="376">
        <v>0.01</v>
      </c>
      <c r="AN33" s="376">
        <v>0.01</v>
      </c>
      <c r="AO33" s="376">
        <v>0.01</v>
      </c>
      <c r="AP33" s="376">
        <v>0.01</v>
      </c>
      <c r="AQ33" s="376">
        <v>0.01</v>
      </c>
      <c r="AR33" s="376">
        <v>0.01</v>
      </c>
      <c r="AS33" s="376">
        <v>0</v>
      </c>
      <c r="AT33" s="376">
        <v>0</v>
      </c>
      <c r="AU33" s="376">
        <v>0</v>
      </c>
      <c r="AV33" s="376">
        <v>0</v>
      </c>
      <c r="AW33" s="376">
        <v>0</v>
      </c>
      <c r="AX33" s="376">
        <v>0</v>
      </c>
      <c r="AY33" s="376">
        <v>0</v>
      </c>
      <c r="AZ33" s="376">
        <v>0</v>
      </c>
      <c r="BA33" s="376">
        <v>0</v>
      </c>
      <c r="BB33" s="376">
        <v>0</v>
      </c>
      <c r="BC33" s="376">
        <v>0</v>
      </c>
      <c r="BD33" s="376">
        <v>0</v>
      </c>
      <c r="BE33" s="376">
        <v>0</v>
      </c>
      <c r="BF33" s="376">
        <v>0</v>
      </c>
      <c r="BG33" s="376">
        <v>0</v>
      </c>
      <c r="BH33" s="376">
        <v>0</v>
      </c>
      <c r="BI33" s="376">
        <v>0</v>
      </c>
      <c r="BJ33" s="376">
        <v>0</v>
      </c>
      <c r="BK33" s="377">
        <f t="shared" si="0"/>
        <v>1.0000000000000004</v>
      </c>
    </row>
    <row r="34" spans="1:63" ht="15" customHeight="1" x14ac:dyDescent="0.25">
      <c r="A34" s="367" t="s">
        <v>232</v>
      </c>
      <c r="B34" s="375" t="s">
        <v>219</v>
      </c>
      <c r="C34" s="376">
        <v>0.01</v>
      </c>
      <c r="D34" s="376">
        <v>0.01</v>
      </c>
      <c r="E34" s="376">
        <v>0.01</v>
      </c>
      <c r="F34" s="376">
        <v>0.02</v>
      </c>
      <c r="G34" s="376">
        <v>0.02</v>
      </c>
      <c r="H34" s="376">
        <v>0.02</v>
      </c>
      <c r="I34" s="376">
        <v>0.02</v>
      </c>
      <c r="J34" s="376">
        <v>0.02</v>
      </c>
      <c r="K34" s="376">
        <v>0.02</v>
      </c>
      <c r="L34" s="376">
        <v>0.03</v>
      </c>
      <c r="M34" s="376">
        <v>0.03</v>
      </c>
      <c r="N34" s="376">
        <v>0.03</v>
      </c>
      <c r="O34" s="376">
        <v>0.03</v>
      </c>
      <c r="P34" s="376">
        <v>0.03</v>
      </c>
      <c r="Q34" s="376">
        <v>0.03</v>
      </c>
      <c r="R34" s="376">
        <v>0.04</v>
      </c>
      <c r="S34" s="376">
        <v>0.04</v>
      </c>
      <c r="T34" s="376">
        <v>0.04</v>
      </c>
      <c r="U34" s="376">
        <v>0.04</v>
      </c>
      <c r="V34" s="376">
        <v>0.04</v>
      </c>
      <c r="W34" s="376">
        <v>0.04</v>
      </c>
      <c r="X34" s="376">
        <v>0.04</v>
      </c>
      <c r="Y34" s="376">
        <v>0.03</v>
      </c>
      <c r="Z34" s="376">
        <v>0.03</v>
      </c>
      <c r="AA34" s="376">
        <v>0.03</v>
      </c>
      <c r="AB34" s="376">
        <v>0.03</v>
      </c>
      <c r="AC34" s="376">
        <v>0.03</v>
      </c>
      <c r="AD34" s="376">
        <v>0.02</v>
      </c>
      <c r="AE34" s="376">
        <v>0.02</v>
      </c>
      <c r="AF34" s="376">
        <v>0.02</v>
      </c>
      <c r="AG34" s="376">
        <v>0.02</v>
      </c>
      <c r="AH34" s="376">
        <v>0.02</v>
      </c>
      <c r="AI34" s="376">
        <v>0.02</v>
      </c>
      <c r="AJ34" s="376">
        <v>0.02</v>
      </c>
      <c r="AK34" s="376">
        <v>0.02</v>
      </c>
      <c r="AL34" s="376">
        <v>0.02</v>
      </c>
      <c r="AM34" s="376">
        <v>0.01</v>
      </c>
      <c r="AN34" s="376">
        <v>0.01</v>
      </c>
      <c r="AO34" s="376">
        <v>0.01</v>
      </c>
      <c r="AP34" s="376">
        <v>0.01</v>
      </c>
      <c r="AQ34" s="376">
        <v>0.01</v>
      </c>
      <c r="AR34" s="376">
        <v>0.01</v>
      </c>
      <c r="AS34" s="376">
        <v>0</v>
      </c>
      <c r="AT34" s="376">
        <v>0</v>
      </c>
      <c r="AU34" s="376">
        <v>0</v>
      </c>
      <c r="AV34" s="376">
        <v>0</v>
      </c>
      <c r="AW34" s="376">
        <v>0</v>
      </c>
      <c r="AX34" s="376">
        <v>0</v>
      </c>
      <c r="AY34" s="376">
        <v>0</v>
      </c>
      <c r="AZ34" s="376">
        <v>0</v>
      </c>
      <c r="BA34" s="376">
        <v>0</v>
      </c>
      <c r="BB34" s="376">
        <v>0</v>
      </c>
      <c r="BC34" s="376">
        <v>0</v>
      </c>
      <c r="BD34" s="376">
        <v>0</v>
      </c>
      <c r="BE34" s="376">
        <v>0</v>
      </c>
      <c r="BF34" s="376">
        <v>0</v>
      </c>
      <c r="BG34" s="376">
        <v>0</v>
      </c>
      <c r="BH34" s="376">
        <v>0</v>
      </c>
      <c r="BI34" s="376">
        <v>0</v>
      </c>
      <c r="BJ34" s="376">
        <v>0</v>
      </c>
      <c r="BK34" s="377">
        <f t="shared" si="0"/>
        <v>1.0000000000000004</v>
      </c>
    </row>
    <row r="35" spans="1:63" ht="15" customHeight="1" x14ac:dyDescent="0.25">
      <c r="A35" s="367" t="s">
        <v>233</v>
      </c>
      <c r="B35" s="375" t="s">
        <v>219</v>
      </c>
      <c r="C35" s="376">
        <v>0.01</v>
      </c>
      <c r="D35" s="376">
        <v>0.01</v>
      </c>
      <c r="E35" s="376">
        <v>0.01</v>
      </c>
      <c r="F35" s="376">
        <v>0.02</v>
      </c>
      <c r="G35" s="376">
        <v>0.02</v>
      </c>
      <c r="H35" s="376">
        <v>0.02</v>
      </c>
      <c r="I35" s="376">
        <v>0.02</v>
      </c>
      <c r="J35" s="376">
        <v>0.02</v>
      </c>
      <c r="K35" s="376">
        <v>0.02</v>
      </c>
      <c r="L35" s="376">
        <v>0.03</v>
      </c>
      <c r="M35" s="376">
        <v>0.03</v>
      </c>
      <c r="N35" s="376">
        <v>0.03</v>
      </c>
      <c r="O35" s="376">
        <v>0.03</v>
      </c>
      <c r="P35" s="376">
        <v>0.03</v>
      </c>
      <c r="Q35" s="376">
        <v>0.03</v>
      </c>
      <c r="R35" s="376">
        <v>0.04</v>
      </c>
      <c r="S35" s="376">
        <v>0.04</v>
      </c>
      <c r="T35" s="376">
        <v>0.04</v>
      </c>
      <c r="U35" s="376">
        <v>0.04</v>
      </c>
      <c r="V35" s="376">
        <v>0.04</v>
      </c>
      <c r="W35" s="376">
        <v>0.04</v>
      </c>
      <c r="X35" s="376">
        <v>0.04</v>
      </c>
      <c r="Y35" s="376">
        <v>0.03</v>
      </c>
      <c r="Z35" s="376">
        <v>0.03</v>
      </c>
      <c r="AA35" s="376">
        <v>0.03</v>
      </c>
      <c r="AB35" s="376">
        <v>0.03</v>
      </c>
      <c r="AC35" s="376">
        <v>0.03</v>
      </c>
      <c r="AD35" s="376">
        <v>0.02</v>
      </c>
      <c r="AE35" s="376">
        <v>0.02</v>
      </c>
      <c r="AF35" s="376">
        <v>0.02</v>
      </c>
      <c r="AG35" s="376">
        <v>0.02</v>
      </c>
      <c r="AH35" s="376">
        <v>0.02</v>
      </c>
      <c r="AI35" s="376">
        <v>0.02</v>
      </c>
      <c r="AJ35" s="376">
        <v>0.02</v>
      </c>
      <c r="AK35" s="376">
        <v>0.02</v>
      </c>
      <c r="AL35" s="376">
        <v>0.02</v>
      </c>
      <c r="AM35" s="376">
        <v>0.01</v>
      </c>
      <c r="AN35" s="376">
        <v>0.01</v>
      </c>
      <c r="AO35" s="376">
        <v>0.01</v>
      </c>
      <c r="AP35" s="376">
        <v>0.01</v>
      </c>
      <c r="AQ35" s="376">
        <v>0.01</v>
      </c>
      <c r="AR35" s="376">
        <v>0.01</v>
      </c>
      <c r="AS35" s="376">
        <v>0</v>
      </c>
      <c r="AT35" s="376">
        <v>0</v>
      </c>
      <c r="AU35" s="376">
        <v>0</v>
      </c>
      <c r="AV35" s="376">
        <v>0</v>
      </c>
      <c r="AW35" s="376">
        <v>0</v>
      </c>
      <c r="AX35" s="376">
        <v>0</v>
      </c>
      <c r="AY35" s="376">
        <v>0</v>
      </c>
      <c r="AZ35" s="376">
        <v>0</v>
      </c>
      <c r="BA35" s="376">
        <v>0</v>
      </c>
      <c r="BB35" s="376">
        <v>0</v>
      </c>
      <c r="BC35" s="376">
        <v>0</v>
      </c>
      <c r="BD35" s="376">
        <v>0</v>
      </c>
      <c r="BE35" s="376">
        <v>0</v>
      </c>
      <c r="BF35" s="376">
        <v>0</v>
      </c>
      <c r="BG35" s="376">
        <v>0</v>
      </c>
      <c r="BH35" s="376">
        <v>0</v>
      </c>
      <c r="BI35" s="376">
        <v>0</v>
      </c>
      <c r="BJ35" s="376">
        <v>0</v>
      </c>
      <c r="BK35" s="377">
        <f t="shared" si="0"/>
        <v>1.0000000000000004</v>
      </c>
    </row>
    <row r="36" spans="1:63" ht="15" customHeight="1" x14ac:dyDescent="0.25">
      <c r="A36" s="367" t="s">
        <v>234</v>
      </c>
      <c r="B36" s="375" t="s">
        <v>219</v>
      </c>
      <c r="C36" s="376">
        <v>0.01</v>
      </c>
      <c r="D36" s="376">
        <v>0.01</v>
      </c>
      <c r="E36" s="376">
        <v>0.01</v>
      </c>
      <c r="F36" s="376">
        <v>0.02</v>
      </c>
      <c r="G36" s="376">
        <v>0.02</v>
      </c>
      <c r="H36" s="376">
        <v>0.02</v>
      </c>
      <c r="I36" s="376">
        <v>0.02</v>
      </c>
      <c r="J36" s="376">
        <v>0.02</v>
      </c>
      <c r="K36" s="376">
        <v>0.02</v>
      </c>
      <c r="L36" s="376">
        <v>0.03</v>
      </c>
      <c r="M36" s="376">
        <v>0.03</v>
      </c>
      <c r="N36" s="376">
        <v>0.03</v>
      </c>
      <c r="O36" s="376">
        <v>0.03</v>
      </c>
      <c r="P36" s="376">
        <v>0.03</v>
      </c>
      <c r="Q36" s="376">
        <v>0.03</v>
      </c>
      <c r="R36" s="376">
        <v>0.04</v>
      </c>
      <c r="S36" s="376">
        <v>0.04</v>
      </c>
      <c r="T36" s="376">
        <v>0.04</v>
      </c>
      <c r="U36" s="376">
        <v>0.04</v>
      </c>
      <c r="V36" s="376">
        <v>0.04</v>
      </c>
      <c r="W36" s="376">
        <v>0.04</v>
      </c>
      <c r="X36" s="376">
        <v>0.04</v>
      </c>
      <c r="Y36" s="376">
        <v>0.03</v>
      </c>
      <c r="Z36" s="376">
        <v>0.03</v>
      </c>
      <c r="AA36" s="376">
        <v>0.03</v>
      </c>
      <c r="AB36" s="376">
        <v>0.03</v>
      </c>
      <c r="AC36" s="376">
        <v>0.03</v>
      </c>
      <c r="AD36" s="376">
        <v>0.02</v>
      </c>
      <c r="AE36" s="376">
        <v>0.02</v>
      </c>
      <c r="AF36" s="376">
        <v>0.02</v>
      </c>
      <c r="AG36" s="376">
        <v>0.02</v>
      </c>
      <c r="AH36" s="376">
        <v>0.02</v>
      </c>
      <c r="AI36" s="376">
        <v>0.02</v>
      </c>
      <c r="AJ36" s="376">
        <v>0.02</v>
      </c>
      <c r="AK36" s="376">
        <v>0.02</v>
      </c>
      <c r="AL36" s="376">
        <v>0.02</v>
      </c>
      <c r="AM36" s="376">
        <v>0.01</v>
      </c>
      <c r="AN36" s="376">
        <v>0.01</v>
      </c>
      <c r="AO36" s="376">
        <v>0.01</v>
      </c>
      <c r="AP36" s="376">
        <v>0.01</v>
      </c>
      <c r="AQ36" s="376">
        <v>0.01</v>
      </c>
      <c r="AR36" s="376">
        <v>0.01</v>
      </c>
      <c r="AS36" s="376">
        <v>0</v>
      </c>
      <c r="AT36" s="376">
        <v>0</v>
      </c>
      <c r="AU36" s="376">
        <v>0</v>
      </c>
      <c r="AV36" s="376">
        <v>0</v>
      </c>
      <c r="AW36" s="376">
        <v>0</v>
      </c>
      <c r="AX36" s="376">
        <v>0</v>
      </c>
      <c r="AY36" s="376">
        <v>0</v>
      </c>
      <c r="AZ36" s="376">
        <v>0</v>
      </c>
      <c r="BA36" s="376">
        <v>0</v>
      </c>
      <c r="BB36" s="376">
        <v>0</v>
      </c>
      <c r="BC36" s="376">
        <v>0</v>
      </c>
      <c r="BD36" s="376">
        <v>0</v>
      </c>
      <c r="BE36" s="376">
        <v>0</v>
      </c>
      <c r="BF36" s="376">
        <v>0</v>
      </c>
      <c r="BG36" s="376">
        <v>0</v>
      </c>
      <c r="BH36" s="376">
        <v>0</v>
      </c>
      <c r="BI36" s="376">
        <v>0</v>
      </c>
      <c r="BJ36" s="376">
        <v>0</v>
      </c>
      <c r="BK36" s="377">
        <f t="shared" si="0"/>
        <v>1.0000000000000004</v>
      </c>
    </row>
    <row r="37" spans="1:63" ht="15" customHeight="1" x14ac:dyDescent="0.25">
      <c r="A37" s="367" t="s">
        <v>235</v>
      </c>
      <c r="B37" s="375" t="s">
        <v>219</v>
      </c>
      <c r="C37" s="376">
        <v>0.01</v>
      </c>
      <c r="D37" s="376">
        <v>0.01</v>
      </c>
      <c r="E37" s="376">
        <v>0.01</v>
      </c>
      <c r="F37" s="376">
        <v>0.02</v>
      </c>
      <c r="G37" s="376">
        <v>0.02</v>
      </c>
      <c r="H37" s="376">
        <v>0.02</v>
      </c>
      <c r="I37" s="376">
        <v>0.02</v>
      </c>
      <c r="J37" s="376">
        <v>0.02</v>
      </c>
      <c r="K37" s="376">
        <v>0.02</v>
      </c>
      <c r="L37" s="376">
        <v>0.03</v>
      </c>
      <c r="M37" s="376">
        <v>0.03</v>
      </c>
      <c r="N37" s="376">
        <v>0.03</v>
      </c>
      <c r="O37" s="376">
        <v>0.03</v>
      </c>
      <c r="P37" s="376">
        <v>0.03</v>
      </c>
      <c r="Q37" s="376">
        <v>0.03</v>
      </c>
      <c r="R37" s="376">
        <v>0.04</v>
      </c>
      <c r="S37" s="376">
        <v>0.04</v>
      </c>
      <c r="T37" s="376">
        <v>0.04</v>
      </c>
      <c r="U37" s="376">
        <v>0.04</v>
      </c>
      <c r="V37" s="376">
        <v>0.04</v>
      </c>
      <c r="W37" s="376">
        <v>0.04</v>
      </c>
      <c r="X37" s="376">
        <v>0.04</v>
      </c>
      <c r="Y37" s="376">
        <v>0.03</v>
      </c>
      <c r="Z37" s="376">
        <v>0.03</v>
      </c>
      <c r="AA37" s="376">
        <v>0.03</v>
      </c>
      <c r="AB37" s="376">
        <v>0.03</v>
      </c>
      <c r="AC37" s="376">
        <v>0.03</v>
      </c>
      <c r="AD37" s="376">
        <v>0.02</v>
      </c>
      <c r="AE37" s="376">
        <v>0.02</v>
      </c>
      <c r="AF37" s="376">
        <v>0.02</v>
      </c>
      <c r="AG37" s="376">
        <v>0.02</v>
      </c>
      <c r="AH37" s="376">
        <v>0.02</v>
      </c>
      <c r="AI37" s="376">
        <v>0.02</v>
      </c>
      <c r="AJ37" s="376">
        <v>0.02</v>
      </c>
      <c r="AK37" s="376">
        <v>0.02</v>
      </c>
      <c r="AL37" s="376">
        <v>0.02</v>
      </c>
      <c r="AM37" s="376">
        <v>0.01</v>
      </c>
      <c r="AN37" s="376">
        <v>0.01</v>
      </c>
      <c r="AO37" s="376">
        <v>0.01</v>
      </c>
      <c r="AP37" s="376">
        <v>0.01</v>
      </c>
      <c r="AQ37" s="376">
        <v>0.01</v>
      </c>
      <c r="AR37" s="376">
        <v>0.01</v>
      </c>
      <c r="AS37" s="376">
        <v>0</v>
      </c>
      <c r="AT37" s="376">
        <v>0</v>
      </c>
      <c r="AU37" s="376">
        <v>0</v>
      </c>
      <c r="AV37" s="376">
        <v>0</v>
      </c>
      <c r="AW37" s="376">
        <v>0</v>
      </c>
      <c r="AX37" s="376">
        <v>0</v>
      </c>
      <c r="AY37" s="376">
        <v>0</v>
      </c>
      <c r="AZ37" s="376">
        <v>0</v>
      </c>
      <c r="BA37" s="376">
        <v>0</v>
      </c>
      <c r="BB37" s="376">
        <v>0</v>
      </c>
      <c r="BC37" s="376">
        <v>0</v>
      </c>
      <c r="BD37" s="376">
        <v>0</v>
      </c>
      <c r="BE37" s="376">
        <v>0</v>
      </c>
      <c r="BF37" s="376">
        <v>0</v>
      </c>
      <c r="BG37" s="376">
        <v>0</v>
      </c>
      <c r="BH37" s="376">
        <v>0</v>
      </c>
      <c r="BI37" s="376">
        <v>0</v>
      </c>
      <c r="BJ37" s="376">
        <v>0</v>
      </c>
      <c r="BK37" s="377">
        <f t="shared" si="0"/>
        <v>1.0000000000000004</v>
      </c>
    </row>
    <row r="38" spans="1:63" ht="15" customHeight="1" x14ac:dyDescent="0.25">
      <c r="A38" s="367" t="s">
        <v>236</v>
      </c>
      <c r="B38" s="375" t="s">
        <v>219</v>
      </c>
      <c r="C38" s="376">
        <v>0.01</v>
      </c>
      <c r="D38" s="376">
        <v>0.01</v>
      </c>
      <c r="E38" s="376">
        <v>0.01</v>
      </c>
      <c r="F38" s="376">
        <v>0.02</v>
      </c>
      <c r="G38" s="376">
        <v>0.02</v>
      </c>
      <c r="H38" s="376">
        <v>0.02</v>
      </c>
      <c r="I38" s="376">
        <v>0.02</v>
      </c>
      <c r="J38" s="376">
        <v>0.02</v>
      </c>
      <c r="K38" s="376">
        <v>0.02</v>
      </c>
      <c r="L38" s="376">
        <v>0.03</v>
      </c>
      <c r="M38" s="376">
        <v>0.03</v>
      </c>
      <c r="N38" s="376">
        <v>0.03</v>
      </c>
      <c r="O38" s="376">
        <v>0.03</v>
      </c>
      <c r="P38" s="376">
        <v>0.03</v>
      </c>
      <c r="Q38" s="376">
        <v>0.03</v>
      </c>
      <c r="R38" s="376">
        <v>0.04</v>
      </c>
      <c r="S38" s="376">
        <v>0.04</v>
      </c>
      <c r="T38" s="376">
        <v>0.04</v>
      </c>
      <c r="U38" s="376">
        <v>0.04</v>
      </c>
      <c r="V38" s="376">
        <v>0.04</v>
      </c>
      <c r="W38" s="376">
        <v>0.04</v>
      </c>
      <c r="X38" s="376">
        <v>0.04</v>
      </c>
      <c r="Y38" s="376">
        <v>0.03</v>
      </c>
      <c r="Z38" s="376">
        <v>0.03</v>
      </c>
      <c r="AA38" s="376">
        <v>0.03</v>
      </c>
      <c r="AB38" s="376">
        <v>0.03</v>
      </c>
      <c r="AC38" s="376">
        <v>0.03</v>
      </c>
      <c r="AD38" s="376">
        <v>0.02</v>
      </c>
      <c r="AE38" s="376">
        <v>0.02</v>
      </c>
      <c r="AF38" s="376">
        <v>0.02</v>
      </c>
      <c r="AG38" s="376">
        <v>0.02</v>
      </c>
      <c r="AH38" s="376">
        <v>0.02</v>
      </c>
      <c r="AI38" s="376">
        <v>0.02</v>
      </c>
      <c r="AJ38" s="376">
        <v>0.02</v>
      </c>
      <c r="AK38" s="376">
        <v>0.02</v>
      </c>
      <c r="AL38" s="376">
        <v>0.02</v>
      </c>
      <c r="AM38" s="376">
        <v>0.01</v>
      </c>
      <c r="AN38" s="376">
        <v>0.01</v>
      </c>
      <c r="AO38" s="376">
        <v>0.01</v>
      </c>
      <c r="AP38" s="376">
        <v>0.01</v>
      </c>
      <c r="AQ38" s="376">
        <v>0.01</v>
      </c>
      <c r="AR38" s="376">
        <v>0.01</v>
      </c>
      <c r="AS38" s="376">
        <v>0</v>
      </c>
      <c r="AT38" s="376">
        <v>0</v>
      </c>
      <c r="AU38" s="376">
        <v>0</v>
      </c>
      <c r="AV38" s="376">
        <v>0</v>
      </c>
      <c r="AW38" s="376">
        <v>0</v>
      </c>
      <c r="AX38" s="376">
        <v>0</v>
      </c>
      <c r="AY38" s="376">
        <v>0</v>
      </c>
      <c r="AZ38" s="376">
        <v>0</v>
      </c>
      <c r="BA38" s="376">
        <v>0</v>
      </c>
      <c r="BB38" s="376">
        <v>0</v>
      </c>
      <c r="BC38" s="376">
        <v>0</v>
      </c>
      <c r="BD38" s="376">
        <v>0</v>
      </c>
      <c r="BE38" s="376">
        <v>0</v>
      </c>
      <c r="BF38" s="376">
        <v>0</v>
      </c>
      <c r="BG38" s="376">
        <v>0</v>
      </c>
      <c r="BH38" s="376">
        <v>0</v>
      </c>
      <c r="BI38" s="376">
        <v>0</v>
      </c>
      <c r="BJ38" s="376">
        <v>0</v>
      </c>
      <c r="BK38" s="377">
        <f t="shared" si="0"/>
        <v>1.0000000000000004</v>
      </c>
    </row>
    <row r="39" spans="1:63" ht="15" customHeight="1" x14ac:dyDescent="0.25">
      <c r="A39" s="367" t="s">
        <v>237</v>
      </c>
      <c r="B39" s="375" t="s">
        <v>219</v>
      </c>
      <c r="C39" s="376">
        <v>0.01</v>
      </c>
      <c r="D39" s="376">
        <v>0.01</v>
      </c>
      <c r="E39" s="376">
        <v>0.01</v>
      </c>
      <c r="F39" s="376">
        <v>0.02</v>
      </c>
      <c r="G39" s="376">
        <v>0.02</v>
      </c>
      <c r="H39" s="376">
        <v>0.02</v>
      </c>
      <c r="I39" s="376">
        <v>0.02</v>
      </c>
      <c r="J39" s="376">
        <v>0.02</v>
      </c>
      <c r="K39" s="376">
        <v>0.02</v>
      </c>
      <c r="L39" s="376">
        <v>0.03</v>
      </c>
      <c r="M39" s="376">
        <v>0.03</v>
      </c>
      <c r="N39" s="376">
        <v>0.03</v>
      </c>
      <c r="O39" s="376">
        <v>0.03</v>
      </c>
      <c r="P39" s="376">
        <v>0.03</v>
      </c>
      <c r="Q39" s="376">
        <v>0.03</v>
      </c>
      <c r="R39" s="376">
        <v>0.04</v>
      </c>
      <c r="S39" s="376">
        <v>0.04</v>
      </c>
      <c r="T39" s="376">
        <v>0.04</v>
      </c>
      <c r="U39" s="376">
        <v>0.04</v>
      </c>
      <c r="V39" s="376">
        <v>0.04</v>
      </c>
      <c r="W39" s="376">
        <v>0.04</v>
      </c>
      <c r="X39" s="376">
        <v>0.04</v>
      </c>
      <c r="Y39" s="376">
        <v>0.03</v>
      </c>
      <c r="Z39" s="376">
        <v>0.03</v>
      </c>
      <c r="AA39" s="376">
        <v>0.03</v>
      </c>
      <c r="AB39" s="376">
        <v>0.03</v>
      </c>
      <c r="AC39" s="376">
        <v>0.03</v>
      </c>
      <c r="AD39" s="376">
        <v>0.02</v>
      </c>
      <c r="AE39" s="376">
        <v>0.02</v>
      </c>
      <c r="AF39" s="376">
        <v>0.02</v>
      </c>
      <c r="AG39" s="376">
        <v>0.02</v>
      </c>
      <c r="AH39" s="376">
        <v>0.02</v>
      </c>
      <c r="AI39" s="376">
        <v>0.02</v>
      </c>
      <c r="AJ39" s="376">
        <v>0.02</v>
      </c>
      <c r="AK39" s="376">
        <v>0.02</v>
      </c>
      <c r="AL39" s="376">
        <v>0.02</v>
      </c>
      <c r="AM39" s="376">
        <v>0.01</v>
      </c>
      <c r="AN39" s="376">
        <v>0.01</v>
      </c>
      <c r="AO39" s="376">
        <v>0.01</v>
      </c>
      <c r="AP39" s="376">
        <v>0.01</v>
      </c>
      <c r="AQ39" s="376">
        <v>0.01</v>
      </c>
      <c r="AR39" s="376">
        <v>0.01</v>
      </c>
      <c r="AS39" s="376">
        <v>0</v>
      </c>
      <c r="AT39" s="376">
        <v>0</v>
      </c>
      <c r="AU39" s="376">
        <v>0</v>
      </c>
      <c r="AV39" s="376">
        <v>0</v>
      </c>
      <c r="AW39" s="376">
        <v>0</v>
      </c>
      <c r="AX39" s="376">
        <v>0</v>
      </c>
      <c r="AY39" s="376">
        <v>0</v>
      </c>
      <c r="AZ39" s="376">
        <v>0</v>
      </c>
      <c r="BA39" s="376">
        <v>0</v>
      </c>
      <c r="BB39" s="376">
        <v>0</v>
      </c>
      <c r="BC39" s="376">
        <v>0</v>
      </c>
      <c r="BD39" s="376">
        <v>0</v>
      </c>
      <c r="BE39" s="376">
        <v>0</v>
      </c>
      <c r="BF39" s="376">
        <v>0</v>
      </c>
      <c r="BG39" s="376">
        <v>0</v>
      </c>
      <c r="BH39" s="376">
        <v>0</v>
      </c>
      <c r="BI39" s="376">
        <v>0</v>
      </c>
      <c r="BJ39" s="376">
        <v>0</v>
      </c>
      <c r="BK39" s="377">
        <f t="shared" si="0"/>
        <v>1.0000000000000004</v>
      </c>
    </row>
    <row r="40" spans="1:63" ht="15" customHeight="1" x14ac:dyDescent="0.25">
      <c r="A40" s="367" t="s">
        <v>238</v>
      </c>
      <c r="B40" s="375" t="s">
        <v>225</v>
      </c>
      <c r="C40" s="376">
        <v>0.02</v>
      </c>
      <c r="D40" s="376">
        <v>0.03</v>
      </c>
      <c r="E40" s="376">
        <v>0.03</v>
      </c>
      <c r="F40" s="376">
        <v>0.04</v>
      </c>
      <c r="G40" s="376">
        <v>0.04</v>
      </c>
      <c r="H40" s="376">
        <v>0.04</v>
      </c>
      <c r="I40" s="376">
        <v>0.04</v>
      </c>
      <c r="J40" s="376">
        <v>0.04</v>
      </c>
      <c r="K40" s="376">
        <v>0.05</v>
      </c>
      <c r="L40" s="376">
        <v>0.05</v>
      </c>
      <c r="M40" s="376">
        <v>0.05</v>
      </c>
      <c r="N40" s="376">
        <v>0.05</v>
      </c>
      <c r="O40" s="376">
        <v>0.05</v>
      </c>
      <c r="P40" s="376">
        <v>0.05</v>
      </c>
      <c r="Q40" s="376">
        <v>0.05</v>
      </c>
      <c r="R40" s="376">
        <v>0.05</v>
      </c>
      <c r="S40" s="376">
        <v>0.04</v>
      </c>
      <c r="T40" s="376">
        <v>0.04</v>
      </c>
      <c r="U40" s="376">
        <v>0.04</v>
      </c>
      <c r="V40" s="376">
        <v>0.04</v>
      </c>
      <c r="W40" s="376">
        <v>0.03</v>
      </c>
      <c r="X40" s="376">
        <v>0.03</v>
      </c>
      <c r="Y40" s="376">
        <v>0.02</v>
      </c>
      <c r="Z40" s="376">
        <v>0.02</v>
      </c>
      <c r="AA40" s="376">
        <v>0.01</v>
      </c>
      <c r="AB40" s="376">
        <v>0.01</v>
      </c>
      <c r="AC40" s="376">
        <v>0.01</v>
      </c>
      <c r="AD40" s="376">
        <v>0.01</v>
      </c>
      <c r="AE40" s="376">
        <v>0.01</v>
      </c>
      <c r="AF40" s="376">
        <v>0.01</v>
      </c>
      <c r="AG40" s="376">
        <v>0</v>
      </c>
      <c r="AH40" s="376">
        <v>0</v>
      </c>
      <c r="AI40" s="376">
        <v>0</v>
      </c>
      <c r="AJ40" s="376">
        <v>0</v>
      </c>
      <c r="AK40" s="376">
        <v>0</v>
      </c>
      <c r="AL40" s="376">
        <v>0</v>
      </c>
      <c r="AM40" s="376">
        <v>0</v>
      </c>
      <c r="AN40" s="376">
        <v>0</v>
      </c>
      <c r="AO40" s="376">
        <v>0</v>
      </c>
      <c r="AP40" s="376">
        <v>0</v>
      </c>
      <c r="AQ40" s="376">
        <v>0</v>
      </c>
      <c r="AR40" s="376">
        <v>0</v>
      </c>
      <c r="AS40" s="376">
        <v>0</v>
      </c>
      <c r="AT40" s="376">
        <v>0</v>
      </c>
      <c r="AU40" s="376">
        <v>0</v>
      </c>
      <c r="AV40" s="376">
        <v>0</v>
      </c>
      <c r="AW40" s="376">
        <v>0</v>
      </c>
      <c r="AX40" s="376">
        <v>0</v>
      </c>
      <c r="AY40" s="376">
        <v>0</v>
      </c>
      <c r="AZ40" s="376">
        <v>0</v>
      </c>
      <c r="BA40" s="376">
        <v>0</v>
      </c>
      <c r="BB40" s="376">
        <v>0</v>
      </c>
      <c r="BC40" s="376">
        <v>0</v>
      </c>
      <c r="BD40" s="376">
        <v>0</v>
      </c>
      <c r="BE40" s="376">
        <v>0</v>
      </c>
      <c r="BF40" s="376">
        <v>0</v>
      </c>
      <c r="BG40" s="376">
        <v>0</v>
      </c>
      <c r="BH40" s="376">
        <v>0</v>
      </c>
      <c r="BI40" s="376">
        <v>0</v>
      </c>
      <c r="BJ40" s="376">
        <v>0</v>
      </c>
      <c r="BK40" s="377">
        <f t="shared" si="0"/>
        <v>1.0000000000000004</v>
      </c>
    </row>
    <row r="42" spans="1:63" ht="15" customHeight="1" x14ac:dyDescent="0.25">
      <c r="A42" s="568" t="s">
        <v>239</v>
      </c>
      <c r="B42" s="568"/>
      <c r="C42" s="568"/>
      <c r="D42" s="568"/>
      <c r="E42" s="568"/>
      <c r="F42" s="568"/>
      <c r="G42" s="568"/>
      <c r="H42" s="568"/>
      <c r="I42" s="568"/>
      <c r="J42" s="568"/>
      <c r="K42" s="568"/>
      <c r="L42" s="568"/>
      <c r="M42" s="568"/>
      <c r="N42" s="568"/>
      <c r="O42" s="568"/>
      <c r="P42" s="568"/>
      <c r="Q42" s="568"/>
      <c r="R42" s="568"/>
      <c r="S42" s="568"/>
      <c r="T42" s="568"/>
      <c r="U42" s="568"/>
      <c r="V42" s="568"/>
      <c r="W42" s="568"/>
      <c r="X42" s="568"/>
      <c r="Y42" s="568"/>
      <c r="Z42" s="568"/>
      <c r="AA42" s="568"/>
      <c r="AB42" s="568"/>
      <c r="AC42" s="568"/>
      <c r="AD42" s="568"/>
      <c r="AE42" s="568"/>
      <c r="AF42" s="568"/>
      <c r="AG42" s="568"/>
      <c r="AH42" s="568"/>
      <c r="AI42" s="568"/>
      <c r="AJ42" s="568"/>
      <c r="AK42" s="568"/>
      <c r="AL42" s="568"/>
      <c r="AM42" s="568"/>
      <c r="AN42" s="568"/>
      <c r="AO42" s="568"/>
      <c r="AP42" s="568"/>
      <c r="AQ42" s="568"/>
      <c r="AR42" s="568"/>
      <c r="AS42" s="568"/>
      <c r="AT42" s="568"/>
      <c r="AU42" s="568"/>
      <c r="AV42" s="568"/>
      <c r="AW42" s="568"/>
      <c r="AX42" s="568"/>
      <c r="AY42" s="568"/>
      <c r="AZ42" s="568"/>
      <c r="BA42" s="568"/>
      <c r="BB42" s="568"/>
      <c r="BC42" s="568"/>
      <c r="BD42" s="568"/>
      <c r="BE42" s="568"/>
      <c r="BF42" s="568"/>
      <c r="BG42" s="568"/>
      <c r="BH42" s="568"/>
      <c r="BI42" s="568"/>
      <c r="BJ42" s="568"/>
      <c r="BK42" s="568"/>
    </row>
    <row r="43" spans="1:63" ht="15" customHeight="1" x14ac:dyDescent="0.25">
      <c r="A43" s="374" t="s">
        <v>203</v>
      </c>
      <c r="B43" s="374" t="s">
        <v>240</v>
      </c>
      <c r="C43" s="378" t="s">
        <v>205</v>
      </c>
      <c r="D43" s="378" t="s">
        <v>206</v>
      </c>
      <c r="E43" s="378" t="s">
        <v>207</v>
      </c>
      <c r="F43" s="378" t="s">
        <v>208</v>
      </c>
      <c r="G43" s="378" t="s">
        <v>209</v>
      </c>
      <c r="H43" s="378" t="s">
        <v>210</v>
      </c>
      <c r="I43" s="378" t="s">
        <v>211</v>
      </c>
      <c r="J43" s="378" t="s">
        <v>212</v>
      </c>
      <c r="K43" s="378" t="s">
        <v>213</v>
      </c>
      <c r="L43" s="378" t="s">
        <v>214</v>
      </c>
      <c r="M43" s="378" t="s">
        <v>215</v>
      </c>
      <c r="N43" s="378" t="s">
        <v>216</v>
      </c>
      <c r="O43" s="378" t="s">
        <v>205</v>
      </c>
      <c r="P43" s="378" t="s">
        <v>206</v>
      </c>
      <c r="Q43" s="378" t="s">
        <v>207</v>
      </c>
      <c r="R43" s="378" t="s">
        <v>208</v>
      </c>
      <c r="S43" s="378" t="s">
        <v>209</v>
      </c>
      <c r="T43" s="378" t="s">
        <v>210</v>
      </c>
      <c r="U43" s="378" t="s">
        <v>211</v>
      </c>
      <c r="V43" s="378" t="s">
        <v>212</v>
      </c>
      <c r="W43" s="378" t="s">
        <v>213</v>
      </c>
      <c r="X43" s="378" t="s">
        <v>214</v>
      </c>
      <c r="Y43" s="378" t="s">
        <v>215</v>
      </c>
      <c r="Z43" s="378" t="s">
        <v>216</v>
      </c>
      <c r="AA43" s="378" t="s">
        <v>205</v>
      </c>
      <c r="AB43" s="378" t="s">
        <v>206</v>
      </c>
      <c r="AC43" s="378" t="s">
        <v>207</v>
      </c>
      <c r="AD43" s="378" t="s">
        <v>208</v>
      </c>
      <c r="AE43" s="378" t="s">
        <v>209</v>
      </c>
      <c r="AF43" s="378" t="s">
        <v>210</v>
      </c>
      <c r="AG43" s="378" t="s">
        <v>211</v>
      </c>
      <c r="AH43" s="378" t="s">
        <v>212</v>
      </c>
      <c r="AI43" s="378" t="s">
        <v>213</v>
      </c>
      <c r="AJ43" s="378" t="s">
        <v>214</v>
      </c>
      <c r="AK43" s="378" t="s">
        <v>215</v>
      </c>
      <c r="AL43" s="378" t="s">
        <v>216</v>
      </c>
      <c r="AM43" s="378" t="s">
        <v>205</v>
      </c>
      <c r="AN43" s="378" t="s">
        <v>206</v>
      </c>
      <c r="AO43" s="378" t="s">
        <v>207</v>
      </c>
      <c r="AP43" s="378" t="s">
        <v>208</v>
      </c>
      <c r="AQ43" s="378" t="s">
        <v>209</v>
      </c>
      <c r="AR43" s="378" t="s">
        <v>210</v>
      </c>
      <c r="AS43" s="378" t="s">
        <v>211</v>
      </c>
      <c r="AT43" s="378" t="s">
        <v>212</v>
      </c>
      <c r="AU43" s="378" t="s">
        <v>213</v>
      </c>
      <c r="AV43" s="378" t="s">
        <v>214</v>
      </c>
      <c r="AW43" s="378" t="s">
        <v>215</v>
      </c>
      <c r="AX43" s="378" t="s">
        <v>216</v>
      </c>
      <c r="AY43" s="378" t="s">
        <v>205</v>
      </c>
      <c r="AZ43" s="378" t="s">
        <v>206</v>
      </c>
      <c r="BA43" s="378" t="s">
        <v>207</v>
      </c>
      <c r="BB43" s="378" t="s">
        <v>208</v>
      </c>
      <c r="BC43" s="378" t="s">
        <v>209</v>
      </c>
      <c r="BD43" s="378" t="s">
        <v>210</v>
      </c>
      <c r="BE43" s="378" t="s">
        <v>211</v>
      </c>
      <c r="BF43" s="378" t="s">
        <v>212</v>
      </c>
      <c r="BG43" s="378" t="s">
        <v>213</v>
      </c>
      <c r="BH43" s="378" t="s">
        <v>214</v>
      </c>
      <c r="BI43" s="378" t="s">
        <v>215</v>
      </c>
      <c r="BJ43" s="378" t="s">
        <v>216</v>
      </c>
      <c r="BK43" s="374" t="s">
        <v>241</v>
      </c>
    </row>
    <row r="44" spans="1:63" ht="15" customHeight="1" x14ac:dyDescent="0.25">
      <c r="A44" s="367" t="s">
        <v>218</v>
      </c>
      <c r="B44" s="369">
        <f>'Feasibility Study'!I61/1000</f>
        <v>176400</v>
      </c>
      <c r="C44" s="379">
        <f t="shared" ref="C44:AH44" si="1">IF($B$44=0,0,$B$44*C23)</f>
        <v>1764</v>
      </c>
      <c r="D44" s="379">
        <f t="shared" si="1"/>
        <v>1764</v>
      </c>
      <c r="E44" s="379">
        <f t="shared" si="1"/>
        <v>1764</v>
      </c>
      <c r="F44" s="379">
        <f t="shared" si="1"/>
        <v>3528</v>
      </c>
      <c r="G44" s="379">
        <f t="shared" si="1"/>
        <v>3528</v>
      </c>
      <c r="H44" s="379">
        <f t="shared" si="1"/>
        <v>3528</v>
      </c>
      <c r="I44" s="379">
        <f t="shared" si="1"/>
        <v>3528</v>
      </c>
      <c r="J44" s="379">
        <f t="shared" si="1"/>
        <v>3528</v>
      </c>
      <c r="K44" s="379">
        <f t="shared" si="1"/>
        <v>3528</v>
      </c>
      <c r="L44" s="379">
        <f t="shared" si="1"/>
        <v>5292</v>
      </c>
      <c r="M44" s="379">
        <f t="shared" si="1"/>
        <v>5292</v>
      </c>
      <c r="N44" s="379">
        <f t="shared" si="1"/>
        <v>5292</v>
      </c>
      <c r="O44" s="379">
        <f t="shared" si="1"/>
        <v>5292</v>
      </c>
      <c r="P44" s="379">
        <f t="shared" si="1"/>
        <v>5292</v>
      </c>
      <c r="Q44" s="379">
        <f t="shared" si="1"/>
        <v>5292</v>
      </c>
      <c r="R44" s="379">
        <f t="shared" si="1"/>
        <v>7056</v>
      </c>
      <c r="S44" s="379">
        <f t="shared" si="1"/>
        <v>7056</v>
      </c>
      <c r="T44" s="379">
        <f t="shared" si="1"/>
        <v>7056</v>
      </c>
      <c r="U44" s="379">
        <f t="shared" si="1"/>
        <v>7056</v>
      </c>
      <c r="V44" s="379">
        <f t="shared" si="1"/>
        <v>7056</v>
      </c>
      <c r="W44" s="379">
        <f t="shared" si="1"/>
        <v>7056</v>
      </c>
      <c r="X44" s="379">
        <f t="shared" si="1"/>
        <v>7056</v>
      </c>
      <c r="Y44" s="379">
        <f t="shared" si="1"/>
        <v>5292</v>
      </c>
      <c r="Z44" s="379">
        <f t="shared" si="1"/>
        <v>5292</v>
      </c>
      <c r="AA44" s="379">
        <f t="shared" si="1"/>
        <v>5292</v>
      </c>
      <c r="AB44" s="379">
        <f t="shared" si="1"/>
        <v>5292</v>
      </c>
      <c r="AC44" s="379">
        <f t="shared" si="1"/>
        <v>5292</v>
      </c>
      <c r="AD44" s="379">
        <f t="shared" si="1"/>
        <v>3528</v>
      </c>
      <c r="AE44" s="379">
        <f t="shared" si="1"/>
        <v>3528</v>
      </c>
      <c r="AF44" s="379">
        <f t="shared" si="1"/>
        <v>3528</v>
      </c>
      <c r="AG44" s="379">
        <f t="shared" si="1"/>
        <v>3528</v>
      </c>
      <c r="AH44" s="379">
        <f t="shared" si="1"/>
        <v>3528</v>
      </c>
      <c r="AI44" s="379">
        <f t="shared" ref="AI44:BJ44" si="2">IF($B$44=0,0,$B$44*AI23)</f>
        <v>3528</v>
      </c>
      <c r="AJ44" s="379">
        <f t="shared" si="2"/>
        <v>3528</v>
      </c>
      <c r="AK44" s="379">
        <f t="shared" si="2"/>
        <v>3528</v>
      </c>
      <c r="AL44" s="379">
        <f t="shared" si="2"/>
        <v>3528</v>
      </c>
      <c r="AM44" s="379">
        <f t="shared" si="2"/>
        <v>1764</v>
      </c>
      <c r="AN44" s="379">
        <f t="shared" si="2"/>
        <v>1764</v>
      </c>
      <c r="AO44" s="379">
        <f t="shared" si="2"/>
        <v>1764</v>
      </c>
      <c r="AP44" s="379">
        <f t="shared" si="2"/>
        <v>1764</v>
      </c>
      <c r="AQ44" s="379">
        <f t="shared" si="2"/>
        <v>1764</v>
      </c>
      <c r="AR44" s="379">
        <f t="shared" si="2"/>
        <v>1764</v>
      </c>
      <c r="AS44" s="379">
        <f t="shared" si="2"/>
        <v>0</v>
      </c>
      <c r="AT44" s="379">
        <f t="shared" si="2"/>
        <v>0</v>
      </c>
      <c r="AU44" s="379">
        <f t="shared" si="2"/>
        <v>0</v>
      </c>
      <c r="AV44" s="379">
        <f t="shared" si="2"/>
        <v>0</v>
      </c>
      <c r="AW44" s="379">
        <f t="shared" si="2"/>
        <v>0</v>
      </c>
      <c r="AX44" s="379">
        <f t="shared" si="2"/>
        <v>0</v>
      </c>
      <c r="AY44" s="379">
        <f t="shared" si="2"/>
        <v>0</v>
      </c>
      <c r="AZ44" s="379">
        <f t="shared" si="2"/>
        <v>0</v>
      </c>
      <c r="BA44" s="379">
        <f t="shared" si="2"/>
        <v>0</v>
      </c>
      <c r="BB44" s="379">
        <f t="shared" si="2"/>
        <v>0</v>
      </c>
      <c r="BC44" s="379">
        <f t="shared" si="2"/>
        <v>0</v>
      </c>
      <c r="BD44" s="379">
        <f t="shared" si="2"/>
        <v>0</v>
      </c>
      <c r="BE44" s="379">
        <f t="shared" si="2"/>
        <v>0</v>
      </c>
      <c r="BF44" s="379">
        <f t="shared" si="2"/>
        <v>0</v>
      </c>
      <c r="BG44" s="379">
        <f t="shared" si="2"/>
        <v>0</v>
      </c>
      <c r="BH44" s="379">
        <f t="shared" si="2"/>
        <v>0</v>
      </c>
      <c r="BI44" s="379">
        <f t="shared" si="2"/>
        <v>0</v>
      </c>
      <c r="BJ44" s="379">
        <f t="shared" si="2"/>
        <v>0</v>
      </c>
      <c r="BK44" s="380">
        <f t="shared" ref="BK44:BK62" si="3">SUM(C44:BJ44)</f>
        <v>176400</v>
      </c>
    </row>
    <row r="45" spans="1:63" ht="15" customHeight="1" x14ac:dyDescent="0.25">
      <c r="A45" s="367" t="s">
        <v>220</v>
      </c>
      <c r="B45" s="369" t="e">
        <f>'Feasibility Study'!K61/1000</f>
        <v>#REF!</v>
      </c>
      <c r="C45" s="379" t="e">
        <f t="shared" ref="C45:AH45" si="4">IF($B$45=0,0,$B$45*C24)</f>
        <v>#REF!</v>
      </c>
      <c r="D45" s="379" t="e">
        <f t="shared" si="4"/>
        <v>#REF!</v>
      </c>
      <c r="E45" s="379" t="e">
        <f t="shared" si="4"/>
        <v>#REF!</v>
      </c>
      <c r="F45" s="379" t="e">
        <f t="shared" si="4"/>
        <v>#REF!</v>
      </c>
      <c r="G45" s="379" t="e">
        <f t="shared" si="4"/>
        <v>#REF!</v>
      </c>
      <c r="H45" s="379" t="e">
        <f t="shared" si="4"/>
        <v>#REF!</v>
      </c>
      <c r="I45" s="379" t="e">
        <f t="shared" si="4"/>
        <v>#REF!</v>
      </c>
      <c r="J45" s="379" t="e">
        <f t="shared" si="4"/>
        <v>#REF!</v>
      </c>
      <c r="K45" s="379" t="e">
        <f t="shared" si="4"/>
        <v>#REF!</v>
      </c>
      <c r="L45" s="379" t="e">
        <f t="shared" si="4"/>
        <v>#REF!</v>
      </c>
      <c r="M45" s="379" t="e">
        <f t="shared" si="4"/>
        <v>#REF!</v>
      </c>
      <c r="N45" s="379" t="e">
        <f t="shared" si="4"/>
        <v>#REF!</v>
      </c>
      <c r="O45" s="379" t="e">
        <f t="shared" si="4"/>
        <v>#REF!</v>
      </c>
      <c r="P45" s="379" t="e">
        <f t="shared" si="4"/>
        <v>#REF!</v>
      </c>
      <c r="Q45" s="379" t="e">
        <f t="shared" si="4"/>
        <v>#REF!</v>
      </c>
      <c r="R45" s="379" t="e">
        <f t="shared" si="4"/>
        <v>#REF!</v>
      </c>
      <c r="S45" s="379" t="e">
        <f t="shared" si="4"/>
        <v>#REF!</v>
      </c>
      <c r="T45" s="379" t="e">
        <f t="shared" si="4"/>
        <v>#REF!</v>
      </c>
      <c r="U45" s="379" t="e">
        <f t="shared" si="4"/>
        <v>#REF!</v>
      </c>
      <c r="V45" s="379" t="e">
        <f t="shared" si="4"/>
        <v>#REF!</v>
      </c>
      <c r="W45" s="379" t="e">
        <f t="shared" si="4"/>
        <v>#REF!</v>
      </c>
      <c r="X45" s="379" t="e">
        <f t="shared" si="4"/>
        <v>#REF!</v>
      </c>
      <c r="Y45" s="379" t="e">
        <f t="shared" si="4"/>
        <v>#REF!</v>
      </c>
      <c r="Z45" s="379" t="e">
        <f t="shared" si="4"/>
        <v>#REF!</v>
      </c>
      <c r="AA45" s="379" t="e">
        <f t="shared" si="4"/>
        <v>#REF!</v>
      </c>
      <c r="AB45" s="379" t="e">
        <f t="shared" si="4"/>
        <v>#REF!</v>
      </c>
      <c r="AC45" s="379" t="e">
        <f t="shared" si="4"/>
        <v>#REF!</v>
      </c>
      <c r="AD45" s="379" t="e">
        <f t="shared" si="4"/>
        <v>#REF!</v>
      </c>
      <c r="AE45" s="379" t="e">
        <f t="shared" si="4"/>
        <v>#REF!</v>
      </c>
      <c r="AF45" s="379" t="e">
        <f t="shared" si="4"/>
        <v>#REF!</v>
      </c>
      <c r="AG45" s="379" t="e">
        <f t="shared" si="4"/>
        <v>#REF!</v>
      </c>
      <c r="AH45" s="379" t="e">
        <f t="shared" si="4"/>
        <v>#REF!</v>
      </c>
      <c r="AI45" s="379" t="e">
        <f t="shared" ref="AI45:BJ45" si="5">IF($B$45=0,0,$B$45*AI24)</f>
        <v>#REF!</v>
      </c>
      <c r="AJ45" s="379" t="e">
        <f t="shared" si="5"/>
        <v>#REF!</v>
      </c>
      <c r="AK45" s="379" t="e">
        <f t="shared" si="5"/>
        <v>#REF!</v>
      </c>
      <c r="AL45" s="379" t="e">
        <f t="shared" si="5"/>
        <v>#REF!</v>
      </c>
      <c r="AM45" s="379" t="e">
        <f t="shared" si="5"/>
        <v>#REF!</v>
      </c>
      <c r="AN45" s="379" t="e">
        <f t="shared" si="5"/>
        <v>#REF!</v>
      </c>
      <c r="AO45" s="379" t="e">
        <f t="shared" si="5"/>
        <v>#REF!</v>
      </c>
      <c r="AP45" s="379" t="e">
        <f t="shared" si="5"/>
        <v>#REF!</v>
      </c>
      <c r="AQ45" s="379" t="e">
        <f t="shared" si="5"/>
        <v>#REF!</v>
      </c>
      <c r="AR45" s="379" t="e">
        <f t="shared" si="5"/>
        <v>#REF!</v>
      </c>
      <c r="AS45" s="379" t="e">
        <f t="shared" si="5"/>
        <v>#REF!</v>
      </c>
      <c r="AT45" s="379" t="e">
        <f t="shared" si="5"/>
        <v>#REF!</v>
      </c>
      <c r="AU45" s="379" t="e">
        <f t="shared" si="5"/>
        <v>#REF!</v>
      </c>
      <c r="AV45" s="379" t="e">
        <f t="shared" si="5"/>
        <v>#REF!</v>
      </c>
      <c r="AW45" s="379" t="e">
        <f t="shared" si="5"/>
        <v>#REF!</v>
      </c>
      <c r="AX45" s="379" t="e">
        <f t="shared" si="5"/>
        <v>#REF!</v>
      </c>
      <c r="AY45" s="379" t="e">
        <f t="shared" si="5"/>
        <v>#REF!</v>
      </c>
      <c r="AZ45" s="379" t="e">
        <f t="shared" si="5"/>
        <v>#REF!</v>
      </c>
      <c r="BA45" s="379" t="e">
        <f t="shared" si="5"/>
        <v>#REF!</v>
      </c>
      <c r="BB45" s="379" t="e">
        <f t="shared" si="5"/>
        <v>#REF!</v>
      </c>
      <c r="BC45" s="379" t="e">
        <f t="shared" si="5"/>
        <v>#REF!</v>
      </c>
      <c r="BD45" s="379" t="e">
        <f t="shared" si="5"/>
        <v>#REF!</v>
      </c>
      <c r="BE45" s="379" t="e">
        <f t="shared" si="5"/>
        <v>#REF!</v>
      </c>
      <c r="BF45" s="379" t="e">
        <f t="shared" si="5"/>
        <v>#REF!</v>
      </c>
      <c r="BG45" s="379" t="e">
        <f t="shared" si="5"/>
        <v>#REF!</v>
      </c>
      <c r="BH45" s="379" t="e">
        <f t="shared" si="5"/>
        <v>#REF!</v>
      </c>
      <c r="BI45" s="379" t="e">
        <f t="shared" si="5"/>
        <v>#REF!</v>
      </c>
      <c r="BJ45" s="379" t="e">
        <f t="shared" si="5"/>
        <v>#REF!</v>
      </c>
      <c r="BK45" s="380" t="e">
        <f t="shared" si="3"/>
        <v>#REF!</v>
      </c>
    </row>
    <row r="46" spans="1:63" ht="15" customHeight="1" x14ac:dyDescent="0.25">
      <c r="A46" s="367" t="s">
        <v>221</v>
      </c>
      <c r="B46" s="369">
        <f>'Feasibility Study'!M61/1000</f>
        <v>0</v>
      </c>
      <c r="C46" s="379">
        <f t="shared" ref="C46:AH46" si="6">IF($B$46=0,0,$B$46*C25)</f>
        <v>0</v>
      </c>
      <c r="D46" s="379">
        <f t="shared" si="6"/>
        <v>0</v>
      </c>
      <c r="E46" s="379">
        <f t="shared" si="6"/>
        <v>0</v>
      </c>
      <c r="F46" s="379">
        <f t="shared" si="6"/>
        <v>0</v>
      </c>
      <c r="G46" s="379">
        <f t="shared" si="6"/>
        <v>0</v>
      </c>
      <c r="H46" s="379">
        <f t="shared" si="6"/>
        <v>0</v>
      </c>
      <c r="I46" s="379">
        <f t="shared" si="6"/>
        <v>0</v>
      </c>
      <c r="J46" s="379">
        <f t="shared" si="6"/>
        <v>0</v>
      </c>
      <c r="K46" s="379">
        <f t="shared" si="6"/>
        <v>0</v>
      </c>
      <c r="L46" s="379">
        <f t="shared" si="6"/>
        <v>0</v>
      </c>
      <c r="M46" s="379">
        <f t="shared" si="6"/>
        <v>0</v>
      </c>
      <c r="N46" s="379">
        <f t="shared" si="6"/>
        <v>0</v>
      </c>
      <c r="O46" s="379">
        <f t="shared" si="6"/>
        <v>0</v>
      </c>
      <c r="P46" s="379">
        <f t="shared" si="6"/>
        <v>0</v>
      </c>
      <c r="Q46" s="379">
        <f t="shared" si="6"/>
        <v>0</v>
      </c>
      <c r="R46" s="379">
        <f t="shared" si="6"/>
        <v>0</v>
      </c>
      <c r="S46" s="379">
        <f t="shared" si="6"/>
        <v>0</v>
      </c>
      <c r="T46" s="379">
        <f t="shared" si="6"/>
        <v>0</v>
      </c>
      <c r="U46" s="379">
        <f t="shared" si="6"/>
        <v>0</v>
      </c>
      <c r="V46" s="379">
        <f t="shared" si="6"/>
        <v>0</v>
      </c>
      <c r="W46" s="379">
        <f t="shared" si="6"/>
        <v>0</v>
      </c>
      <c r="X46" s="379">
        <f t="shared" si="6"/>
        <v>0</v>
      </c>
      <c r="Y46" s="379">
        <f t="shared" si="6"/>
        <v>0</v>
      </c>
      <c r="Z46" s="379">
        <f t="shared" si="6"/>
        <v>0</v>
      </c>
      <c r="AA46" s="379">
        <f t="shared" si="6"/>
        <v>0</v>
      </c>
      <c r="AB46" s="379">
        <f t="shared" si="6"/>
        <v>0</v>
      </c>
      <c r="AC46" s="379">
        <f t="shared" si="6"/>
        <v>0</v>
      </c>
      <c r="AD46" s="379">
        <f t="shared" si="6"/>
        <v>0</v>
      </c>
      <c r="AE46" s="379">
        <f t="shared" si="6"/>
        <v>0</v>
      </c>
      <c r="AF46" s="379">
        <f t="shared" si="6"/>
        <v>0</v>
      </c>
      <c r="AG46" s="379">
        <f t="shared" si="6"/>
        <v>0</v>
      </c>
      <c r="AH46" s="379">
        <f t="shared" si="6"/>
        <v>0</v>
      </c>
      <c r="AI46" s="379">
        <f t="shared" ref="AI46:BJ46" si="7">IF($B$46=0,0,$B$46*AI25)</f>
        <v>0</v>
      </c>
      <c r="AJ46" s="379">
        <f t="shared" si="7"/>
        <v>0</v>
      </c>
      <c r="AK46" s="379">
        <f t="shared" si="7"/>
        <v>0</v>
      </c>
      <c r="AL46" s="379">
        <f t="shared" si="7"/>
        <v>0</v>
      </c>
      <c r="AM46" s="379">
        <f t="shared" si="7"/>
        <v>0</v>
      </c>
      <c r="AN46" s="379">
        <f t="shared" si="7"/>
        <v>0</v>
      </c>
      <c r="AO46" s="379">
        <f t="shared" si="7"/>
        <v>0</v>
      </c>
      <c r="AP46" s="379">
        <f t="shared" si="7"/>
        <v>0</v>
      </c>
      <c r="AQ46" s="379">
        <f t="shared" si="7"/>
        <v>0</v>
      </c>
      <c r="AR46" s="379">
        <f t="shared" si="7"/>
        <v>0</v>
      </c>
      <c r="AS46" s="379">
        <f t="shared" si="7"/>
        <v>0</v>
      </c>
      <c r="AT46" s="379">
        <f t="shared" si="7"/>
        <v>0</v>
      </c>
      <c r="AU46" s="379">
        <f t="shared" si="7"/>
        <v>0</v>
      </c>
      <c r="AV46" s="379">
        <f t="shared" si="7"/>
        <v>0</v>
      </c>
      <c r="AW46" s="379">
        <f t="shared" si="7"/>
        <v>0</v>
      </c>
      <c r="AX46" s="379">
        <f t="shared" si="7"/>
        <v>0</v>
      </c>
      <c r="AY46" s="379">
        <f t="shared" si="7"/>
        <v>0</v>
      </c>
      <c r="AZ46" s="379">
        <f t="shared" si="7"/>
        <v>0</v>
      </c>
      <c r="BA46" s="379">
        <f t="shared" si="7"/>
        <v>0</v>
      </c>
      <c r="BB46" s="379">
        <f t="shared" si="7"/>
        <v>0</v>
      </c>
      <c r="BC46" s="379">
        <f t="shared" si="7"/>
        <v>0</v>
      </c>
      <c r="BD46" s="379">
        <f t="shared" si="7"/>
        <v>0</v>
      </c>
      <c r="BE46" s="379">
        <f t="shared" si="7"/>
        <v>0</v>
      </c>
      <c r="BF46" s="379">
        <f t="shared" si="7"/>
        <v>0</v>
      </c>
      <c r="BG46" s="379">
        <f t="shared" si="7"/>
        <v>0</v>
      </c>
      <c r="BH46" s="379">
        <f t="shared" si="7"/>
        <v>0</v>
      </c>
      <c r="BI46" s="379">
        <f t="shared" si="7"/>
        <v>0</v>
      </c>
      <c r="BJ46" s="379">
        <f t="shared" si="7"/>
        <v>0</v>
      </c>
      <c r="BK46" s="380">
        <f t="shared" si="3"/>
        <v>0</v>
      </c>
    </row>
    <row r="47" spans="1:63" ht="15" customHeight="1" x14ac:dyDescent="0.25">
      <c r="A47" s="367" t="s">
        <v>223</v>
      </c>
      <c r="B47" s="369">
        <f>'Feasibility Study'!O61/1000</f>
        <v>0</v>
      </c>
      <c r="C47" s="379">
        <f t="shared" ref="C47:AH47" si="8">IF($B$47=0,0,$B$47*C26)</f>
        <v>0</v>
      </c>
      <c r="D47" s="379">
        <f t="shared" si="8"/>
        <v>0</v>
      </c>
      <c r="E47" s="379">
        <f t="shared" si="8"/>
        <v>0</v>
      </c>
      <c r="F47" s="379">
        <f t="shared" si="8"/>
        <v>0</v>
      </c>
      <c r="G47" s="379">
        <f t="shared" si="8"/>
        <v>0</v>
      </c>
      <c r="H47" s="379">
        <f t="shared" si="8"/>
        <v>0</v>
      </c>
      <c r="I47" s="379">
        <f t="shared" si="8"/>
        <v>0</v>
      </c>
      <c r="J47" s="379">
        <f t="shared" si="8"/>
        <v>0</v>
      </c>
      <c r="K47" s="379">
        <f t="shared" si="8"/>
        <v>0</v>
      </c>
      <c r="L47" s="379">
        <f t="shared" si="8"/>
        <v>0</v>
      </c>
      <c r="M47" s="379">
        <f t="shared" si="8"/>
        <v>0</v>
      </c>
      <c r="N47" s="379">
        <f t="shared" si="8"/>
        <v>0</v>
      </c>
      <c r="O47" s="379">
        <f t="shared" si="8"/>
        <v>0</v>
      </c>
      <c r="P47" s="379">
        <f t="shared" si="8"/>
        <v>0</v>
      </c>
      <c r="Q47" s="379">
        <f t="shared" si="8"/>
        <v>0</v>
      </c>
      <c r="R47" s="379">
        <f t="shared" si="8"/>
        <v>0</v>
      </c>
      <c r="S47" s="379">
        <f t="shared" si="8"/>
        <v>0</v>
      </c>
      <c r="T47" s="379">
        <f t="shared" si="8"/>
        <v>0</v>
      </c>
      <c r="U47" s="379">
        <f t="shared" si="8"/>
        <v>0</v>
      </c>
      <c r="V47" s="379">
        <f t="shared" si="8"/>
        <v>0</v>
      </c>
      <c r="W47" s="379">
        <f t="shared" si="8"/>
        <v>0</v>
      </c>
      <c r="X47" s="379">
        <f t="shared" si="8"/>
        <v>0</v>
      </c>
      <c r="Y47" s="379">
        <f t="shared" si="8"/>
        <v>0</v>
      </c>
      <c r="Z47" s="379">
        <f t="shared" si="8"/>
        <v>0</v>
      </c>
      <c r="AA47" s="379">
        <f t="shared" si="8"/>
        <v>0</v>
      </c>
      <c r="AB47" s="379">
        <f t="shared" si="8"/>
        <v>0</v>
      </c>
      <c r="AC47" s="379">
        <f t="shared" si="8"/>
        <v>0</v>
      </c>
      <c r="AD47" s="379">
        <f t="shared" si="8"/>
        <v>0</v>
      </c>
      <c r="AE47" s="379">
        <f t="shared" si="8"/>
        <v>0</v>
      </c>
      <c r="AF47" s="379">
        <f t="shared" si="8"/>
        <v>0</v>
      </c>
      <c r="AG47" s="379">
        <f t="shared" si="8"/>
        <v>0</v>
      </c>
      <c r="AH47" s="379">
        <f t="shared" si="8"/>
        <v>0</v>
      </c>
      <c r="AI47" s="379">
        <f t="shared" ref="AI47:BJ47" si="9">IF($B$47=0,0,$B$47*AI26)</f>
        <v>0</v>
      </c>
      <c r="AJ47" s="379">
        <f t="shared" si="9"/>
        <v>0</v>
      </c>
      <c r="AK47" s="379">
        <f t="shared" si="9"/>
        <v>0</v>
      </c>
      <c r="AL47" s="379">
        <f t="shared" si="9"/>
        <v>0</v>
      </c>
      <c r="AM47" s="379">
        <f t="shared" si="9"/>
        <v>0</v>
      </c>
      <c r="AN47" s="379">
        <f t="shared" si="9"/>
        <v>0</v>
      </c>
      <c r="AO47" s="379">
        <f t="shared" si="9"/>
        <v>0</v>
      </c>
      <c r="AP47" s="379">
        <f t="shared" si="9"/>
        <v>0</v>
      </c>
      <c r="AQ47" s="379">
        <f t="shared" si="9"/>
        <v>0</v>
      </c>
      <c r="AR47" s="379">
        <f t="shared" si="9"/>
        <v>0</v>
      </c>
      <c r="AS47" s="379">
        <f t="shared" si="9"/>
        <v>0</v>
      </c>
      <c r="AT47" s="379">
        <f t="shared" si="9"/>
        <v>0</v>
      </c>
      <c r="AU47" s="379">
        <f t="shared" si="9"/>
        <v>0</v>
      </c>
      <c r="AV47" s="379">
        <f t="shared" si="9"/>
        <v>0</v>
      </c>
      <c r="AW47" s="379">
        <f t="shared" si="9"/>
        <v>0</v>
      </c>
      <c r="AX47" s="379">
        <f t="shared" si="9"/>
        <v>0</v>
      </c>
      <c r="AY47" s="379">
        <f t="shared" si="9"/>
        <v>0</v>
      </c>
      <c r="AZ47" s="379">
        <f t="shared" si="9"/>
        <v>0</v>
      </c>
      <c r="BA47" s="379">
        <f t="shared" si="9"/>
        <v>0</v>
      </c>
      <c r="BB47" s="379">
        <f t="shared" si="9"/>
        <v>0</v>
      </c>
      <c r="BC47" s="379">
        <f t="shared" si="9"/>
        <v>0</v>
      </c>
      <c r="BD47" s="379">
        <f t="shared" si="9"/>
        <v>0</v>
      </c>
      <c r="BE47" s="379">
        <f t="shared" si="9"/>
        <v>0</v>
      </c>
      <c r="BF47" s="379">
        <f t="shared" si="9"/>
        <v>0</v>
      </c>
      <c r="BG47" s="379">
        <f t="shared" si="9"/>
        <v>0</v>
      </c>
      <c r="BH47" s="379">
        <f t="shared" si="9"/>
        <v>0</v>
      </c>
      <c r="BI47" s="379">
        <f t="shared" si="9"/>
        <v>0</v>
      </c>
      <c r="BJ47" s="379">
        <f t="shared" si="9"/>
        <v>0</v>
      </c>
      <c r="BK47" s="380">
        <f t="shared" si="3"/>
        <v>0</v>
      </c>
    </row>
    <row r="48" spans="1:63" ht="15" customHeight="1" x14ac:dyDescent="0.25">
      <c r="A48" s="367" t="s">
        <v>224</v>
      </c>
      <c r="B48" s="369">
        <f>'Feasibility Study'!Q61/1000</f>
        <v>0</v>
      </c>
      <c r="C48" s="379">
        <f t="shared" ref="C48:AH48" si="10">IF($B$48=0,0,$B$48*C27)</f>
        <v>0</v>
      </c>
      <c r="D48" s="379">
        <f t="shared" si="10"/>
        <v>0</v>
      </c>
      <c r="E48" s="379">
        <f t="shared" si="10"/>
        <v>0</v>
      </c>
      <c r="F48" s="379">
        <f t="shared" si="10"/>
        <v>0</v>
      </c>
      <c r="G48" s="379">
        <f t="shared" si="10"/>
        <v>0</v>
      </c>
      <c r="H48" s="379">
        <f t="shared" si="10"/>
        <v>0</v>
      </c>
      <c r="I48" s="379">
        <f t="shared" si="10"/>
        <v>0</v>
      </c>
      <c r="J48" s="379">
        <f t="shared" si="10"/>
        <v>0</v>
      </c>
      <c r="K48" s="379">
        <f t="shared" si="10"/>
        <v>0</v>
      </c>
      <c r="L48" s="379">
        <f t="shared" si="10"/>
        <v>0</v>
      </c>
      <c r="M48" s="379">
        <f t="shared" si="10"/>
        <v>0</v>
      </c>
      <c r="N48" s="379">
        <f t="shared" si="10"/>
        <v>0</v>
      </c>
      <c r="O48" s="379">
        <f t="shared" si="10"/>
        <v>0</v>
      </c>
      <c r="P48" s="379">
        <f t="shared" si="10"/>
        <v>0</v>
      </c>
      <c r="Q48" s="379">
        <f t="shared" si="10"/>
        <v>0</v>
      </c>
      <c r="R48" s="379">
        <f t="shared" si="10"/>
        <v>0</v>
      </c>
      <c r="S48" s="379">
        <f t="shared" si="10"/>
        <v>0</v>
      </c>
      <c r="T48" s="379">
        <f t="shared" si="10"/>
        <v>0</v>
      </c>
      <c r="U48" s="379">
        <f t="shared" si="10"/>
        <v>0</v>
      </c>
      <c r="V48" s="379">
        <f t="shared" si="10"/>
        <v>0</v>
      </c>
      <c r="W48" s="379">
        <f t="shared" si="10"/>
        <v>0</v>
      </c>
      <c r="X48" s="379">
        <f t="shared" si="10"/>
        <v>0</v>
      </c>
      <c r="Y48" s="379">
        <f t="shared" si="10"/>
        <v>0</v>
      </c>
      <c r="Z48" s="379">
        <f t="shared" si="10"/>
        <v>0</v>
      </c>
      <c r="AA48" s="379">
        <f t="shared" si="10"/>
        <v>0</v>
      </c>
      <c r="AB48" s="379">
        <f t="shared" si="10"/>
        <v>0</v>
      </c>
      <c r="AC48" s="379">
        <f t="shared" si="10"/>
        <v>0</v>
      </c>
      <c r="AD48" s="379">
        <f t="shared" si="10"/>
        <v>0</v>
      </c>
      <c r="AE48" s="379">
        <f t="shared" si="10"/>
        <v>0</v>
      </c>
      <c r="AF48" s="379">
        <f t="shared" si="10"/>
        <v>0</v>
      </c>
      <c r="AG48" s="379">
        <f t="shared" si="10"/>
        <v>0</v>
      </c>
      <c r="AH48" s="379">
        <f t="shared" si="10"/>
        <v>0</v>
      </c>
      <c r="AI48" s="379">
        <f t="shared" ref="AI48:BJ48" si="11">IF($B$48=0,0,$B$48*AI27)</f>
        <v>0</v>
      </c>
      <c r="AJ48" s="379">
        <f t="shared" si="11"/>
        <v>0</v>
      </c>
      <c r="AK48" s="379">
        <f t="shared" si="11"/>
        <v>0</v>
      </c>
      <c r="AL48" s="379">
        <f t="shared" si="11"/>
        <v>0</v>
      </c>
      <c r="AM48" s="379">
        <f t="shared" si="11"/>
        <v>0</v>
      </c>
      <c r="AN48" s="379">
        <f t="shared" si="11"/>
        <v>0</v>
      </c>
      <c r="AO48" s="379">
        <f t="shared" si="11"/>
        <v>0</v>
      </c>
      <c r="AP48" s="379">
        <f t="shared" si="11"/>
        <v>0</v>
      </c>
      <c r="AQ48" s="379">
        <f t="shared" si="11"/>
        <v>0</v>
      </c>
      <c r="AR48" s="379">
        <f t="shared" si="11"/>
        <v>0</v>
      </c>
      <c r="AS48" s="379">
        <f t="shared" si="11"/>
        <v>0</v>
      </c>
      <c r="AT48" s="379">
        <f t="shared" si="11"/>
        <v>0</v>
      </c>
      <c r="AU48" s="379">
        <f t="shared" si="11"/>
        <v>0</v>
      </c>
      <c r="AV48" s="379">
        <f t="shared" si="11"/>
        <v>0</v>
      </c>
      <c r="AW48" s="379">
        <f t="shared" si="11"/>
        <v>0</v>
      </c>
      <c r="AX48" s="379">
        <f t="shared" si="11"/>
        <v>0</v>
      </c>
      <c r="AY48" s="379">
        <f t="shared" si="11"/>
        <v>0</v>
      </c>
      <c r="AZ48" s="379">
        <f t="shared" si="11"/>
        <v>0</v>
      </c>
      <c r="BA48" s="379">
        <f t="shared" si="11"/>
        <v>0</v>
      </c>
      <c r="BB48" s="379">
        <f t="shared" si="11"/>
        <v>0</v>
      </c>
      <c r="BC48" s="379">
        <f t="shared" si="11"/>
        <v>0</v>
      </c>
      <c r="BD48" s="379">
        <f t="shared" si="11"/>
        <v>0</v>
      </c>
      <c r="BE48" s="379">
        <f t="shared" si="11"/>
        <v>0</v>
      </c>
      <c r="BF48" s="379">
        <f t="shared" si="11"/>
        <v>0</v>
      </c>
      <c r="BG48" s="379">
        <f t="shared" si="11"/>
        <v>0</v>
      </c>
      <c r="BH48" s="379">
        <f t="shared" si="11"/>
        <v>0</v>
      </c>
      <c r="BI48" s="379">
        <f t="shared" si="11"/>
        <v>0</v>
      </c>
      <c r="BJ48" s="379">
        <f t="shared" si="11"/>
        <v>0</v>
      </c>
      <c r="BK48" s="380">
        <f t="shared" si="3"/>
        <v>0</v>
      </c>
    </row>
    <row r="49" spans="1:63" ht="15" customHeight="1" x14ac:dyDescent="0.25">
      <c r="A49" s="367" t="s">
        <v>226</v>
      </c>
      <c r="B49" s="369">
        <f>'Feasibility Study'!S61/1000</f>
        <v>0</v>
      </c>
      <c r="C49" s="379">
        <f t="shared" ref="C49:AH49" si="12">IF($B$49=0,0,$B$49*C28)</f>
        <v>0</v>
      </c>
      <c r="D49" s="379">
        <f t="shared" si="12"/>
        <v>0</v>
      </c>
      <c r="E49" s="379">
        <f t="shared" si="12"/>
        <v>0</v>
      </c>
      <c r="F49" s="379">
        <f t="shared" si="12"/>
        <v>0</v>
      </c>
      <c r="G49" s="379">
        <f t="shared" si="12"/>
        <v>0</v>
      </c>
      <c r="H49" s="379">
        <f t="shared" si="12"/>
        <v>0</v>
      </c>
      <c r="I49" s="379">
        <f t="shared" si="12"/>
        <v>0</v>
      </c>
      <c r="J49" s="379">
        <f t="shared" si="12"/>
        <v>0</v>
      </c>
      <c r="K49" s="379">
        <f t="shared" si="12"/>
        <v>0</v>
      </c>
      <c r="L49" s="379">
        <f t="shared" si="12"/>
        <v>0</v>
      </c>
      <c r="M49" s="379">
        <f t="shared" si="12"/>
        <v>0</v>
      </c>
      <c r="N49" s="379">
        <f t="shared" si="12"/>
        <v>0</v>
      </c>
      <c r="O49" s="379">
        <f t="shared" si="12"/>
        <v>0</v>
      </c>
      <c r="P49" s="379">
        <f t="shared" si="12"/>
        <v>0</v>
      </c>
      <c r="Q49" s="379">
        <f t="shared" si="12"/>
        <v>0</v>
      </c>
      <c r="R49" s="379">
        <f t="shared" si="12"/>
        <v>0</v>
      </c>
      <c r="S49" s="379">
        <f t="shared" si="12"/>
        <v>0</v>
      </c>
      <c r="T49" s="379">
        <f t="shared" si="12"/>
        <v>0</v>
      </c>
      <c r="U49" s="379">
        <f t="shared" si="12"/>
        <v>0</v>
      </c>
      <c r="V49" s="379">
        <f t="shared" si="12"/>
        <v>0</v>
      </c>
      <c r="W49" s="379">
        <f t="shared" si="12"/>
        <v>0</v>
      </c>
      <c r="X49" s="379">
        <f t="shared" si="12"/>
        <v>0</v>
      </c>
      <c r="Y49" s="379">
        <f t="shared" si="12"/>
        <v>0</v>
      </c>
      <c r="Z49" s="379">
        <f t="shared" si="12"/>
        <v>0</v>
      </c>
      <c r="AA49" s="379">
        <f t="shared" si="12"/>
        <v>0</v>
      </c>
      <c r="AB49" s="379">
        <f t="shared" si="12"/>
        <v>0</v>
      </c>
      <c r="AC49" s="379">
        <f t="shared" si="12"/>
        <v>0</v>
      </c>
      <c r="AD49" s="379">
        <f t="shared" si="12"/>
        <v>0</v>
      </c>
      <c r="AE49" s="379">
        <f t="shared" si="12"/>
        <v>0</v>
      </c>
      <c r="AF49" s="379">
        <f t="shared" si="12"/>
        <v>0</v>
      </c>
      <c r="AG49" s="379">
        <f t="shared" si="12"/>
        <v>0</v>
      </c>
      <c r="AH49" s="379">
        <f t="shared" si="12"/>
        <v>0</v>
      </c>
      <c r="AI49" s="379">
        <f t="shared" ref="AI49:BJ49" si="13">IF($B$49=0,0,$B$49*AI28)</f>
        <v>0</v>
      </c>
      <c r="AJ49" s="379">
        <f t="shared" si="13"/>
        <v>0</v>
      </c>
      <c r="AK49" s="379">
        <f t="shared" si="13"/>
        <v>0</v>
      </c>
      <c r="AL49" s="379">
        <f t="shared" si="13"/>
        <v>0</v>
      </c>
      <c r="AM49" s="379">
        <f t="shared" si="13"/>
        <v>0</v>
      </c>
      <c r="AN49" s="379">
        <f t="shared" si="13"/>
        <v>0</v>
      </c>
      <c r="AO49" s="379">
        <f t="shared" si="13"/>
        <v>0</v>
      </c>
      <c r="AP49" s="379">
        <f t="shared" si="13"/>
        <v>0</v>
      </c>
      <c r="AQ49" s="379">
        <f t="shared" si="13"/>
        <v>0</v>
      </c>
      <c r="AR49" s="379">
        <f t="shared" si="13"/>
        <v>0</v>
      </c>
      <c r="AS49" s="379">
        <f t="shared" si="13"/>
        <v>0</v>
      </c>
      <c r="AT49" s="379">
        <f t="shared" si="13"/>
        <v>0</v>
      </c>
      <c r="AU49" s="379">
        <f t="shared" si="13"/>
        <v>0</v>
      </c>
      <c r="AV49" s="379">
        <f t="shared" si="13"/>
        <v>0</v>
      </c>
      <c r="AW49" s="379">
        <f t="shared" si="13"/>
        <v>0</v>
      </c>
      <c r="AX49" s="379">
        <f t="shared" si="13"/>
        <v>0</v>
      </c>
      <c r="AY49" s="379">
        <f t="shared" si="13"/>
        <v>0</v>
      </c>
      <c r="AZ49" s="379">
        <f t="shared" si="13"/>
        <v>0</v>
      </c>
      <c r="BA49" s="379">
        <f t="shared" si="13"/>
        <v>0</v>
      </c>
      <c r="BB49" s="379">
        <f t="shared" si="13"/>
        <v>0</v>
      </c>
      <c r="BC49" s="379">
        <f t="shared" si="13"/>
        <v>0</v>
      </c>
      <c r="BD49" s="379">
        <f t="shared" si="13"/>
        <v>0</v>
      </c>
      <c r="BE49" s="379">
        <f t="shared" si="13"/>
        <v>0</v>
      </c>
      <c r="BF49" s="379">
        <f t="shared" si="13"/>
        <v>0</v>
      </c>
      <c r="BG49" s="379">
        <f t="shared" si="13"/>
        <v>0</v>
      </c>
      <c r="BH49" s="379">
        <f t="shared" si="13"/>
        <v>0</v>
      </c>
      <c r="BI49" s="379">
        <f t="shared" si="13"/>
        <v>0</v>
      </c>
      <c r="BJ49" s="379">
        <f t="shared" si="13"/>
        <v>0</v>
      </c>
      <c r="BK49" s="380">
        <f t="shared" si="3"/>
        <v>0</v>
      </c>
    </row>
    <row r="50" spans="1:63" ht="15" customHeight="1" x14ac:dyDescent="0.25">
      <c r="A50" s="367" t="s">
        <v>227</v>
      </c>
      <c r="B50" s="369">
        <f>'Feasibility Study'!W61/1000</f>
        <v>0</v>
      </c>
      <c r="C50" s="379">
        <f t="shared" ref="C50:AH50" si="14">IF($B$50=0,0,$B$50*C29)</f>
        <v>0</v>
      </c>
      <c r="D50" s="379">
        <f t="shared" si="14"/>
        <v>0</v>
      </c>
      <c r="E50" s="379">
        <f t="shared" si="14"/>
        <v>0</v>
      </c>
      <c r="F50" s="379">
        <f t="shared" si="14"/>
        <v>0</v>
      </c>
      <c r="G50" s="379">
        <f t="shared" si="14"/>
        <v>0</v>
      </c>
      <c r="H50" s="379">
        <f t="shared" si="14"/>
        <v>0</v>
      </c>
      <c r="I50" s="379">
        <f t="shared" si="14"/>
        <v>0</v>
      </c>
      <c r="J50" s="379">
        <f t="shared" si="14"/>
        <v>0</v>
      </c>
      <c r="K50" s="379">
        <f t="shared" si="14"/>
        <v>0</v>
      </c>
      <c r="L50" s="379">
        <f t="shared" si="14"/>
        <v>0</v>
      </c>
      <c r="M50" s="379">
        <f t="shared" si="14"/>
        <v>0</v>
      </c>
      <c r="N50" s="379">
        <f t="shared" si="14"/>
        <v>0</v>
      </c>
      <c r="O50" s="379">
        <f t="shared" si="14"/>
        <v>0</v>
      </c>
      <c r="P50" s="379">
        <f t="shared" si="14"/>
        <v>0</v>
      </c>
      <c r="Q50" s="379">
        <f t="shared" si="14"/>
        <v>0</v>
      </c>
      <c r="R50" s="379">
        <f t="shared" si="14"/>
        <v>0</v>
      </c>
      <c r="S50" s="379">
        <f t="shared" si="14"/>
        <v>0</v>
      </c>
      <c r="T50" s="379">
        <f t="shared" si="14"/>
        <v>0</v>
      </c>
      <c r="U50" s="379">
        <f t="shared" si="14"/>
        <v>0</v>
      </c>
      <c r="V50" s="379">
        <f t="shared" si="14"/>
        <v>0</v>
      </c>
      <c r="W50" s="379">
        <f t="shared" si="14"/>
        <v>0</v>
      </c>
      <c r="X50" s="379">
        <f t="shared" si="14"/>
        <v>0</v>
      </c>
      <c r="Y50" s="379">
        <f t="shared" si="14"/>
        <v>0</v>
      </c>
      <c r="Z50" s="379">
        <f t="shared" si="14"/>
        <v>0</v>
      </c>
      <c r="AA50" s="379">
        <f t="shared" si="14"/>
        <v>0</v>
      </c>
      <c r="AB50" s="379">
        <f t="shared" si="14"/>
        <v>0</v>
      </c>
      <c r="AC50" s="379">
        <f t="shared" si="14"/>
        <v>0</v>
      </c>
      <c r="AD50" s="379">
        <f t="shared" si="14"/>
        <v>0</v>
      </c>
      <c r="AE50" s="379">
        <f t="shared" si="14"/>
        <v>0</v>
      </c>
      <c r="AF50" s="379">
        <f t="shared" si="14"/>
        <v>0</v>
      </c>
      <c r="AG50" s="379">
        <f t="shared" si="14"/>
        <v>0</v>
      </c>
      <c r="AH50" s="379">
        <f t="shared" si="14"/>
        <v>0</v>
      </c>
      <c r="AI50" s="379">
        <f t="shared" ref="AI50:BJ50" si="15">IF($B$50=0,0,$B$50*AI29)</f>
        <v>0</v>
      </c>
      <c r="AJ50" s="379">
        <f t="shared" si="15"/>
        <v>0</v>
      </c>
      <c r="AK50" s="379">
        <f t="shared" si="15"/>
        <v>0</v>
      </c>
      <c r="AL50" s="379">
        <f t="shared" si="15"/>
        <v>0</v>
      </c>
      <c r="AM50" s="379">
        <f t="shared" si="15"/>
        <v>0</v>
      </c>
      <c r="AN50" s="379">
        <f t="shared" si="15"/>
        <v>0</v>
      </c>
      <c r="AO50" s="379">
        <f t="shared" si="15"/>
        <v>0</v>
      </c>
      <c r="AP50" s="379">
        <f t="shared" si="15"/>
        <v>0</v>
      </c>
      <c r="AQ50" s="379">
        <f t="shared" si="15"/>
        <v>0</v>
      </c>
      <c r="AR50" s="379">
        <f t="shared" si="15"/>
        <v>0</v>
      </c>
      <c r="AS50" s="379">
        <f t="shared" si="15"/>
        <v>0</v>
      </c>
      <c r="AT50" s="379">
        <f t="shared" si="15"/>
        <v>0</v>
      </c>
      <c r="AU50" s="379">
        <f t="shared" si="15"/>
        <v>0</v>
      </c>
      <c r="AV50" s="379">
        <f t="shared" si="15"/>
        <v>0</v>
      </c>
      <c r="AW50" s="379">
        <f t="shared" si="15"/>
        <v>0</v>
      </c>
      <c r="AX50" s="379">
        <f t="shared" si="15"/>
        <v>0</v>
      </c>
      <c r="AY50" s="379">
        <f t="shared" si="15"/>
        <v>0</v>
      </c>
      <c r="AZ50" s="379">
        <f t="shared" si="15"/>
        <v>0</v>
      </c>
      <c r="BA50" s="379">
        <f t="shared" si="15"/>
        <v>0</v>
      </c>
      <c r="BB50" s="379">
        <f t="shared" si="15"/>
        <v>0</v>
      </c>
      <c r="BC50" s="379">
        <f t="shared" si="15"/>
        <v>0</v>
      </c>
      <c r="BD50" s="379">
        <f t="shared" si="15"/>
        <v>0</v>
      </c>
      <c r="BE50" s="379">
        <f t="shared" si="15"/>
        <v>0</v>
      </c>
      <c r="BF50" s="379">
        <f t="shared" si="15"/>
        <v>0</v>
      </c>
      <c r="BG50" s="379">
        <f t="shared" si="15"/>
        <v>0</v>
      </c>
      <c r="BH50" s="379">
        <f t="shared" si="15"/>
        <v>0</v>
      </c>
      <c r="BI50" s="379">
        <f t="shared" si="15"/>
        <v>0</v>
      </c>
      <c r="BJ50" s="379">
        <f t="shared" si="15"/>
        <v>0</v>
      </c>
      <c r="BK50" s="380">
        <f t="shared" si="3"/>
        <v>0</v>
      </c>
    </row>
    <row r="51" spans="1:63" ht="15" customHeight="1" x14ac:dyDescent="0.25">
      <c r="A51" s="367" t="s">
        <v>228</v>
      </c>
      <c r="B51" s="369">
        <f>'Feasibility Study'!Y61/1000</f>
        <v>0</v>
      </c>
      <c r="C51" s="379">
        <f t="shared" ref="C51:AH51" si="16">IF($B$51=0,0,$B$51*C30)</f>
        <v>0</v>
      </c>
      <c r="D51" s="379">
        <f t="shared" si="16"/>
        <v>0</v>
      </c>
      <c r="E51" s="379">
        <f t="shared" si="16"/>
        <v>0</v>
      </c>
      <c r="F51" s="379">
        <f t="shared" si="16"/>
        <v>0</v>
      </c>
      <c r="G51" s="379">
        <f t="shared" si="16"/>
        <v>0</v>
      </c>
      <c r="H51" s="379">
        <f t="shared" si="16"/>
        <v>0</v>
      </c>
      <c r="I51" s="379">
        <f t="shared" si="16"/>
        <v>0</v>
      </c>
      <c r="J51" s="379">
        <f t="shared" si="16"/>
        <v>0</v>
      </c>
      <c r="K51" s="379">
        <f t="shared" si="16"/>
        <v>0</v>
      </c>
      <c r="L51" s="379">
        <f t="shared" si="16"/>
        <v>0</v>
      </c>
      <c r="M51" s="379">
        <f t="shared" si="16"/>
        <v>0</v>
      </c>
      <c r="N51" s="379">
        <f t="shared" si="16"/>
        <v>0</v>
      </c>
      <c r="O51" s="379">
        <f t="shared" si="16"/>
        <v>0</v>
      </c>
      <c r="P51" s="379">
        <f t="shared" si="16"/>
        <v>0</v>
      </c>
      <c r="Q51" s="379">
        <f t="shared" si="16"/>
        <v>0</v>
      </c>
      <c r="R51" s="379">
        <f t="shared" si="16"/>
        <v>0</v>
      </c>
      <c r="S51" s="379">
        <f t="shared" si="16"/>
        <v>0</v>
      </c>
      <c r="T51" s="379">
        <f t="shared" si="16"/>
        <v>0</v>
      </c>
      <c r="U51" s="379">
        <f t="shared" si="16"/>
        <v>0</v>
      </c>
      <c r="V51" s="379">
        <f t="shared" si="16"/>
        <v>0</v>
      </c>
      <c r="W51" s="379">
        <f t="shared" si="16"/>
        <v>0</v>
      </c>
      <c r="X51" s="379">
        <f t="shared" si="16"/>
        <v>0</v>
      </c>
      <c r="Y51" s="379">
        <f t="shared" si="16"/>
        <v>0</v>
      </c>
      <c r="Z51" s="379">
        <f t="shared" si="16"/>
        <v>0</v>
      </c>
      <c r="AA51" s="379">
        <f t="shared" si="16"/>
        <v>0</v>
      </c>
      <c r="AB51" s="379">
        <f t="shared" si="16"/>
        <v>0</v>
      </c>
      <c r="AC51" s="379">
        <f t="shared" si="16"/>
        <v>0</v>
      </c>
      <c r="AD51" s="379">
        <f t="shared" si="16"/>
        <v>0</v>
      </c>
      <c r="AE51" s="379">
        <f t="shared" si="16"/>
        <v>0</v>
      </c>
      <c r="AF51" s="379">
        <f t="shared" si="16"/>
        <v>0</v>
      </c>
      <c r="AG51" s="379">
        <f t="shared" si="16"/>
        <v>0</v>
      </c>
      <c r="AH51" s="379">
        <f t="shared" si="16"/>
        <v>0</v>
      </c>
      <c r="AI51" s="379">
        <f t="shared" ref="AI51:BJ51" si="17">IF($B$51=0,0,$B$51*AI30)</f>
        <v>0</v>
      </c>
      <c r="AJ51" s="379">
        <f t="shared" si="17"/>
        <v>0</v>
      </c>
      <c r="AK51" s="379">
        <f t="shared" si="17"/>
        <v>0</v>
      </c>
      <c r="AL51" s="379">
        <f t="shared" si="17"/>
        <v>0</v>
      </c>
      <c r="AM51" s="379">
        <f t="shared" si="17"/>
        <v>0</v>
      </c>
      <c r="AN51" s="379">
        <f t="shared" si="17"/>
        <v>0</v>
      </c>
      <c r="AO51" s="379">
        <f t="shared" si="17"/>
        <v>0</v>
      </c>
      <c r="AP51" s="379">
        <f t="shared" si="17"/>
        <v>0</v>
      </c>
      <c r="AQ51" s="379">
        <f t="shared" si="17"/>
        <v>0</v>
      </c>
      <c r="AR51" s="379">
        <f t="shared" si="17"/>
        <v>0</v>
      </c>
      <c r="AS51" s="379">
        <f t="shared" si="17"/>
        <v>0</v>
      </c>
      <c r="AT51" s="379">
        <f t="shared" si="17"/>
        <v>0</v>
      </c>
      <c r="AU51" s="379">
        <f t="shared" si="17"/>
        <v>0</v>
      </c>
      <c r="AV51" s="379">
        <f t="shared" si="17"/>
        <v>0</v>
      </c>
      <c r="AW51" s="379">
        <f t="shared" si="17"/>
        <v>0</v>
      </c>
      <c r="AX51" s="379">
        <f t="shared" si="17"/>
        <v>0</v>
      </c>
      <c r="AY51" s="379">
        <f t="shared" si="17"/>
        <v>0</v>
      </c>
      <c r="AZ51" s="379">
        <f t="shared" si="17"/>
        <v>0</v>
      </c>
      <c r="BA51" s="379">
        <f t="shared" si="17"/>
        <v>0</v>
      </c>
      <c r="BB51" s="379">
        <f t="shared" si="17"/>
        <v>0</v>
      </c>
      <c r="BC51" s="379">
        <f t="shared" si="17"/>
        <v>0</v>
      </c>
      <c r="BD51" s="379">
        <f t="shared" si="17"/>
        <v>0</v>
      </c>
      <c r="BE51" s="379">
        <f t="shared" si="17"/>
        <v>0</v>
      </c>
      <c r="BF51" s="379">
        <f t="shared" si="17"/>
        <v>0</v>
      </c>
      <c r="BG51" s="379">
        <f t="shared" si="17"/>
        <v>0</v>
      </c>
      <c r="BH51" s="379">
        <f t="shared" si="17"/>
        <v>0</v>
      </c>
      <c r="BI51" s="379">
        <f t="shared" si="17"/>
        <v>0</v>
      </c>
      <c r="BJ51" s="379">
        <f t="shared" si="17"/>
        <v>0</v>
      </c>
      <c r="BK51" s="380">
        <f t="shared" si="3"/>
        <v>0</v>
      </c>
    </row>
    <row r="52" spans="1:63" ht="15" customHeight="1" x14ac:dyDescent="0.25">
      <c r="A52" s="367" t="s">
        <v>229</v>
      </c>
      <c r="B52" s="369">
        <f>'Feasibility Study'!AC61/1000</f>
        <v>0</v>
      </c>
      <c r="C52" s="379">
        <f t="shared" ref="C52:AH52" si="18">IF($B$52=0,0,$B$52*C31)</f>
        <v>0</v>
      </c>
      <c r="D52" s="379">
        <f t="shared" si="18"/>
        <v>0</v>
      </c>
      <c r="E52" s="379">
        <f t="shared" si="18"/>
        <v>0</v>
      </c>
      <c r="F52" s="379">
        <f t="shared" si="18"/>
        <v>0</v>
      </c>
      <c r="G52" s="379">
        <f t="shared" si="18"/>
        <v>0</v>
      </c>
      <c r="H52" s="379">
        <f t="shared" si="18"/>
        <v>0</v>
      </c>
      <c r="I52" s="379">
        <f t="shared" si="18"/>
        <v>0</v>
      </c>
      <c r="J52" s="379">
        <f t="shared" si="18"/>
        <v>0</v>
      </c>
      <c r="K52" s="379">
        <f t="shared" si="18"/>
        <v>0</v>
      </c>
      <c r="L52" s="379">
        <f t="shared" si="18"/>
        <v>0</v>
      </c>
      <c r="M52" s="379">
        <f t="shared" si="18"/>
        <v>0</v>
      </c>
      <c r="N52" s="379">
        <f t="shared" si="18"/>
        <v>0</v>
      </c>
      <c r="O52" s="379">
        <f t="shared" si="18"/>
        <v>0</v>
      </c>
      <c r="P52" s="379">
        <f t="shared" si="18"/>
        <v>0</v>
      </c>
      <c r="Q52" s="379">
        <f t="shared" si="18"/>
        <v>0</v>
      </c>
      <c r="R52" s="379">
        <f t="shared" si="18"/>
        <v>0</v>
      </c>
      <c r="S52" s="379">
        <f t="shared" si="18"/>
        <v>0</v>
      </c>
      <c r="T52" s="379">
        <f t="shared" si="18"/>
        <v>0</v>
      </c>
      <c r="U52" s="379">
        <f t="shared" si="18"/>
        <v>0</v>
      </c>
      <c r="V52" s="379">
        <f t="shared" si="18"/>
        <v>0</v>
      </c>
      <c r="W52" s="379">
        <f t="shared" si="18"/>
        <v>0</v>
      </c>
      <c r="X52" s="379">
        <f t="shared" si="18"/>
        <v>0</v>
      </c>
      <c r="Y52" s="379">
        <f t="shared" si="18"/>
        <v>0</v>
      </c>
      <c r="Z52" s="379">
        <f t="shared" si="18"/>
        <v>0</v>
      </c>
      <c r="AA52" s="379">
        <f t="shared" si="18"/>
        <v>0</v>
      </c>
      <c r="AB52" s="379">
        <f t="shared" si="18"/>
        <v>0</v>
      </c>
      <c r="AC52" s="379">
        <f t="shared" si="18"/>
        <v>0</v>
      </c>
      <c r="AD52" s="379">
        <f t="shared" si="18"/>
        <v>0</v>
      </c>
      <c r="AE52" s="379">
        <f t="shared" si="18"/>
        <v>0</v>
      </c>
      <c r="AF52" s="379">
        <f t="shared" si="18"/>
        <v>0</v>
      </c>
      <c r="AG52" s="379">
        <f t="shared" si="18"/>
        <v>0</v>
      </c>
      <c r="AH52" s="379">
        <f t="shared" si="18"/>
        <v>0</v>
      </c>
      <c r="AI52" s="379">
        <f t="shared" ref="AI52:BJ52" si="19">IF($B$52=0,0,$B$52*AI31)</f>
        <v>0</v>
      </c>
      <c r="AJ52" s="379">
        <f t="shared" si="19"/>
        <v>0</v>
      </c>
      <c r="AK52" s="379">
        <f t="shared" si="19"/>
        <v>0</v>
      </c>
      <c r="AL52" s="379">
        <f t="shared" si="19"/>
        <v>0</v>
      </c>
      <c r="AM52" s="379">
        <f t="shared" si="19"/>
        <v>0</v>
      </c>
      <c r="AN52" s="379">
        <f t="shared" si="19"/>
        <v>0</v>
      </c>
      <c r="AO52" s="379">
        <f t="shared" si="19"/>
        <v>0</v>
      </c>
      <c r="AP52" s="379">
        <f t="shared" si="19"/>
        <v>0</v>
      </c>
      <c r="AQ52" s="379">
        <f t="shared" si="19"/>
        <v>0</v>
      </c>
      <c r="AR52" s="379">
        <f t="shared" si="19"/>
        <v>0</v>
      </c>
      <c r="AS52" s="379">
        <f t="shared" si="19"/>
        <v>0</v>
      </c>
      <c r="AT52" s="379">
        <f t="shared" si="19"/>
        <v>0</v>
      </c>
      <c r="AU52" s="379">
        <f t="shared" si="19"/>
        <v>0</v>
      </c>
      <c r="AV52" s="379">
        <f t="shared" si="19"/>
        <v>0</v>
      </c>
      <c r="AW52" s="379">
        <f t="shared" si="19"/>
        <v>0</v>
      </c>
      <c r="AX52" s="379">
        <f t="shared" si="19"/>
        <v>0</v>
      </c>
      <c r="AY52" s="379">
        <f t="shared" si="19"/>
        <v>0</v>
      </c>
      <c r="AZ52" s="379">
        <f t="shared" si="19"/>
        <v>0</v>
      </c>
      <c r="BA52" s="379">
        <f t="shared" si="19"/>
        <v>0</v>
      </c>
      <c r="BB52" s="379">
        <f t="shared" si="19"/>
        <v>0</v>
      </c>
      <c r="BC52" s="379">
        <f t="shared" si="19"/>
        <v>0</v>
      </c>
      <c r="BD52" s="379">
        <f t="shared" si="19"/>
        <v>0</v>
      </c>
      <c r="BE52" s="379">
        <f t="shared" si="19"/>
        <v>0</v>
      </c>
      <c r="BF52" s="379">
        <f t="shared" si="19"/>
        <v>0</v>
      </c>
      <c r="BG52" s="379">
        <f t="shared" si="19"/>
        <v>0</v>
      </c>
      <c r="BH52" s="379">
        <f t="shared" si="19"/>
        <v>0</v>
      </c>
      <c r="BI52" s="379">
        <f t="shared" si="19"/>
        <v>0</v>
      </c>
      <c r="BJ52" s="379">
        <f t="shared" si="19"/>
        <v>0</v>
      </c>
      <c r="BK52" s="380">
        <f t="shared" si="3"/>
        <v>0</v>
      </c>
    </row>
    <row r="53" spans="1:63" ht="15" customHeight="1" x14ac:dyDescent="0.25">
      <c r="A53" s="367" t="s">
        <v>230</v>
      </c>
      <c r="B53" s="369">
        <f>'Feasibility Study'!AE61/1000</f>
        <v>0</v>
      </c>
      <c r="C53" s="379">
        <f t="shared" ref="C53:AH53" si="20">IF($B$53=0,0,$B$53*C32)</f>
        <v>0</v>
      </c>
      <c r="D53" s="379">
        <f t="shared" si="20"/>
        <v>0</v>
      </c>
      <c r="E53" s="379">
        <f t="shared" si="20"/>
        <v>0</v>
      </c>
      <c r="F53" s="379">
        <f t="shared" si="20"/>
        <v>0</v>
      </c>
      <c r="G53" s="379">
        <f t="shared" si="20"/>
        <v>0</v>
      </c>
      <c r="H53" s="379">
        <f t="shared" si="20"/>
        <v>0</v>
      </c>
      <c r="I53" s="379">
        <f t="shared" si="20"/>
        <v>0</v>
      </c>
      <c r="J53" s="379">
        <f t="shared" si="20"/>
        <v>0</v>
      </c>
      <c r="K53" s="379">
        <f t="shared" si="20"/>
        <v>0</v>
      </c>
      <c r="L53" s="379">
        <f t="shared" si="20"/>
        <v>0</v>
      </c>
      <c r="M53" s="379">
        <f t="shared" si="20"/>
        <v>0</v>
      </c>
      <c r="N53" s="379">
        <f t="shared" si="20"/>
        <v>0</v>
      </c>
      <c r="O53" s="379">
        <f t="shared" si="20"/>
        <v>0</v>
      </c>
      <c r="P53" s="379">
        <f t="shared" si="20"/>
        <v>0</v>
      </c>
      <c r="Q53" s="379">
        <f t="shared" si="20"/>
        <v>0</v>
      </c>
      <c r="R53" s="379">
        <f t="shared" si="20"/>
        <v>0</v>
      </c>
      <c r="S53" s="379">
        <f t="shared" si="20"/>
        <v>0</v>
      </c>
      <c r="T53" s="379">
        <f t="shared" si="20"/>
        <v>0</v>
      </c>
      <c r="U53" s="379">
        <f t="shared" si="20"/>
        <v>0</v>
      </c>
      <c r="V53" s="379">
        <f t="shared" si="20"/>
        <v>0</v>
      </c>
      <c r="W53" s="379">
        <f t="shared" si="20"/>
        <v>0</v>
      </c>
      <c r="X53" s="379">
        <f t="shared" si="20"/>
        <v>0</v>
      </c>
      <c r="Y53" s="379">
        <f t="shared" si="20"/>
        <v>0</v>
      </c>
      <c r="Z53" s="379">
        <f t="shared" si="20"/>
        <v>0</v>
      </c>
      <c r="AA53" s="379">
        <f t="shared" si="20"/>
        <v>0</v>
      </c>
      <c r="AB53" s="379">
        <f t="shared" si="20"/>
        <v>0</v>
      </c>
      <c r="AC53" s="379">
        <f t="shared" si="20"/>
        <v>0</v>
      </c>
      <c r="AD53" s="379">
        <f t="shared" si="20"/>
        <v>0</v>
      </c>
      <c r="AE53" s="379">
        <f t="shared" si="20"/>
        <v>0</v>
      </c>
      <c r="AF53" s="379">
        <f t="shared" si="20"/>
        <v>0</v>
      </c>
      <c r="AG53" s="379">
        <f t="shared" si="20"/>
        <v>0</v>
      </c>
      <c r="AH53" s="379">
        <f t="shared" si="20"/>
        <v>0</v>
      </c>
      <c r="AI53" s="379">
        <f t="shared" ref="AI53:BJ53" si="21">IF($B$53=0,0,$B$53*AI32)</f>
        <v>0</v>
      </c>
      <c r="AJ53" s="379">
        <f t="shared" si="21"/>
        <v>0</v>
      </c>
      <c r="AK53" s="379">
        <f t="shared" si="21"/>
        <v>0</v>
      </c>
      <c r="AL53" s="379">
        <f t="shared" si="21"/>
        <v>0</v>
      </c>
      <c r="AM53" s="379">
        <f t="shared" si="21"/>
        <v>0</v>
      </c>
      <c r="AN53" s="379">
        <f t="shared" si="21"/>
        <v>0</v>
      </c>
      <c r="AO53" s="379">
        <f t="shared" si="21"/>
        <v>0</v>
      </c>
      <c r="AP53" s="379">
        <f t="shared" si="21"/>
        <v>0</v>
      </c>
      <c r="AQ53" s="379">
        <f t="shared" si="21"/>
        <v>0</v>
      </c>
      <c r="AR53" s="379">
        <f t="shared" si="21"/>
        <v>0</v>
      </c>
      <c r="AS53" s="379">
        <f t="shared" si="21"/>
        <v>0</v>
      </c>
      <c r="AT53" s="379">
        <f t="shared" si="21"/>
        <v>0</v>
      </c>
      <c r="AU53" s="379">
        <f t="shared" si="21"/>
        <v>0</v>
      </c>
      <c r="AV53" s="379">
        <f t="shared" si="21"/>
        <v>0</v>
      </c>
      <c r="AW53" s="379">
        <f t="shared" si="21"/>
        <v>0</v>
      </c>
      <c r="AX53" s="379">
        <f t="shared" si="21"/>
        <v>0</v>
      </c>
      <c r="AY53" s="379">
        <f t="shared" si="21"/>
        <v>0</v>
      </c>
      <c r="AZ53" s="379">
        <f t="shared" si="21"/>
        <v>0</v>
      </c>
      <c r="BA53" s="379">
        <f t="shared" si="21"/>
        <v>0</v>
      </c>
      <c r="BB53" s="379">
        <f t="shared" si="21"/>
        <v>0</v>
      </c>
      <c r="BC53" s="379">
        <f t="shared" si="21"/>
        <v>0</v>
      </c>
      <c r="BD53" s="379">
        <f t="shared" si="21"/>
        <v>0</v>
      </c>
      <c r="BE53" s="379">
        <f t="shared" si="21"/>
        <v>0</v>
      </c>
      <c r="BF53" s="379">
        <f t="shared" si="21"/>
        <v>0</v>
      </c>
      <c r="BG53" s="379">
        <f t="shared" si="21"/>
        <v>0</v>
      </c>
      <c r="BH53" s="379">
        <f t="shared" si="21"/>
        <v>0</v>
      </c>
      <c r="BI53" s="379">
        <f t="shared" si="21"/>
        <v>0</v>
      </c>
      <c r="BJ53" s="379">
        <f t="shared" si="21"/>
        <v>0</v>
      </c>
      <c r="BK53" s="380">
        <f t="shared" si="3"/>
        <v>0</v>
      </c>
    </row>
    <row r="54" spans="1:63" ht="15" customHeight="1" x14ac:dyDescent="0.25">
      <c r="A54" s="367" t="s">
        <v>231</v>
      </c>
      <c r="B54" s="369">
        <f>'Feasibility Study'!AG61/1000</f>
        <v>0</v>
      </c>
      <c r="C54" s="379">
        <f t="shared" ref="C54:AH54" si="22">IF($B$54=0,0,$B$54*C33)</f>
        <v>0</v>
      </c>
      <c r="D54" s="379">
        <f t="shared" si="22"/>
        <v>0</v>
      </c>
      <c r="E54" s="379">
        <f t="shared" si="22"/>
        <v>0</v>
      </c>
      <c r="F54" s="379">
        <f t="shared" si="22"/>
        <v>0</v>
      </c>
      <c r="G54" s="379">
        <f t="shared" si="22"/>
        <v>0</v>
      </c>
      <c r="H54" s="379">
        <f t="shared" si="22"/>
        <v>0</v>
      </c>
      <c r="I54" s="379">
        <f t="shared" si="22"/>
        <v>0</v>
      </c>
      <c r="J54" s="379">
        <f t="shared" si="22"/>
        <v>0</v>
      </c>
      <c r="K54" s="379">
        <f t="shared" si="22"/>
        <v>0</v>
      </c>
      <c r="L54" s="379">
        <f t="shared" si="22"/>
        <v>0</v>
      </c>
      <c r="M54" s="379">
        <f t="shared" si="22"/>
        <v>0</v>
      </c>
      <c r="N54" s="379">
        <f t="shared" si="22"/>
        <v>0</v>
      </c>
      <c r="O54" s="379">
        <f t="shared" si="22"/>
        <v>0</v>
      </c>
      <c r="P54" s="379">
        <f t="shared" si="22"/>
        <v>0</v>
      </c>
      <c r="Q54" s="379">
        <f t="shared" si="22"/>
        <v>0</v>
      </c>
      <c r="R54" s="379">
        <f t="shared" si="22"/>
        <v>0</v>
      </c>
      <c r="S54" s="379">
        <f t="shared" si="22"/>
        <v>0</v>
      </c>
      <c r="T54" s="379">
        <f t="shared" si="22"/>
        <v>0</v>
      </c>
      <c r="U54" s="379">
        <f t="shared" si="22"/>
        <v>0</v>
      </c>
      <c r="V54" s="379">
        <f t="shared" si="22"/>
        <v>0</v>
      </c>
      <c r="W54" s="379">
        <f t="shared" si="22"/>
        <v>0</v>
      </c>
      <c r="X54" s="379">
        <f t="shared" si="22"/>
        <v>0</v>
      </c>
      <c r="Y54" s="379">
        <f t="shared" si="22"/>
        <v>0</v>
      </c>
      <c r="Z54" s="379">
        <f t="shared" si="22"/>
        <v>0</v>
      </c>
      <c r="AA54" s="379">
        <f t="shared" si="22"/>
        <v>0</v>
      </c>
      <c r="AB54" s="379">
        <f t="shared" si="22"/>
        <v>0</v>
      </c>
      <c r="AC54" s="379">
        <f t="shared" si="22"/>
        <v>0</v>
      </c>
      <c r="AD54" s="379">
        <f t="shared" si="22"/>
        <v>0</v>
      </c>
      <c r="AE54" s="379">
        <f t="shared" si="22"/>
        <v>0</v>
      </c>
      <c r="AF54" s="379">
        <f t="shared" si="22"/>
        <v>0</v>
      </c>
      <c r="AG54" s="379">
        <f t="shared" si="22"/>
        <v>0</v>
      </c>
      <c r="AH54" s="379">
        <f t="shared" si="22"/>
        <v>0</v>
      </c>
      <c r="AI54" s="379">
        <f t="shared" ref="AI54:BJ54" si="23">IF($B$54=0,0,$B$54*AI33)</f>
        <v>0</v>
      </c>
      <c r="AJ54" s="379">
        <f t="shared" si="23"/>
        <v>0</v>
      </c>
      <c r="AK54" s="379">
        <f t="shared" si="23"/>
        <v>0</v>
      </c>
      <c r="AL54" s="379">
        <f t="shared" si="23"/>
        <v>0</v>
      </c>
      <c r="AM54" s="379">
        <f t="shared" si="23"/>
        <v>0</v>
      </c>
      <c r="AN54" s="379">
        <f t="shared" si="23"/>
        <v>0</v>
      </c>
      <c r="AO54" s="379">
        <f t="shared" si="23"/>
        <v>0</v>
      </c>
      <c r="AP54" s="379">
        <f t="shared" si="23"/>
        <v>0</v>
      </c>
      <c r="AQ54" s="379">
        <f t="shared" si="23"/>
        <v>0</v>
      </c>
      <c r="AR54" s="379">
        <f t="shared" si="23"/>
        <v>0</v>
      </c>
      <c r="AS54" s="379">
        <f t="shared" si="23"/>
        <v>0</v>
      </c>
      <c r="AT54" s="379">
        <f t="shared" si="23"/>
        <v>0</v>
      </c>
      <c r="AU54" s="379">
        <f t="shared" si="23"/>
        <v>0</v>
      </c>
      <c r="AV54" s="379">
        <f t="shared" si="23"/>
        <v>0</v>
      </c>
      <c r="AW54" s="379">
        <f t="shared" si="23"/>
        <v>0</v>
      </c>
      <c r="AX54" s="379">
        <f t="shared" si="23"/>
        <v>0</v>
      </c>
      <c r="AY54" s="379">
        <f t="shared" si="23"/>
        <v>0</v>
      </c>
      <c r="AZ54" s="379">
        <f t="shared" si="23"/>
        <v>0</v>
      </c>
      <c r="BA54" s="379">
        <f t="shared" si="23"/>
        <v>0</v>
      </c>
      <c r="BB54" s="379">
        <f t="shared" si="23"/>
        <v>0</v>
      </c>
      <c r="BC54" s="379">
        <f t="shared" si="23"/>
        <v>0</v>
      </c>
      <c r="BD54" s="379">
        <f t="shared" si="23"/>
        <v>0</v>
      </c>
      <c r="BE54" s="379">
        <f t="shared" si="23"/>
        <v>0</v>
      </c>
      <c r="BF54" s="379">
        <f t="shared" si="23"/>
        <v>0</v>
      </c>
      <c r="BG54" s="379">
        <f t="shared" si="23"/>
        <v>0</v>
      </c>
      <c r="BH54" s="379">
        <f t="shared" si="23"/>
        <v>0</v>
      </c>
      <c r="BI54" s="379">
        <f t="shared" si="23"/>
        <v>0</v>
      </c>
      <c r="BJ54" s="379">
        <f t="shared" si="23"/>
        <v>0</v>
      </c>
      <c r="BK54" s="380">
        <f t="shared" si="3"/>
        <v>0</v>
      </c>
    </row>
    <row r="55" spans="1:63" ht="15" customHeight="1" x14ac:dyDescent="0.25">
      <c r="A55" s="367" t="s">
        <v>232</v>
      </c>
      <c r="B55" s="369">
        <f>'Feasibility Study'!AI61/1000</f>
        <v>0</v>
      </c>
      <c r="C55" s="379">
        <f t="shared" ref="C55:AH55" si="24">IF($B$55=0,0,$B$55*C34)</f>
        <v>0</v>
      </c>
      <c r="D55" s="379">
        <f t="shared" si="24"/>
        <v>0</v>
      </c>
      <c r="E55" s="379">
        <f t="shared" si="24"/>
        <v>0</v>
      </c>
      <c r="F55" s="379">
        <f t="shared" si="24"/>
        <v>0</v>
      </c>
      <c r="G55" s="379">
        <f t="shared" si="24"/>
        <v>0</v>
      </c>
      <c r="H55" s="379">
        <f t="shared" si="24"/>
        <v>0</v>
      </c>
      <c r="I55" s="379">
        <f t="shared" si="24"/>
        <v>0</v>
      </c>
      <c r="J55" s="379">
        <f t="shared" si="24"/>
        <v>0</v>
      </c>
      <c r="K55" s="379">
        <f t="shared" si="24"/>
        <v>0</v>
      </c>
      <c r="L55" s="379">
        <f t="shared" si="24"/>
        <v>0</v>
      </c>
      <c r="M55" s="379">
        <f t="shared" si="24"/>
        <v>0</v>
      </c>
      <c r="N55" s="379">
        <f t="shared" si="24"/>
        <v>0</v>
      </c>
      <c r="O55" s="379">
        <f t="shared" si="24"/>
        <v>0</v>
      </c>
      <c r="P55" s="379">
        <f t="shared" si="24"/>
        <v>0</v>
      </c>
      <c r="Q55" s="379">
        <f t="shared" si="24"/>
        <v>0</v>
      </c>
      <c r="R55" s="379">
        <f t="shared" si="24"/>
        <v>0</v>
      </c>
      <c r="S55" s="379">
        <f t="shared" si="24"/>
        <v>0</v>
      </c>
      <c r="T55" s="379">
        <f t="shared" si="24"/>
        <v>0</v>
      </c>
      <c r="U55" s="379">
        <f t="shared" si="24"/>
        <v>0</v>
      </c>
      <c r="V55" s="379">
        <f t="shared" si="24"/>
        <v>0</v>
      </c>
      <c r="W55" s="379">
        <f t="shared" si="24"/>
        <v>0</v>
      </c>
      <c r="X55" s="379">
        <f t="shared" si="24"/>
        <v>0</v>
      </c>
      <c r="Y55" s="379">
        <f t="shared" si="24"/>
        <v>0</v>
      </c>
      <c r="Z55" s="379">
        <f t="shared" si="24"/>
        <v>0</v>
      </c>
      <c r="AA55" s="379">
        <f t="shared" si="24"/>
        <v>0</v>
      </c>
      <c r="AB55" s="379">
        <f t="shared" si="24"/>
        <v>0</v>
      </c>
      <c r="AC55" s="379">
        <f t="shared" si="24"/>
        <v>0</v>
      </c>
      <c r="AD55" s="379">
        <f t="shared" si="24"/>
        <v>0</v>
      </c>
      <c r="AE55" s="379">
        <f t="shared" si="24"/>
        <v>0</v>
      </c>
      <c r="AF55" s="379">
        <f t="shared" si="24"/>
        <v>0</v>
      </c>
      <c r="AG55" s="379">
        <f t="shared" si="24"/>
        <v>0</v>
      </c>
      <c r="AH55" s="379">
        <f t="shared" si="24"/>
        <v>0</v>
      </c>
      <c r="AI55" s="379">
        <f t="shared" ref="AI55:BJ55" si="25">IF($B$55=0,0,$B$55*AI34)</f>
        <v>0</v>
      </c>
      <c r="AJ55" s="379">
        <f t="shared" si="25"/>
        <v>0</v>
      </c>
      <c r="AK55" s="379">
        <f t="shared" si="25"/>
        <v>0</v>
      </c>
      <c r="AL55" s="379">
        <f t="shared" si="25"/>
        <v>0</v>
      </c>
      <c r="AM55" s="379">
        <f t="shared" si="25"/>
        <v>0</v>
      </c>
      <c r="AN55" s="379">
        <f t="shared" si="25"/>
        <v>0</v>
      </c>
      <c r="AO55" s="379">
        <f t="shared" si="25"/>
        <v>0</v>
      </c>
      <c r="AP55" s="379">
        <f t="shared" si="25"/>
        <v>0</v>
      </c>
      <c r="AQ55" s="379">
        <f t="shared" si="25"/>
        <v>0</v>
      </c>
      <c r="AR55" s="379">
        <f t="shared" si="25"/>
        <v>0</v>
      </c>
      <c r="AS55" s="379">
        <f t="shared" si="25"/>
        <v>0</v>
      </c>
      <c r="AT55" s="379">
        <f t="shared" si="25"/>
        <v>0</v>
      </c>
      <c r="AU55" s="379">
        <f t="shared" si="25"/>
        <v>0</v>
      </c>
      <c r="AV55" s="379">
        <f t="shared" si="25"/>
        <v>0</v>
      </c>
      <c r="AW55" s="379">
        <f t="shared" si="25"/>
        <v>0</v>
      </c>
      <c r="AX55" s="379">
        <f t="shared" si="25"/>
        <v>0</v>
      </c>
      <c r="AY55" s="379">
        <f t="shared" si="25"/>
        <v>0</v>
      </c>
      <c r="AZ55" s="379">
        <f t="shared" si="25"/>
        <v>0</v>
      </c>
      <c r="BA55" s="379">
        <f t="shared" si="25"/>
        <v>0</v>
      </c>
      <c r="BB55" s="379">
        <f t="shared" si="25"/>
        <v>0</v>
      </c>
      <c r="BC55" s="379">
        <f t="shared" si="25"/>
        <v>0</v>
      </c>
      <c r="BD55" s="379">
        <f t="shared" si="25"/>
        <v>0</v>
      </c>
      <c r="BE55" s="379">
        <f t="shared" si="25"/>
        <v>0</v>
      </c>
      <c r="BF55" s="379">
        <f t="shared" si="25"/>
        <v>0</v>
      </c>
      <c r="BG55" s="379">
        <f t="shared" si="25"/>
        <v>0</v>
      </c>
      <c r="BH55" s="379">
        <f t="shared" si="25"/>
        <v>0</v>
      </c>
      <c r="BI55" s="379">
        <f t="shared" si="25"/>
        <v>0</v>
      </c>
      <c r="BJ55" s="379">
        <f t="shared" si="25"/>
        <v>0</v>
      </c>
      <c r="BK55" s="380">
        <f t="shared" si="3"/>
        <v>0</v>
      </c>
    </row>
    <row r="56" spans="1:63" ht="15" customHeight="1" x14ac:dyDescent="0.25">
      <c r="A56" s="367" t="s">
        <v>233</v>
      </c>
      <c r="B56" s="369">
        <f>'Feasibility Study'!AK61/1000</f>
        <v>0</v>
      </c>
      <c r="C56" s="379">
        <f t="shared" ref="C56:AH56" si="26">IF($B$56=0,0,$B$56*C35)</f>
        <v>0</v>
      </c>
      <c r="D56" s="379">
        <f t="shared" si="26"/>
        <v>0</v>
      </c>
      <c r="E56" s="379">
        <f t="shared" si="26"/>
        <v>0</v>
      </c>
      <c r="F56" s="379">
        <f t="shared" si="26"/>
        <v>0</v>
      </c>
      <c r="G56" s="379">
        <f t="shared" si="26"/>
        <v>0</v>
      </c>
      <c r="H56" s="379">
        <f t="shared" si="26"/>
        <v>0</v>
      </c>
      <c r="I56" s="379">
        <f t="shared" si="26"/>
        <v>0</v>
      </c>
      <c r="J56" s="379">
        <f t="shared" si="26"/>
        <v>0</v>
      </c>
      <c r="K56" s="379">
        <f t="shared" si="26"/>
        <v>0</v>
      </c>
      <c r="L56" s="379">
        <f t="shared" si="26"/>
        <v>0</v>
      </c>
      <c r="M56" s="379">
        <f t="shared" si="26"/>
        <v>0</v>
      </c>
      <c r="N56" s="379">
        <f t="shared" si="26"/>
        <v>0</v>
      </c>
      <c r="O56" s="379">
        <f t="shared" si="26"/>
        <v>0</v>
      </c>
      <c r="P56" s="379">
        <f t="shared" si="26"/>
        <v>0</v>
      </c>
      <c r="Q56" s="379">
        <f t="shared" si="26"/>
        <v>0</v>
      </c>
      <c r="R56" s="379">
        <f t="shared" si="26"/>
        <v>0</v>
      </c>
      <c r="S56" s="379">
        <f t="shared" si="26"/>
        <v>0</v>
      </c>
      <c r="T56" s="379">
        <f t="shared" si="26"/>
        <v>0</v>
      </c>
      <c r="U56" s="379">
        <f t="shared" si="26"/>
        <v>0</v>
      </c>
      <c r="V56" s="379">
        <f t="shared" si="26"/>
        <v>0</v>
      </c>
      <c r="W56" s="379">
        <f t="shared" si="26"/>
        <v>0</v>
      </c>
      <c r="X56" s="379">
        <f t="shared" si="26"/>
        <v>0</v>
      </c>
      <c r="Y56" s="379">
        <f t="shared" si="26"/>
        <v>0</v>
      </c>
      <c r="Z56" s="379">
        <f t="shared" si="26"/>
        <v>0</v>
      </c>
      <c r="AA56" s="379">
        <f t="shared" si="26"/>
        <v>0</v>
      </c>
      <c r="AB56" s="379">
        <f t="shared" si="26"/>
        <v>0</v>
      </c>
      <c r="AC56" s="379">
        <f t="shared" si="26"/>
        <v>0</v>
      </c>
      <c r="AD56" s="379">
        <f t="shared" si="26"/>
        <v>0</v>
      </c>
      <c r="AE56" s="379">
        <f t="shared" si="26"/>
        <v>0</v>
      </c>
      <c r="AF56" s="379">
        <f t="shared" si="26"/>
        <v>0</v>
      </c>
      <c r="AG56" s="379">
        <f t="shared" si="26"/>
        <v>0</v>
      </c>
      <c r="AH56" s="379">
        <f t="shared" si="26"/>
        <v>0</v>
      </c>
      <c r="AI56" s="379">
        <f t="shared" ref="AI56:BJ56" si="27">IF($B$56=0,0,$B$56*AI35)</f>
        <v>0</v>
      </c>
      <c r="AJ56" s="379">
        <f t="shared" si="27"/>
        <v>0</v>
      </c>
      <c r="AK56" s="379">
        <f t="shared" si="27"/>
        <v>0</v>
      </c>
      <c r="AL56" s="379">
        <f t="shared" si="27"/>
        <v>0</v>
      </c>
      <c r="AM56" s="379">
        <f t="shared" si="27"/>
        <v>0</v>
      </c>
      <c r="AN56" s="379">
        <f t="shared" si="27"/>
        <v>0</v>
      </c>
      <c r="AO56" s="379">
        <f t="shared" si="27"/>
        <v>0</v>
      </c>
      <c r="AP56" s="379">
        <f t="shared" si="27"/>
        <v>0</v>
      </c>
      <c r="AQ56" s="379">
        <f t="shared" si="27"/>
        <v>0</v>
      </c>
      <c r="AR56" s="379">
        <f t="shared" si="27"/>
        <v>0</v>
      </c>
      <c r="AS56" s="379">
        <f t="shared" si="27"/>
        <v>0</v>
      </c>
      <c r="AT56" s="379">
        <f t="shared" si="27"/>
        <v>0</v>
      </c>
      <c r="AU56" s="379">
        <f t="shared" si="27"/>
        <v>0</v>
      </c>
      <c r="AV56" s="379">
        <f t="shared" si="27"/>
        <v>0</v>
      </c>
      <c r="AW56" s="379">
        <f t="shared" si="27"/>
        <v>0</v>
      </c>
      <c r="AX56" s="379">
        <f t="shared" si="27"/>
        <v>0</v>
      </c>
      <c r="AY56" s="379">
        <f t="shared" si="27"/>
        <v>0</v>
      </c>
      <c r="AZ56" s="379">
        <f t="shared" si="27"/>
        <v>0</v>
      </c>
      <c r="BA56" s="379">
        <f t="shared" si="27"/>
        <v>0</v>
      </c>
      <c r="BB56" s="379">
        <f t="shared" si="27"/>
        <v>0</v>
      </c>
      <c r="BC56" s="379">
        <f t="shared" si="27"/>
        <v>0</v>
      </c>
      <c r="BD56" s="379">
        <f t="shared" si="27"/>
        <v>0</v>
      </c>
      <c r="BE56" s="379">
        <f t="shared" si="27"/>
        <v>0</v>
      </c>
      <c r="BF56" s="379">
        <f t="shared" si="27"/>
        <v>0</v>
      </c>
      <c r="BG56" s="379">
        <f t="shared" si="27"/>
        <v>0</v>
      </c>
      <c r="BH56" s="379">
        <f t="shared" si="27"/>
        <v>0</v>
      </c>
      <c r="BI56" s="379">
        <f t="shared" si="27"/>
        <v>0</v>
      </c>
      <c r="BJ56" s="379">
        <f t="shared" si="27"/>
        <v>0</v>
      </c>
      <c r="BK56" s="380">
        <f t="shared" si="3"/>
        <v>0</v>
      </c>
    </row>
    <row r="57" spans="1:63" ht="15" customHeight="1" x14ac:dyDescent="0.25">
      <c r="A57" s="367" t="s">
        <v>234</v>
      </c>
      <c r="B57" s="369">
        <f>'Feasibility Study'!AM61/1000</f>
        <v>0</v>
      </c>
      <c r="C57" s="379">
        <f t="shared" ref="C57:AH57" si="28">IF($B$57=0,0,$B$57*C36)</f>
        <v>0</v>
      </c>
      <c r="D57" s="379">
        <f t="shared" si="28"/>
        <v>0</v>
      </c>
      <c r="E57" s="379">
        <f t="shared" si="28"/>
        <v>0</v>
      </c>
      <c r="F57" s="379">
        <f t="shared" si="28"/>
        <v>0</v>
      </c>
      <c r="G57" s="379">
        <f t="shared" si="28"/>
        <v>0</v>
      </c>
      <c r="H57" s="379">
        <f t="shared" si="28"/>
        <v>0</v>
      </c>
      <c r="I57" s="379">
        <f t="shared" si="28"/>
        <v>0</v>
      </c>
      <c r="J57" s="379">
        <f t="shared" si="28"/>
        <v>0</v>
      </c>
      <c r="K57" s="379">
        <f t="shared" si="28"/>
        <v>0</v>
      </c>
      <c r="L57" s="379">
        <f t="shared" si="28"/>
        <v>0</v>
      </c>
      <c r="M57" s="379">
        <f t="shared" si="28"/>
        <v>0</v>
      </c>
      <c r="N57" s="379">
        <f t="shared" si="28"/>
        <v>0</v>
      </c>
      <c r="O57" s="379">
        <f t="shared" si="28"/>
        <v>0</v>
      </c>
      <c r="P57" s="379">
        <f t="shared" si="28"/>
        <v>0</v>
      </c>
      <c r="Q57" s="379">
        <f t="shared" si="28"/>
        <v>0</v>
      </c>
      <c r="R57" s="379">
        <f t="shared" si="28"/>
        <v>0</v>
      </c>
      <c r="S57" s="379">
        <f t="shared" si="28"/>
        <v>0</v>
      </c>
      <c r="T57" s="379">
        <f t="shared" si="28"/>
        <v>0</v>
      </c>
      <c r="U57" s="379">
        <f t="shared" si="28"/>
        <v>0</v>
      </c>
      <c r="V57" s="379">
        <f t="shared" si="28"/>
        <v>0</v>
      </c>
      <c r="W57" s="379">
        <f t="shared" si="28"/>
        <v>0</v>
      </c>
      <c r="X57" s="379">
        <f t="shared" si="28"/>
        <v>0</v>
      </c>
      <c r="Y57" s="379">
        <f t="shared" si="28"/>
        <v>0</v>
      </c>
      <c r="Z57" s="379">
        <f t="shared" si="28"/>
        <v>0</v>
      </c>
      <c r="AA57" s="379">
        <f t="shared" si="28"/>
        <v>0</v>
      </c>
      <c r="AB57" s="379">
        <f t="shared" si="28"/>
        <v>0</v>
      </c>
      <c r="AC57" s="379">
        <f t="shared" si="28"/>
        <v>0</v>
      </c>
      <c r="AD57" s="379">
        <f t="shared" si="28"/>
        <v>0</v>
      </c>
      <c r="AE57" s="379">
        <f t="shared" si="28"/>
        <v>0</v>
      </c>
      <c r="AF57" s="379">
        <f t="shared" si="28"/>
        <v>0</v>
      </c>
      <c r="AG57" s="379">
        <f t="shared" si="28"/>
        <v>0</v>
      </c>
      <c r="AH57" s="379">
        <f t="shared" si="28"/>
        <v>0</v>
      </c>
      <c r="AI57" s="379">
        <f t="shared" ref="AI57:BJ57" si="29">IF($B$57=0,0,$B$57*AI36)</f>
        <v>0</v>
      </c>
      <c r="AJ57" s="379">
        <f t="shared" si="29"/>
        <v>0</v>
      </c>
      <c r="AK57" s="379">
        <f t="shared" si="29"/>
        <v>0</v>
      </c>
      <c r="AL57" s="379">
        <f t="shared" si="29"/>
        <v>0</v>
      </c>
      <c r="AM57" s="379">
        <f t="shared" si="29"/>
        <v>0</v>
      </c>
      <c r="AN57" s="379">
        <f t="shared" si="29"/>
        <v>0</v>
      </c>
      <c r="AO57" s="379">
        <f t="shared" si="29"/>
        <v>0</v>
      </c>
      <c r="AP57" s="379">
        <f t="shared" si="29"/>
        <v>0</v>
      </c>
      <c r="AQ57" s="379">
        <f t="shared" si="29"/>
        <v>0</v>
      </c>
      <c r="AR57" s="379">
        <f t="shared" si="29"/>
        <v>0</v>
      </c>
      <c r="AS57" s="379">
        <f t="shared" si="29"/>
        <v>0</v>
      </c>
      <c r="AT57" s="379">
        <f t="shared" si="29"/>
        <v>0</v>
      </c>
      <c r="AU57" s="379">
        <f t="shared" si="29"/>
        <v>0</v>
      </c>
      <c r="AV57" s="379">
        <f t="shared" si="29"/>
        <v>0</v>
      </c>
      <c r="AW57" s="379">
        <f t="shared" si="29"/>
        <v>0</v>
      </c>
      <c r="AX57" s="379">
        <f t="shared" si="29"/>
        <v>0</v>
      </c>
      <c r="AY57" s="379">
        <f t="shared" si="29"/>
        <v>0</v>
      </c>
      <c r="AZ57" s="379">
        <f t="shared" si="29"/>
        <v>0</v>
      </c>
      <c r="BA57" s="379">
        <f t="shared" si="29"/>
        <v>0</v>
      </c>
      <c r="BB57" s="379">
        <f t="shared" si="29"/>
        <v>0</v>
      </c>
      <c r="BC57" s="379">
        <f t="shared" si="29"/>
        <v>0</v>
      </c>
      <c r="BD57" s="379">
        <f t="shared" si="29"/>
        <v>0</v>
      </c>
      <c r="BE57" s="379">
        <f t="shared" si="29"/>
        <v>0</v>
      </c>
      <c r="BF57" s="379">
        <f t="shared" si="29"/>
        <v>0</v>
      </c>
      <c r="BG57" s="379">
        <f t="shared" si="29"/>
        <v>0</v>
      </c>
      <c r="BH57" s="379">
        <f t="shared" si="29"/>
        <v>0</v>
      </c>
      <c r="BI57" s="379">
        <f t="shared" si="29"/>
        <v>0</v>
      </c>
      <c r="BJ57" s="379">
        <f t="shared" si="29"/>
        <v>0</v>
      </c>
      <c r="BK57" s="380">
        <f t="shared" si="3"/>
        <v>0</v>
      </c>
    </row>
    <row r="58" spans="1:63" ht="15" customHeight="1" x14ac:dyDescent="0.25">
      <c r="A58" s="367" t="s">
        <v>235</v>
      </c>
      <c r="B58" s="369">
        <f>'Feasibility Study'!AO61/1000</f>
        <v>0</v>
      </c>
      <c r="C58" s="379">
        <f t="shared" ref="C58:AH58" si="30">IF($B$58=0,0,$B$58*C37)</f>
        <v>0</v>
      </c>
      <c r="D58" s="379">
        <f t="shared" si="30"/>
        <v>0</v>
      </c>
      <c r="E58" s="379">
        <f t="shared" si="30"/>
        <v>0</v>
      </c>
      <c r="F58" s="379">
        <f t="shared" si="30"/>
        <v>0</v>
      </c>
      <c r="G58" s="379">
        <f t="shared" si="30"/>
        <v>0</v>
      </c>
      <c r="H58" s="379">
        <f t="shared" si="30"/>
        <v>0</v>
      </c>
      <c r="I58" s="379">
        <f t="shared" si="30"/>
        <v>0</v>
      </c>
      <c r="J58" s="379">
        <f t="shared" si="30"/>
        <v>0</v>
      </c>
      <c r="K58" s="379">
        <f t="shared" si="30"/>
        <v>0</v>
      </c>
      <c r="L58" s="379">
        <f t="shared" si="30"/>
        <v>0</v>
      </c>
      <c r="M58" s="379">
        <f t="shared" si="30"/>
        <v>0</v>
      </c>
      <c r="N58" s="379">
        <f t="shared" si="30"/>
        <v>0</v>
      </c>
      <c r="O58" s="379">
        <f t="shared" si="30"/>
        <v>0</v>
      </c>
      <c r="P58" s="379">
        <f t="shared" si="30"/>
        <v>0</v>
      </c>
      <c r="Q58" s="379">
        <f t="shared" si="30"/>
        <v>0</v>
      </c>
      <c r="R58" s="379">
        <f t="shared" si="30"/>
        <v>0</v>
      </c>
      <c r="S58" s="379">
        <f t="shared" si="30"/>
        <v>0</v>
      </c>
      <c r="T58" s="379">
        <f t="shared" si="30"/>
        <v>0</v>
      </c>
      <c r="U58" s="379">
        <f t="shared" si="30"/>
        <v>0</v>
      </c>
      <c r="V58" s="379">
        <f t="shared" si="30"/>
        <v>0</v>
      </c>
      <c r="W58" s="379">
        <f t="shared" si="30"/>
        <v>0</v>
      </c>
      <c r="X58" s="379">
        <f t="shared" si="30"/>
        <v>0</v>
      </c>
      <c r="Y58" s="379">
        <f t="shared" si="30"/>
        <v>0</v>
      </c>
      <c r="Z58" s="379">
        <f t="shared" si="30"/>
        <v>0</v>
      </c>
      <c r="AA58" s="379">
        <f t="shared" si="30"/>
        <v>0</v>
      </c>
      <c r="AB58" s="379">
        <f t="shared" si="30"/>
        <v>0</v>
      </c>
      <c r="AC58" s="379">
        <f t="shared" si="30"/>
        <v>0</v>
      </c>
      <c r="AD58" s="379">
        <f t="shared" si="30"/>
        <v>0</v>
      </c>
      <c r="AE58" s="379">
        <f t="shared" si="30"/>
        <v>0</v>
      </c>
      <c r="AF58" s="379">
        <f t="shared" si="30"/>
        <v>0</v>
      </c>
      <c r="AG58" s="379">
        <f t="shared" si="30"/>
        <v>0</v>
      </c>
      <c r="AH58" s="379">
        <f t="shared" si="30"/>
        <v>0</v>
      </c>
      <c r="AI58" s="379">
        <f t="shared" ref="AI58:BJ58" si="31">IF($B$58=0,0,$B$58*AI37)</f>
        <v>0</v>
      </c>
      <c r="AJ58" s="379">
        <f t="shared" si="31"/>
        <v>0</v>
      </c>
      <c r="AK58" s="379">
        <f t="shared" si="31"/>
        <v>0</v>
      </c>
      <c r="AL58" s="379">
        <f t="shared" si="31"/>
        <v>0</v>
      </c>
      <c r="AM58" s="379">
        <f t="shared" si="31"/>
        <v>0</v>
      </c>
      <c r="AN58" s="379">
        <f t="shared" si="31"/>
        <v>0</v>
      </c>
      <c r="AO58" s="379">
        <f t="shared" si="31"/>
        <v>0</v>
      </c>
      <c r="AP58" s="379">
        <f t="shared" si="31"/>
        <v>0</v>
      </c>
      <c r="AQ58" s="379">
        <f t="shared" si="31"/>
        <v>0</v>
      </c>
      <c r="AR58" s="379">
        <f t="shared" si="31"/>
        <v>0</v>
      </c>
      <c r="AS58" s="379">
        <f t="shared" si="31"/>
        <v>0</v>
      </c>
      <c r="AT58" s="379">
        <f t="shared" si="31"/>
        <v>0</v>
      </c>
      <c r="AU58" s="379">
        <f t="shared" si="31"/>
        <v>0</v>
      </c>
      <c r="AV58" s="379">
        <f t="shared" si="31"/>
        <v>0</v>
      </c>
      <c r="AW58" s="379">
        <f t="shared" si="31"/>
        <v>0</v>
      </c>
      <c r="AX58" s="379">
        <f t="shared" si="31"/>
        <v>0</v>
      </c>
      <c r="AY58" s="379">
        <f t="shared" si="31"/>
        <v>0</v>
      </c>
      <c r="AZ58" s="379">
        <f t="shared" si="31"/>
        <v>0</v>
      </c>
      <c r="BA58" s="379">
        <f t="shared" si="31"/>
        <v>0</v>
      </c>
      <c r="BB58" s="379">
        <f t="shared" si="31"/>
        <v>0</v>
      </c>
      <c r="BC58" s="379">
        <f t="shared" si="31"/>
        <v>0</v>
      </c>
      <c r="BD58" s="379">
        <f t="shared" si="31"/>
        <v>0</v>
      </c>
      <c r="BE58" s="379">
        <f t="shared" si="31"/>
        <v>0</v>
      </c>
      <c r="BF58" s="379">
        <f t="shared" si="31"/>
        <v>0</v>
      </c>
      <c r="BG58" s="379">
        <f t="shared" si="31"/>
        <v>0</v>
      </c>
      <c r="BH58" s="379">
        <f t="shared" si="31"/>
        <v>0</v>
      </c>
      <c r="BI58" s="379">
        <f t="shared" si="31"/>
        <v>0</v>
      </c>
      <c r="BJ58" s="379">
        <f t="shared" si="31"/>
        <v>0</v>
      </c>
      <c r="BK58" s="380">
        <f t="shared" si="3"/>
        <v>0</v>
      </c>
    </row>
    <row r="59" spans="1:63" ht="15" customHeight="1" x14ac:dyDescent="0.25">
      <c r="A59" s="367" t="s">
        <v>236</v>
      </c>
      <c r="B59" s="369">
        <f>'Feasibility Study'!AQ61/1000</f>
        <v>0</v>
      </c>
      <c r="C59" s="379">
        <f t="shared" ref="C59:AH59" si="32">IF($B$59=0,0,$B$59*C38)</f>
        <v>0</v>
      </c>
      <c r="D59" s="379">
        <f t="shared" si="32"/>
        <v>0</v>
      </c>
      <c r="E59" s="379">
        <f t="shared" si="32"/>
        <v>0</v>
      </c>
      <c r="F59" s="379">
        <f t="shared" si="32"/>
        <v>0</v>
      </c>
      <c r="G59" s="379">
        <f t="shared" si="32"/>
        <v>0</v>
      </c>
      <c r="H59" s="379">
        <f t="shared" si="32"/>
        <v>0</v>
      </c>
      <c r="I59" s="379">
        <f t="shared" si="32"/>
        <v>0</v>
      </c>
      <c r="J59" s="379">
        <f t="shared" si="32"/>
        <v>0</v>
      </c>
      <c r="K59" s="379">
        <f t="shared" si="32"/>
        <v>0</v>
      </c>
      <c r="L59" s="379">
        <f t="shared" si="32"/>
        <v>0</v>
      </c>
      <c r="M59" s="379">
        <f t="shared" si="32"/>
        <v>0</v>
      </c>
      <c r="N59" s="379">
        <f t="shared" si="32"/>
        <v>0</v>
      </c>
      <c r="O59" s="379">
        <f t="shared" si="32"/>
        <v>0</v>
      </c>
      <c r="P59" s="379">
        <f t="shared" si="32"/>
        <v>0</v>
      </c>
      <c r="Q59" s="379">
        <f t="shared" si="32"/>
        <v>0</v>
      </c>
      <c r="R59" s="379">
        <f t="shared" si="32"/>
        <v>0</v>
      </c>
      <c r="S59" s="379">
        <f t="shared" si="32"/>
        <v>0</v>
      </c>
      <c r="T59" s="379">
        <f t="shared" si="32"/>
        <v>0</v>
      </c>
      <c r="U59" s="379">
        <f t="shared" si="32"/>
        <v>0</v>
      </c>
      <c r="V59" s="379">
        <f t="shared" si="32"/>
        <v>0</v>
      </c>
      <c r="W59" s="379">
        <f t="shared" si="32"/>
        <v>0</v>
      </c>
      <c r="X59" s="379">
        <f t="shared" si="32"/>
        <v>0</v>
      </c>
      <c r="Y59" s="379">
        <f t="shared" si="32"/>
        <v>0</v>
      </c>
      <c r="Z59" s="379">
        <f t="shared" si="32"/>
        <v>0</v>
      </c>
      <c r="AA59" s="379">
        <f t="shared" si="32"/>
        <v>0</v>
      </c>
      <c r="AB59" s="379">
        <f t="shared" si="32"/>
        <v>0</v>
      </c>
      <c r="AC59" s="379">
        <f t="shared" si="32"/>
        <v>0</v>
      </c>
      <c r="AD59" s="379">
        <f t="shared" si="32"/>
        <v>0</v>
      </c>
      <c r="AE59" s="379">
        <f t="shared" si="32"/>
        <v>0</v>
      </c>
      <c r="AF59" s="379">
        <f t="shared" si="32"/>
        <v>0</v>
      </c>
      <c r="AG59" s="379">
        <f t="shared" si="32"/>
        <v>0</v>
      </c>
      <c r="AH59" s="379">
        <f t="shared" si="32"/>
        <v>0</v>
      </c>
      <c r="AI59" s="379">
        <f t="shared" ref="AI59:BJ59" si="33">IF($B$59=0,0,$B$59*AI38)</f>
        <v>0</v>
      </c>
      <c r="AJ59" s="379">
        <f t="shared" si="33"/>
        <v>0</v>
      </c>
      <c r="AK59" s="379">
        <f t="shared" si="33"/>
        <v>0</v>
      </c>
      <c r="AL59" s="379">
        <f t="shared" si="33"/>
        <v>0</v>
      </c>
      <c r="AM59" s="379">
        <f t="shared" si="33"/>
        <v>0</v>
      </c>
      <c r="AN59" s="379">
        <f t="shared" si="33"/>
        <v>0</v>
      </c>
      <c r="AO59" s="379">
        <f t="shared" si="33"/>
        <v>0</v>
      </c>
      <c r="AP59" s="379">
        <f t="shared" si="33"/>
        <v>0</v>
      </c>
      <c r="AQ59" s="379">
        <f t="shared" si="33"/>
        <v>0</v>
      </c>
      <c r="AR59" s="379">
        <f t="shared" si="33"/>
        <v>0</v>
      </c>
      <c r="AS59" s="379">
        <f t="shared" si="33"/>
        <v>0</v>
      </c>
      <c r="AT59" s="379">
        <f t="shared" si="33"/>
        <v>0</v>
      </c>
      <c r="AU59" s="379">
        <f t="shared" si="33"/>
        <v>0</v>
      </c>
      <c r="AV59" s="379">
        <f t="shared" si="33"/>
        <v>0</v>
      </c>
      <c r="AW59" s="379">
        <f t="shared" si="33"/>
        <v>0</v>
      </c>
      <c r="AX59" s="379">
        <f t="shared" si="33"/>
        <v>0</v>
      </c>
      <c r="AY59" s="379">
        <f t="shared" si="33"/>
        <v>0</v>
      </c>
      <c r="AZ59" s="379">
        <f t="shared" si="33"/>
        <v>0</v>
      </c>
      <c r="BA59" s="379">
        <f t="shared" si="33"/>
        <v>0</v>
      </c>
      <c r="BB59" s="379">
        <f t="shared" si="33"/>
        <v>0</v>
      </c>
      <c r="BC59" s="379">
        <f t="shared" si="33"/>
        <v>0</v>
      </c>
      <c r="BD59" s="379">
        <f t="shared" si="33"/>
        <v>0</v>
      </c>
      <c r="BE59" s="379">
        <f t="shared" si="33"/>
        <v>0</v>
      </c>
      <c r="BF59" s="379">
        <f t="shared" si="33"/>
        <v>0</v>
      </c>
      <c r="BG59" s="379">
        <f t="shared" si="33"/>
        <v>0</v>
      </c>
      <c r="BH59" s="379">
        <f t="shared" si="33"/>
        <v>0</v>
      </c>
      <c r="BI59" s="379">
        <f t="shared" si="33"/>
        <v>0</v>
      </c>
      <c r="BJ59" s="379">
        <f t="shared" si="33"/>
        <v>0</v>
      </c>
      <c r="BK59" s="380">
        <f t="shared" si="3"/>
        <v>0</v>
      </c>
    </row>
    <row r="60" spans="1:63" ht="15" customHeight="1" x14ac:dyDescent="0.25">
      <c r="A60" s="367" t="s">
        <v>237</v>
      </c>
      <c r="B60" s="369">
        <f>'Feasibility Study'!AU61/1000</f>
        <v>0</v>
      </c>
      <c r="C60" s="379">
        <f t="shared" ref="C60:AH60" si="34">IF($B$60=0,0,$B$60*C39)</f>
        <v>0</v>
      </c>
      <c r="D60" s="379">
        <f t="shared" si="34"/>
        <v>0</v>
      </c>
      <c r="E60" s="379">
        <f t="shared" si="34"/>
        <v>0</v>
      </c>
      <c r="F60" s="379">
        <f t="shared" si="34"/>
        <v>0</v>
      </c>
      <c r="G60" s="379">
        <f t="shared" si="34"/>
        <v>0</v>
      </c>
      <c r="H60" s="379">
        <f t="shared" si="34"/>
        <v>0</v>
      </c>
      <c r="I60" s="379">
        <f t="shared" si="34"/>
        <v>0</v>
      </c>
      <c r="J60" s="379">
        <f t="shared" si="34"/>
        <v>0</v>
      </c>
      <c r="K60" s="379">
        <f t="shared" si="34"/>
        <v>0</v>
      </c>
      <c r="L60" s="379">
        <f t="shared" si="34"/>
        <v>0</v>
      </c>
      <c r="M60" s="379">
        <f t="shared" si="34"/>
        <v>0</v>
      </c>
      <c r="N60" s="379">
        <f t="shared" si="34"/>
        <v>0</v>
      </c>
      <c r="O60" s="379">
        <f t="shared" si="34"/>
        <v>0</v>
      </c>
      <c r="P60" s="379">
        <f t="shared" si="34"/>
        <v>0</v>
      </c>
      <c r="Q60" s="379">
        <f t="shared" si="34"/>
        <v>0</v>
      </c>
      <c r="R60" s="379">
        <f t="shared" si="34"/>
        <v>0</v>
      </c>
      <c r="S60" s="379">
        <f t="shared" si="34"/>
        <v>0</v>
      </c>
      <c r="T60" s="379">
        <f t="shared" si="34"/>
        <v>0</v>
      </c>
      <c r="U60" s="379">
        <f t="shared" si="34"/>
        <v>0</v>
      </c>
      <c r="V60" s="379">
        <f t="shared" si="34"/>
        <v>0</v>
      </c>
      <c r="W60" s="379">
        <f t="shared" si="34"/>
        <v>0</v>
      </c>
      <c r="X60" s="379">
        <f t="shared" si="34"/>
        <v>0</v>
      </c>
      <c r="Y60" s="379">
        <f t="shared" si="34"/>
        <v>0</v>
      </c>
      <c r="Z60" s="379">
        <f t="shared" si="34"/>
        <v>0</v>
      </c>
      <c r="AA60" s="379">
        <f t="shared" si="34"/>
        <v>0</v>
      </c>
      <c r="AB60" s="379">
        <f t="shared" si="34"/>
        <v>0</v>
      </c>
      <c r="AC60" s="379">
        <f t="shared" si="34"/>
        <v>0</v>
      </c>
      <c r="AD60" s="379">
        <f t="shared" si="34"/>
        <v>0</v>
      </c>
      <c r="AE60" s="379">
        <f t="shared" si="34"/>
        <v>0</v>
      </c>
      <c r="AF60" s="379">
        <f t="shared" si="34"/>
        <v>0</v>
      </c>
      <c r="AG60" s="379">
        <f t="shared" si="34"/>
        <v>0</v>
      </c>
      <c r="AH60" s="379">
        <f t="shared" si="34"/>
        <v>0</v>
      </c>
      <c r="AI60" s="379">
        <f t="shared" ref="AI60:BJ60" si="35">IF($B$60=0,0,$B$60*AI39)</f>
        <v>0</v>
      </c>
      <c r="AJ60" s="379">
        <f t="shared" si="35"/>
        <v>0</v>
      </c>
      <c r="AK60" s="379">
        <f t="shared" si="35"/>
        <v>0</v>
      </c>
      <c r="AL60" s="379">
        <f t="shared" si="35"/>
        <v>0</v>
      </c>
      <c r="AM60" s="379">
        <f t="shared" si="35"/>
        <v>0</v>
      </c>
      <c r="AN60" s="379">
        <f t="shared" si="35"/>
        <v>0</v>
      </c>
      <c r="AO60" s="379">
        <f t="shared" si="35"/>
        <v>0</v>
      </c>
      <c r="AP60" s="379">
        <f t="shared" si="35"/>
        <v>0</v>
      </c>
      <c r="AQ60" s="379">
        <f t="shared" si="35"/>
        <v>0</v>
      </c>
      <c r="AR60" s="379">
        <f t="shared" si="35"/>
        <v>0</v>
      </c>
      <c r="AS60" s="379">
        <f t="shared" si="35"/>
        <v>0</v>
      </c>
      <c r="AT60" s="379">
        <f t="shared" si="35"/>
        <v>0</v>
      </c>
      <c r="AU60" s="379">
        <f t="shared" si="35"/>
        <v>0</v>
      </c>
      <c r="AV60" s="379">
        <f t="shared" si="35"/>
        <v>0</v>
      </c>
      <c r="AW60" s="379">
        <f t="shared" si="35"/>
        <v>0</v>
      </c>
      <c r="AX60" s="379">
        <f t="shared" si="35"/>
        <v>0</v>
      </c>
      <c r="AY60" s="379">
        <f t="shared" si="35"/>
        <v>0</v>
      </c>
      <c r="AZ60" s="379">
        <f t="shared" si="35"/>
        <v>0</v>
      </c>
      <c r="BA60" s="379">
        <f t="shared" si="35"/>
        <v>0</v>
      </c>
      <c r="BB60" s="379">
        <f t="shared" si="35"/>
        <v>0</v>
      </c>
      <c r="BC60" s="379">
        <f t="shared" si="35"/>
        <v>0</v>
      </c>
      <c r="BD60" s="379">
        <f t="shared" si="35"/>
        <v>0</v>
      </c>
      <c r="BE60" s="379">
        <f t="shared" si="35"/>
        <v>0</v>
      </c>
      <c r="BF60" s="379">
        <f t="shared" si="35"/>
        <v>0</v>
      </c>
      <c r="BG60" s="379">
        <f t="shared" si="35"/>
        <v>0</v>
      </c>
      <c r="BH60" s="379">
        <f t="shared" si="35"/>
        <v>0</v>
      </c>
      <c r="BI60" s="379">
        <f t="shared" si="35"/>
        <v>0</v>
      </c>
      <c r="BJ60" s="379">
        <f t="shared" si="35"/>
        <v>0</v>
      </c>
      <c r="BK60" s="380">
        <f t="shared" si="3"/>
        <v>0</v>
      </c>
    </row>
    <row r="61" spans="1:63" ht="15" customHeight="1" x14ac:dyDescent="0.25">
      <c r="A61" s="367" t="s">
        <v>238</v>
      </c>
      <c r="B61" s="369">
        <f>'Feasibility Study'!AW61/1000</f>
        <v>0</v>
      </c>
      <c r="C61" s="379">
        <f t="shared" ref="C61:AH61" si="36">IF($B$61=0,0,$B$61*C40)</f>
        <v>0</v>
      </c>
      <c r="D61" s="379">
        <f t="shared" si="36"/>
        <v>0</v>
      </c>
      <c r="E61" s="379">
        <f t="shared" si="36"/>
        <v>0</v>
      </c>
      <c r="F61" s="379">
        <f t="shared" si="36"/>
        <v>0</v>
      </c>
      <c r="G61" s="379">
        <f t="shared" si="36"/>
        <v>0</v>
      </c>
      <c r="H61" s="379">
        <f t="shared" si="36"/>
        <v>0</v>
      </c>
      <c r="I61" s="379">
        <f t="shared" si="36"/>
        <v>0</v>
      </c>
      <c r="J61" s="379">
        <f t="shared" si="36"/>
        <v>0</v>
      </c>
      <c r="K61" s="379">
        <f t="shared" si="36"/>
        <v>0</v>
      </c>
      <c r="L61" s="379">
        <f t="shared" si="36"/>
        <v>0</v>
      </c>
      <c r="M61" s="379">
        <f t="shared" si="36"/>
        <v>0</v>
      </c>
      <c r="N61" s="379">
        <f t="shared" si="36"/>
        <v>0</v>
      </c>
      <c r="O61" s="379">
        <f t="shared" si="36"/>
        <v>0</v>
      </c>
      <c r="P61" s="379">
        <f t="shared" si="36"/>
        <v>0</v>
      </c>
      <c r="Q61" s="379">
        <f t="shared" si="36"/>
        <v>0</v>
      </c>
      <c r="R61" s="379">
        <f t="shared" si="36"/>
        <v>0</v>
      </c>
      <c r="S61" s="379">
        <f t="shared" si="36"/>
        <v>0</v>
      </c>
      <c r="T61" s="379">
        <f t="shared" si="36"/>
        <v>0</v>
      </c>
      <c r="U61" s="379">
        <f t="shared" si="36"/>
        <v>0</v>
      </c>
      <c r="V61" s="379">
        <f t="shared" si="36"/>
        <v>0</v>
      </c>
      <c r="W61" s="379">
        <f t="shared" si="36"/>
        <v>0</v>
      </c>
      <c r="X61" s="379">
        <f t="shared" si="36"/>
        <v>0</v>
      </c>
      <c r="Y61" s="379">
        <f t="shared" si="36"/>
        <v>0</v>
      </c>
      <c r="Z61" s="379">
        <f t="shared" si="36"/>
        <v>0</v>
      </c>
      <c r="AA61" s="379">
        <f t="shared" si="36"/>
        <v>0</v>
      </c>
      <c r="AB61" s="379">
        <f t="shared" si="36"/>
        <v>0</v>
      </c>
      <c r="AC61" s="379">
        <f t="shared" si="36"/>
        <v>0</v>
      </c>
      <c r="AD61" s="379">
        <f t="shared" si="36"/>
        <v>0</v>
      </c>
      <c r="AE61" s="379">
        <f t="shared" si="36"/>
        <v>0</v>
      </c>
      <c r="AF61" s="379">
        <f t="shared" si="36"/>
        <v>0</v>
      </c>
      <c r="AG61" s="379">
        <f t="shared" si="36"/>
        <v>0</v>
      </c>
      <c r="AH61" s="379">
        <f t="shared" si="36"/>
        <v>0</v>
      </c>
      <c r="AI61" s="379">
        <f t="shared" ref="AI61:BJ61" si="37">IF($B$61=0,0,$B$61*AI40)</f>
        <v>0</v>
      </c>
      <c r="AJ61" s="379">
        <f t="shared" si="37"/>
        <v>0</v>
      </c>
      <c r="AK61" s="379">
        <f t="shared" si="37"/>
        <v>0</v>
      </c>
      <c r="AL61" s="379">
        <f t="shared" si="37"/>
        <v>0</v>
      </c>
      <c r="AM61" s="379">
        <f t="shared" si="37"/>
        <v>0</v>
      </c>
      <c r="AN61" s="379">
        <f t="shared" si="37"/>
        <v>0</v>
      </c>
      <c r="AO61" s="379">
        <f t="shared" si="37"/>
        <v>0</v>
      </c>
      <c r="AP61" s="379">
        <f t="shared" si="37"/>
        <v>0</v>
      </c>
      <c r="AQ61" s="379">
        <f t="shared" si="37"/>
        <v>0</v>
      </c>
      <c r="AR61" s="379">
        <f t="shared" si="37"/>
        <v>0</v>
      </c>
      <c r="AS61" s="379">
        <f t="shared" si="37"/>
        <v>0</v>
      </c>
      <c r="AT61" s="379">
        <f t="shared" si="37"/>
        <v>0</v>
      </c>
      <c r="AU61" s="379">
        <f t="shared" si="37"/>
        <v>0</v>
      </c>
      <c r="AV61" s="379">
        <f t="shared" si="37"/>
        <v>0</v>
      </c>
      <c r="AW61" s="379">
        <f t="shared" si="37"/>
        <v>0</v>
      </c>
      <c r="AX61" s="379">
        <f t="shared" si="37"/>
        <v>0</v>
      </c>
      <c r="AY61" s="379">
        <f t="shared" si="37"/>
        <v>0</v>
      </c>
      <c r="AZ61" s="379">
        <f t="shared" si="37"/>
        <v>0</v>
      </c>
      <c r="BA61" s="379">
        <f t="shared" si="37"/>
        <v>0</v>
      </c>
      <c r="BB61" s="379">
        <f t="shared" si="37"/>
        <v>0</v>
      </c>
      <c r="BC61" s="379">
        <f t="shared" si="37"/>
        <v>0</v>
      </c>
      <c r="BD61" s="379">
        <f t="shared" si="37"/>
        <v>0</v>
      </c>
      <c r="BE61" s="379">
        <f t="shared" si="37"/>
        <v>0</v>
      </c>
      <c r="BF61" s="379">
        <f t="shared" si="37"/>
        <v>0</v>
      </c>
      <c r="BG61" s="379">
        <f t="shared" si="37"/>
        <v>0</v>
      </c>
      <c r="BH61" s="379">
        <f t="shared" si="37"/>
        <v>0</v>
      </c>
      <c r="BI61" s="379">
        <f t="shared" si="37"/>
        <v>0</v>
      </c>
      <c r="BJ61" s="379">
        <f t="shared" si="37"/>
        <v>0</v>
      </c>
      <c r="BK61" s="380">
        <f t="shared" si="3"/>
        <v>0</v>
      </c>
    </row>
    <row r="62" spans="1:63" ht="15" customHeight="1" x14ac:dyDescent="0.25">
      <c r="A62" s="381" t="s">
        <v>242</v>
      </c>
      <c r="C62" s="382" t="e">
        <f t="shared" ref="C62:AH62" si="38">SUM(C44:C61)</f>
        <v>#REF!</v>
      </c>
      <c r="D62" s="382" t="e">
        <f t="shared" si="38"/>
        <v>#REF!</v>
      </c>
      <c r="E62" s="382" t="e">
        <f t="shared" si="38"/>
        <v>#REF!</v>
      </c>
      <c r="F62" s="382" t="e">
        <f t="shared" si="38"/>
        <v>#REF!</v>
      </c>
      <c r="G62" s="382" t="e">
        <f t="shared" si="38"/>
        <v>#REF!</v>
      </c>
      <c r="H62" s="382" t="e">
        <f t="shared" si="38"/>
        <v>#REF!</v>
      </c>
      <c r="I62" s="382" t="e">
        <f t="shared" si="38"/>
        <v>#REF!</v>
      </c>
      <c r="J62" s="382" t="e">
        <f t="shared" si="38"/>
        <v>#REF!</v>
      </c>
      <c r="K62" s="382" t="e">
        <f t="shared" si="38"/>
        <v>#REF!</v>
      </c>
      <c r="L62" s="382" t="e">
        <f t="shared" si="38"/>
        <v>#REF!</v>
      </c>
      <c r="M62" s="382" t="e">
        <f t="shared" si="38"/>
        <v>#REF!</v>
      </c>
      <c r="N62" s="382" t="e">
        <f t="shared" si="38"/>
        <v>#REF!</v>
      </c>
      <c r="O62" s="382" t="e">
        <f t="shared" si="38"/>
        <v>#REF!</v>
      </c>
      <c r="P62" s="382" t="e">
        <f t="shared" si="38"/>
        <v>#REF!</v>
      </c>
      <c r="Q62" s="382" t="e">
        <f t="shared" si="38"/>
        <v>#REF!</v>
      </c>
      <c r="R62" s="382" t="e">
        <f t="shared" si="38"/>
        <v>#REF!</v>
      </c>
      <c r="S62" s="382" t="e">
        <f t="shared" si="38"/>
        <v>#REF!</v>
      </c>
      <c r="T62" s="382" t="e">
        <f t="shared" si="38"/>
        <v>#REF!</v>
      </c>
      <c r="U62" s="382" t="e">
        <f t="shared" si="38"/>
        <v>#REF!</v>
      </c>
      <c r="V62" s="382" t="e">
        <f t="shared" si="38"/>
        <v>#REF!</v>
      </c>
      <c r="W62" s="382" t="e">
        <f t="shared" si="38"/>
        <v>#REF!</v>
      </c>
      <c r="X62" s="382" t="e">
        <f t="shared" si="38"/>
        <v>#REF!</v>
      </c>
      <c r="Y62" s="382" t="e">
        <f t="shared" si="38"/>
        <v>#REF!</v>
      </c>
      <c r="Z62" s="382" t="e">
        <f t="shared" si="38"/>
        <v>#REF!</v>
      </c>
      <c r="AA62" s="382" t="e">
        <f t="shared" si="38"/>
        <v>#REF!</v>
      </c>
      <c r="AB62" s="382" t="e">
        <f t="shared" si="38"/>
        <v>#REF!</v>
      </c>
      <c r="AC62" s="382" t="e">
        <f t="shared" si="38"/>
        <v>#REF!</v>
      </c>
      <c r="AD62" s="382" t="e">
        <f t="shared" si="38"/>
        <v>#REF!</v>
      </c>
      <c r="AE62" s="382" t="e">
        <f t="shared" si="38"/>
        <v>#REF!</v>
      </c>
      <c r="AF62" s="382" t="e">
        <f t="shared" si="38"/>
        <v>#REF!</v>
      </c>
      <c r="AG62" s="382" t="e">
        <f t="shared" si="38"/>
        <v>#REF!</v>
      </c>
      <c r="AH62" s="382" t="e">
        <f t="shared" si="38"/>
        <v>#REF!</v>
      </c>
      <c r="AI62" s="382" t="e">
        <f t="shared" ref="AI62:BJ62" si="39">SUM(AI44:AI61)</f>
        <v>#REF!</v>
      </c>
      <c r="AJ62" s="382" t="e">
        <f t="shared" si="39"/>
        <v>#REF!</v>
      </c>
      <c r="AK62" s="382" t="e">
        <f t="shared" si="39"/>
        <v>#REF!</v>
      </c>
      <c r="AL62" s="382" t="e">
        <f t="shared" si="39"/>
        <v>#REF!</v>
      </c>
      <c r="AM62" s="382" t="e">
        <f t="shared" si="39"/>
        <v>#REF!</v>
      </c>
      <c r="AN62" s="382" t="e">
        <f t="shared" si="39"/>
        <v>#REF!</v>
      </c>
      <c r="AO62" s="382" t="e">
        <f t="shared" si="39"/>
        <v>#REF!</v>
      </c>
      <c r="AP62" s="382" t="e">
        <f t="shared" si="39"/>
        <v>#REF!</v>
      </c>
      <c r="AQ62" s="382" t="e">
        <f t="shared" si="39"/>
        <v>#REF!</v>
      </c>
      <c r="AR62" s="382" t="e">
        <f t="shared" si="39"/>
        <v>#REF!</v>
      </c>
      <c r="AS62" s="382" t="e">
        <f t="shared" si="39"/>
        <v>#REF!</v>
      </c>
      <c r="AT62" s="382" t="e">
        <f t="shared" si="39"/>
        <v>#REF!</v>
      </c>
      <c r="AU62" s="382" t="e">
        <f t="shared" si="39"/>
        <v>#REF!</v>
      </c>
      <c r="AV62" s="382" t="e">
        <f t="shared" si="39"/>
        <v>#REF!</v>
      </c>
      <c r="AW62" s="382" t="e">
        <f t="shared" si="39"/>
        <v>#REF!</v>
      </c>
      <c r="AX62" s="382" t="e">
        <f t="shared" si="39"/>
        <v>#REF!</v>
      </c>
      <c r="AY62" s="382" t="e">
        <f t="shared" si="39"/>
        <v>#REF!</v>
      </c>
      <c r="AZ62" s="382" t="e">
        <f t="shared" si="39"/>
        <v>#REF!</v>
      </c>
      <c r="BA62" s="382" t="e">
        <f t="shared" si="39"/>
        <v>#REF!</v>
      </c>
      <c r="BB62" s="382" t="e">
        <f t="shared" si="39"/>
        <v>#REF!</v>
      </c>
      <c r="BC62" s="382" t="e">
        <f t="shared" si="39"/>
        <v>#REF!</v>
      </c>
      <c r="BD62" s="382" t="e">
        <f t="shared" si="39"/>
        <v>#REF!</v>
      </c>
      <c r="BE62" s="382" t="e">
        <f t="shared" si="39"/>
        <v>#REF!</v>
      </c>
      <c r="BF62" s="382" t="e">
        <f t="shared" si="39"/>
        <v>#REF!</v>
      </c>
      <c r="BG62" s="382" t="e">
        <f t="shared" si="39"/>
        <v>#REF!</v>
      </c>
      <c r="BH62" s="382" t="e">
        <f t="shared" si="39"/>
        <v>#REF!</v>
      </c>
      <c r="BI62" s="382" t="e">
        <f t="shared" si="39"/>
        <v>#REF!</v>
      </c>
      <c r="BJ62" s="382" t="e">
        <f t="shared" si="39"/>
        <v>#REF!</v>
      </c>
      <c r="BK62" s="382" t="e">
        <f t="shared" si="3"/>
        <v>#REF!</v>
      </c>
    </row>
    <row r="64" spans="1:63" ht="15" customHeight="1" x14ac:dyDescent="0.25">
      <c r="A64" s="569" t="s">
        <v>243</v>
      </c>
      <c r="B64" s="569"/>
      <c r="C64" s="569"/>
      <c r="D64" s="569"/>
      <c r="E64" s="569"/>
      <c r="F64" s="569"/>
      <c r="G64" s="569"/>
      <c r="H64" s="569"/>
      <c r="I64" s="569"/>
      <c r="J64" s="569"/>
      <c r="K64" s="569"/>
      <c r="L64" s="569"/>
      <c r="M64" s="569"/>
      <c r="N64" s="569"/>
      <c r="O64" s="569"/>
      <c r="P64" s="569"/>
      <c r="Q64" s="569"/>
      <c r="R64" s="569"/>
      <c r="S64" s="569"/>
      <c r="T64" s="569"/>
      <c r="U64" s="569"/>
      <c r="V64" s="569"/>
      <c r="W64" s="569"/>
      <c r="X64" s="569"/>
      <c r="Y64" s="569"/>
      <c r="Z64" s="569"/>
      <c r="AA64" s="569"/>
      <c r="AB64" s="569"/>
      <c r="AC64" s="569"/>
      <c r="AD64" s="569"/>
      <c r="AE64" s="569"/>
      <c r="AF64" s="569"/>
      <c r="AG64" s="569"/>
      <c r="AH64" s="569"/>
      <c r="AI64" s="569"/>
      <c r="AJ64" s="569"/>
      <c r="AK64" s="569"/>
      <c r="AL64" s="569"/>
      <c r="AM64" s="569"/>
      <c r="AN64" s="569"/>
      <c r="AO64" s="569"/>
      <c r="AP64" s="569"/>
      <c r="AQ64" s="569"/>
      <c r="AR64" s="569"/>
      <c r="AS64" s="569"/>
      <c r="AT64" s="569"/>
      <c r="AU64" s="569"/>
      <c r="AV64" s="569"/>
      <c r="AW64" s="569"/>
      <c r="AX64" s="569"/>
      <c r="AY64" s="569"/>
      <c r="AZ64" s="569"/>
      <c r="BA64" s="569"/>
      <c r="BB64" s="569"/>
      <c r="BC64" s="569"/>
      <c r="BD64" s="569"/>
      <c r="BE64" s="569"/>
      <c r="BF64" s="569"/>
      <c r="BG64" s="569"/>
      <c r="BH64" s="569"/>
      <c r="BI64" s="569"/>
      <c r="BJ64" s="569"/>
      <c r="BK64" s="569"/>
    </row>
    <row r="65" spans="1:63" ht="15" customHeight="1" x14ac:dyDescent="0.25">
      <c r="A65" s="383" t="s">
        <v>244</v>
      </c>
      <c r="B65" s="383" t="s">
        <v>241</v>
      </c>
      <c r="C65" s="384" t="s">
        <v>205</v>
      </c>
      <c r="D65" s="384" t="s">
        <v>206</v>
      </c>
      <c r="E65" s="384" t="s">
        <v>207</v>
      </c>
      <c r="F65" s="384" t="s">
        <v>208</v>
      </c>
      <c r="G65" s="384" t="s">
        <v>209</v>
      </c>
      <c r="H65" s="384" t="s">
        <v>210</v>
      </c>
      <c r="I65" s="384" t="s">
        <v>211</v>
      </c>
      <c r="J65" s="384" t="s">
        <v>212</v>
      </c>
      <c r="K65" s="384" t="s">
        <v>213</v>
      </c>
      <c r="L65" s="384" t="s">
        <v>214</v>
      </c>
      <c r="M65" s="384" t="s">
        <v>215</v>
      </c>
      <c r="N65" s="384" t="s">
        <v>216</v>
      </c>
      <c r="O65" s="384" t="s">
        <v>205</v>
      </c>
      <c r="P65" s="384" t="s">
        <v>206</v>
      </c>
      <c r="Q65" s="384" t="s">
        <v>207</v>
      </c>
      <c r="R65" s="384" t="s">
        <v>208</v>
      </c>
      <c r="S65" s="384" t="s">
        <v>209</v>
      </c>
      <c r="T65" s="384" t="s">
        <v>210</v>
      </c>
      <c r="U65" s="384" t="s">
        <v>211</v>
      </c>
      <c r="V65" s="384" t="s">
        <v>212</v>
      </c>
      <c r="W65" s="384" t="s">
        <v>213</v>
      </c>
      <c r="X65" s="384" t="s">
        <v>214</v>
      </c>
      <c r="Y65" s="384" t="s">
        <v>215</v>
      </c>
      <c r="Z65" s="384" t="s">
        <v>216</v>
      </c>
      <c r="AA65" s="384" t="s">
        <v>205</v>
      </c>
      <c r="AB65" s="384" t="s">
        <v>206</v>
      </c>
      <c r="AC65" s="384" t="s">
        <v>207</v>
      </c>
      <c r="AD65" s="384" t="s">
        <v>208</v>
      </c>
      <c r="AE65" s="384" t="s">
        <v>209</v>
      </c>
      <c r="AF65" s="384" t="s">
        <v>210</v>
      </c>
      <c r="AG65" s="384" t="s">
        <v>211</v>
      </c>
      <c r="AH65" s="384" t="s">
        <v>212</v>
      </c>
      <c r="AI65" s="384" t="s">
        <v>213</v>
      </c>
      <c r="AJ65" s="384" t="s">
        <v>214</v>
      </c>
      <c r="AK65" s="384" t="s">
        <v>215</v>
      </c>
      <c r="AL65" s="384" t="s">
        <v>216</v>
      </c>
      <c r="AM65" s="384" t="s">
        <v>205</v>
      </c>
      <c r="AN65" s="384" t="s">
        <v>206</v>
      </c>
      <c r="AO65" s="384" t="s">
        <v>207</v>
      </c>
      <c r="AP65" s="384" t="s">
        <v>208</v>
      </c>
      <c r="AQ65" s="384" t="s">
        <v>209</v>
      </c>
      <c r="AR65" s="384" t="s">
        <v>210</v>
      </c>
      <c r="AS65" s="384" t="s">
        <v>211</v>
      </c>
      <c r="AT65" s="384" t="s">
        <v>212</v>
      </c>
      <c r="AU65" s="384" t="s">
        <v>213</v>
      </c>
      <c r="AV65" s="384" t="s">
        <v>214</v>
      </c>
      <c r="AW65" s="384" t="s">
        <v>215</v>
      </c>
      <c r="AX65" s="384" t="s">
        <v>216</v>
      </c>
      <c r="AY65" s="384" t="s">
        <v>205</v>
      </c>
      <c r="AZ65" s="384" t="s">
        <v>206</v>
      </c>
      <c r="BA65" s="384" t="s">
        <v>207</v>
      </c>
      <c r="BB65" s="384" t="s">
        <v>208</v>
      </c>
      <c r="BC65" s="384" t="s">
        <v>209</v>
      </c>
      <c r="BD65" s="384" t="s">
        <v>210</v>
      </c>
      <c r="BE65" s="384" t="s">
        <v>211</v>
      </c>
      <c r="BF65" s="384" t="s">
        <v>212</v>
      </c>
      <c r="BG65" s="384" t="s">
        <v>213</v>
      </c>
      <c r="BH65" s="384" t="s">
        <v>214</v>
      </c>
      <c r="BI65" s="384" t="s">
        <v>215</v>
      </c>
      <c r="BJ65" s="384" t="s">
        <v>216</v>
      </c>
      <c r="BK65" s="383" t="s">
        <v>241</v>
      </c>
    </row>
    <row r="66" spans="1:63" ht="15" customHeight="1" x14ac:dyDescent="0.25">
      <c r="A66" s="385" t="s">
        <v>245</v>
      </c>
      <c r="B66" s="369">
        <f>'Feasibility Study'!AY72/1000*0.1</f>
        <v>1279.7928000000002</v>
      </c>
      <c r="C66" s="369">
        <f>$B$66/1</f>
        <v>1279.7928000000002</v>
      </c>
      <c r="D66" s="386" t="s">
        <v>246</v>
      </c>
      <c r="E66" s="386" t="s">
        <v>246</v>
      </c>
      <c r="F66" s="386" t="s">
        <v>246</v>
      </c>
      <c r="G66" s="386" t="s">
        <v>246</v>
      </c>
      <c r="H66" s="386" t="s">
        <v>246</v>
      </c>
      <c r="I66" s="386" t="s">
        <v>246</v>
      </c>
      <c r="J66" s="386" t="s">
        <v>246</v>
      </c>
      <c r="K66" s="386" t="s">
        <v>246</v>
      </c>
      <c r="L66" s="386" t="s">
        <v>246</v>
      </c>
      <c r="M66" s="386" t="s">
        <v>246</v>
      </c>
      <c r="N66" s="386" t="s">
        <v>246</v>
      </c>
      <c r="O66" s="386" t="s">
        <v>246</v>
      </c>
      <c r="P66" s="386" t="s">
        <v>246</v>
      </c>
      <c r="Q66" s="386" t="s">
        <v>246</v>
      </c>
      <c r="R66" s="386" t="s">
        <v>246</v>
      </c>
      <c r="S66" s="386" t="s">
        <v>246</v>
      </c>
      <c r="T66" s="386" t="s">
        <v>246</v>
      </c>
      <c r="U66" s="386" t="s">
        <v>246</v>
      </c>
      <c r="V66" s="386" t="s">
        <v>246</v>
      </c>
      <c r="W66" s="386" t="s">
        <v>246</v>
      </c>
      <c r="X66" s="386" t="s">
        <v>246</v>
      </c>
      <c r="Y66" s="386" t="s">
        <v>246</v>
      </c>
      <c r="Z66" s="386" t="s">
        <v>246</v>
      </c>
      <c r="AA66" s="386" t="s">
        <v>246</v>
      </c>
      <c r="AB66" s="386" t="s">
        <v>246</v>
      </c>
      <c r="AC66" s="386" t="s">
        <v>246</v>
      </c>
      <c r="AD66" s="386" t="s">
        <v>246</v>
      </c>
      <c r="AE66" s="386" t="s">
        <v>246</v>
      </c>
      <c r="AF66" s="386" t="s">
        <v>246</v>
      </c>
      <c r="AG66" s="386" t="s">
        <v>246</v>
      </c>
      <c r="AH66" s="386" t="s">
        <v>246</v>
      </c>
      <c r="AI66" s="386" t="s">
        <v>246</v>
      </c>
      <c r="AJ66" s="386" t="s">
        <v>246</v>
      </c>
      <c r="AK66" s="386" t="s">
        <v>246</v>
      </c>
      <c r="AL66" s="386" t="s">
        <v>246</v>
      </c>
      <c r="AM66" s="386" t="s">
        <v>246</v>
      </c>
      <c r="AN66" s="386" t="s">
        <v>246</v>
      </c>
      <c r="AO66" s="386" t="s">
        <v>246</v>
      </c>
      <c r="AP66" s="386" t="s">
        <v>246</v>
      </c>
      <c r="AQ66" s="386" t="s">
        <v>246</v>
      </c>
      <c r="AR66" s="386" t="s">
        <v>246</v>
      </c>
      <c r="AS66" s="386" t="s">
        <v>246</v>
      </c>
      <c r="AT66" s="386" t="s">
        <v>246</v>
      </c>
      <c r="AU66" s="386" t="s">
        <v>246</v>
      </c>
      <c r="AV66" s="386" t="s">
        <v>246</v>
      </c>
      <c r="AW66" s="386" t="s">
        <v>246</v>
      </c>
      <c r="AX66" s="386" t="s">
        <v>246</v>
      </c>
      <c r="AY66" s="386" t="s">
        <v>246</v>
      </c>
      <c r="AZ66" s="386" t="s">
        <v>246</v>
      </c>
      <c r="BA66" s="386" t="s">
        <v>246</v>
      </c>
      <c r="BB66" s="386" t="s">
        <v>246</v>
      </c>
      <c r="BC66" s="386" t="s">
        <v>246</v>
      </c>
      <c r="BD66" s="386" t="s">
        <v>246</v>
      </c>
      <c r="BE66" s="386" t="s">
        <v>246</v>
      </c>
      <c r="BF66" s="386" t="s">
        <v>246</v>
      </c>
      <c r="BG66" s="386" t="s">
        <v>246</v>
      </c>
      <c r="BH66" s="386" t="s">
        <v>246</v>
      </c>
      <c r="BI66" s="386" t="s">
        <v>246</v>
      </c>
      <c r="BJ66" s="386" t="s">
        <v>246</v>
      </c>
      <c r="BK66" s="387">
        <f>SUM(C66:BJ66)</f>
        <v>1279.7928000000002</v>
      </c>
    </row>
    <row r="67" spans="1:63" ht="15" customHeight="1" x14ac:dyDescent="0.25">
      <c r="A67" s="385" t="s">
        <v>247</v>
      </c>
      <c r="B67" s="369">
        <f>'Feasibility Study'!AY72/1000*0.45</f>
        <v>5759.0676000000012</v>
      </c>
      <c r="C67" s="386" t="s">
        <v>246</v>
      </c>
      <c r="D67" s="369">
        <f>$B$67/5</f>
        <v>1151.8135200000002</v>
      </c>
      <c r="E67" s="369">
        <f>$B$67/5</f>
        <v>1151.8135200000002</v>
      </c>
      <c r="F67" s="369">
        <f>$B$67/5</f>
        <v>1151.8135200000002</v>
      </c>
      <c r="G67" s="369">
        <f>$B$67/5</f>
        <v>1151.8135200000002</v>
      </c>
      <c r="H67" s="369">
        <f>$B$67/5</f>
        <v>1151.8135200000002</v>
      </c>
      <c r="I67" s="386" t="s">
        <v>246</v>
      </c>
      <c r="J67" s="386" t="s">
        <v>246</v>
      </c>
      <c r="K67" s="386" t="s">
        <v>246</v>
      </c>
      <c r="L67" s="386" t="s">
        <v>246</v>
      </c>
      <c r="M67" s="386" t="s">
        <v>246</v>
      </c>
      <c r="N67" s="386" t="s">
        <v>246</v>
      </c>
      <c r="O67" s="386" t="s">
        <v>246</v>
      </c>
      <c r="P67" s="386" t="s">
        <v>246</v>
      </c>
      <c r="Q67" s="386" t="s">
        <v>246</v>
      </c>
      <c r="R67" s="386" t="s">
        <v>246</v>
      </c>
      <c r="S67" s="386" t="s">
        <v>246</v>
      </c>
      <c r="T67" s="386" t="s">
        <v>246</v>
      </c>
      <c r="U67" s="386" t="s">
        <v>246</v>
      </c>
      <c r="V67" s="386" t="s">
        <v>246</v>
      </c>
      <c r="W67" s="386" t="s">
        <v>246</v>
      </c>
      <c r="X67" s="386" t="s">
        <v>246</v>
      </c>
      <c r="Y67" s="386" t="s">
        <v>246</v>
      </c>
      <c r="Z67" s="386" t="s">
        <v>246</v>
      </c>
      <c r="AA67" s="386" t="s">
        <v>246</v>
      </c>
      <c r="AB67" s="386" t="s">
        <v>246</v>
      </c>
      <c r="AC67" s="386" t="s">
        <v>246</v>
      </c>
      <c r="AD67" s="386" t="s">
        <v>246</v>
      </c>
      <c r="AE67" s="386" t="s">
        <v>246</v>
      </c>
      <c r="AF67" s="386" t="s">
        <v>246</v>
      </c>
      <c r="AG67" s="386" t="s">
        <v>246</v>
      </c>
      <c r="AH67" s="386" t="s">
        <v>246</v>
      </c>
      <c r="AI67" s="386" t="s">
        <v>246</v>
      </c>
      <c r="AJ67" s="386" t="s">
        <v>246</v>
      </c>
      <c r="AK67" s="386" t="s">
        <v>246</v>
      </c>
      <c r="AL67" s="386" t="s">
        <v>246</v>
      </c>
      <c r="AM67" s="386" t="s">
        <v>246</v>
      </c>
      <c r="AN67" s="386" t="s">
        <v>246</v>
      </c>
      <c r="AO67" s="386" t="s">
        <v>246</v>
      </c>
      <c r="AP67" s="386" t="s">
        <v>246</v>
      </c>
      <c r="AQ67" s="386" t="s">
        <v>246</v>
      </c>
      <c r="AR67" s="386" t="s">
        <v>246</v>
      </c>
      <c r="AS67" s="386" t="s">
        <v>246</v>
      </c>
      <c r="AT67" s="386" t="s">
        <v>246</v>
      </c>
      <c r="AU67" s="386" t="s">
        <v>246</v>
      </c>
      <c r="AV67" s="386" t="s">
        <v>246</v>
      </c>
      <c r="AW67" s="386" t="s">
        <v>246</v>
      </c>
      <c r="AX67" s="386" t="s">
        <v>246</v>
      </c>
      <c r="AY67" s="386" t="s">
        <v>246</v>
      </c>
      <c r="AZ67" s="386" t="s">
        <v>246</v>
      </c>
      <c r="BA67" s="386" t="s">
        <v>246</v>
      </c>
      <c r="BB67" s="386" t="s">
        <v>246</v>
      </c>
      <c r="BC67" s="386" t="s">
        <v>246</v>
      </c>
      <c r="BD67" s="386" t="s">
        <v>246</v>
      </c>
      <c r="BE67" s="386" t="s">
        <v>246</v>
      </c>
      <c r="BF67" s="386" t="s">
        <v>246</v>
      </c>
      <c r="BG67" s="386" t="s">
        <v>246</v>
      </c>
      <c r="BH67" s="386" t="s">
        <v>246</v>
      </c>
      <c r="BI67" s="386" t="s">
        <v>246</v>
      </c>
      <c r="BJ67" s="386" t="s">
        <v>246</v>
      </c>
      <c r="BK67" s="387">
        <f>SUM(C67:BJ67)</f>
        <v>5759.0676000000003</v>
      </c>
    </row>
    <row r="68" spans="1:63" ht="15" customHeight="1" x14ac:dyDescent="0.25">
      <c r="A68" s="385" t="s">
        <v>248</v>
      </c>
      <c r="B68" s="369">
        <f>'Feasibility Study'!AY72/1000*0.45</f>
        <v>5759.0676000000012</v>
      </c>
      <c r="C68" s="386" t="s">
        <v>246</v>
      </c>
      <c r="D68" s="386" t="s">
        <v>246</v>
      </c>
      <c r="E68" s="386" t="s">
        <v>246</v>
      </c>
      <c r="F68" s="386" t="s">
        <v>246</v>
      </c>
      <c r="G68" s="386" t="s">
        <v>246</v>
      </c>
      <c r="H68" s="386" t="s">
        <v>246</v>
      </c>
      <c r="I68" s="369">
        <f t="shared" ref="I68:N68" si="40">$B$68/6</f>
        <v>959.84460000000024</v>
      </c>
      <c r="J68" s="369">
        <f t="shared" si="40"/>
        <v>959.84460000000024</v>
      </c>
      <c r="K68" s="369">
        <f t="shared" si="40"/>
        <v>959.84460000000024</v>
      </c>
      <c r="L68" s="369">
        <f t="shared" si="40"/>
        <v>959.84460000000024</v>
      </c>
      <c r="M68" s="369">
        <f t="shared" si="40"/>
        <v>959.84460000000024</v>
      </c>
      <c r="N68" s="369">
        <f t="shared" si="40"/>
        <v>959.84460000000024</v>
      </c>
      <c r="O68" s="386" t="s">
        <v>246</v>
      </c>
      <c r="P68" s="386" t="s">
        <v>246</v>
      </c>
      <c r="Q68" s="386" t="s">
        <v>246</v>
      </c>
      <c r="R68" s="386" t="s">
        <v>246</v>
      </c>
      <c r="S68" s="386" t="s">
        <v>246</v>
      </c>
      <c r="T68" s="386" t="s">
        <v>246</v>
      </c>
      <c r="U68" s="386" t="s">
        <v>246</v>
      </c>
      <c r="V68" s="386" t="s">
        <v>246</v>
      </c>
      <c r="W68" s="386" t="s">
        <v>246</v>
      </c>
      <c r="X68" s="386" t="s">
        <v>246</v>
      </c>
      <c r="Y68" s="386" t="s">
        <v>246</v>
      </c>
      <c r="Z68" s="386" t="s">
        <v>246</v>
      </c>
      <c r="AA68" s="386" t="s">
        <v>246</v>
      </c>
      <c r="AB68" s="386" t="s">
        <v>246</v>
      </c>
      <c r="AC68" s="386" t="s">
        <v>246</v>
      </c>
      <c r="AD68" s="386" t="s">
        <v>246</v>
      </c>
      <c r="AE68" s="386" t="s">
        <v>246</v>
      </c>
      <c r="AF68" s="386" t="s">
        <v>246</v>
      </c>
      <c r="AG68" s="386" t="s">
        <v>246</v>
      </c>
      <c r="AH68" s="386" t="s">
        <v>246</v>
      </c>
      <c r="AI68" s="386" t="s">
        <v>246</v>
      </c>
      <c r="AJ68" s="386" t="s">
        <v>246</v>
      </c>
      <c r="AK68" s="386" t="s">
        <v>246</v>
      </c>
      <c r="AL68" s="386" t="s">
        <v>246</v>
      </c>
      <c r="AM68" s="386" t="s">
        <v>246</v>
      </c>
      <c r="AN68" s="386" t="s">
        <v>246</v>
      </c>
      <c r="AO68" s="386" t="s">
        <v>246</v>
      </c>
      <c r="AP68" s="386" t="s">
        <v>246</v>
      </c>
      <c r="AQ68" s="386" t="s">
        <v>246</v>
      </c>
      <c r="AR68" s="386" t="s">
        <v>246</v>
      </c>
      <c r="AS68" s="386" t="s">
        <v>246</v>
      </c>
      <c r="AT68" s="386" t="s">
        <v>246</v>
      </c>
      <c r="AU68" s="386" t="s">
        <v>246</v>
      </c>
      <c r="AV68" s="386" t="s">
        <v>246</v>
      </c>
      <c r="AW68" s="386" t="s">
        <v>246</v>
      </c>
      <c r="AX68" s="386" t="s">
        <v>246</v>
      </c>
      <c r="AY68" s="386" t="s">
        <v>246</v>
      </c>
      <c r="AZ68" s="386" t="s">
        <v>246</v>
      </c>
      <c r="BA68" s="386" t="s">
        <v>246</v>
      </c>
      <c r="BB68" s="386" t="s">
        <v>246</v>
      </c>
      <c r="BC68" s="386" t="s">
        <v>246</v>
      </c>
      <c r="BD68" s="386" t="s">
        <v>246</v>
      </c>
      <c r="BE68" s="386" t="s">
        <v>246</v>
      </c>
      <c r="BF68" s="386" t="s">
        <v>246</v>
      </c>
      <c r="BG68" s="386" t="s">
        <v>246</v>
      </c>
      <c r="BH68" s="386" t="s">
        <v>246</v>
      </c>
      <c r="BI68" s="386" t="s">
        <v>246</v>
      </c>
      <c r="BJ68" s="386" t="s">
        <v>246</v>
      </c>
      <c r="BK68" s="387">
        <f>SUM(C68:BJ68)</f>
        <v>5759.0676000000012</v>
      </c>
    </row>
    <row r="69" spans="1:63" ht="15" customHeight="1" x14ac:dyDescent="0.25">
      <c r="A69" s="385" t="s">
        <v>249</v>
      </c>
      <c r="B69" s="369">
        <f>'Feasibility Study'!AY72/1000*0.15</f>
        <v>1919.6892000000003</v>
      </c>
      <c r="C69" s="386" t="s">
        <v>246</v>
      </c>
      <c r="D69" s="386" t="s">
        <v>246</v>
      </c>
      <c r="E69" s="386" t="s">
        <v>246</v>
      </c>
      <c r="F69" s="386" t="s">
        <v>246</v>
      </c>
      <c r="G69" s="386" t="s">
        <v>246</v>
      </c>
      <c r="H69" s="386" t="s">
        <v>246</v>
      </c>
      <c r="I69" s="386" t="s">
        <v>246</v>
      </c>
      <c r="J69" s="386" t="s">
        <v>246</v>
      </c>
      <c r="K69" s="386" t="s">
        <v>246</v>
      </c>
      <c r="L69" s="386" t="s">
        <v>246</v>
      </c>
      <c r="M69" s="386" t="s">
        <v>246</v>
      </c>
      <c r="N69" s="369">
        <f>$B$69/1</f>
        <v>1919.6892000000003</v>
      </c>
      <c r="O69" s="386" t="s">
        <v>246</v>
      </c>
      <c r="P69" s="386" t="s">
        <v>246</v>
      </c>
      <c r="Q69" s="386" t="s">
        <v>246</v>
      </c>
      <c r="R69" s="386" t="s">
        <v>246</v>
      </c>
      <c r="S69" s="386" t="s">
        <v>246</v>
      </c>
      <c r="T69" s="386" t="s">
        <v>246</v>
      </c>
      <c r="U69" s="386" t="s">
        <v>246</v>
      </c>
      <c r="V69" s="386" t="s">
        <v>246</v>
      </c>
      <c r="W69" s="386" t="s">
        <v>246</v>
      </c>
      <c r="X69" s="386" t="s">
        <v>246</v>
      </c>
      <c r="Y69" s="386" t="s">
        <v>246</v>
      </c>
      <c r="Z69" s="386" t="s">
        <v>246</v>
      </c>
      <c r="AA69" s="386" t="s">
        <v>246</v>
      </c>
      <c r="AB69" s="386" t="s">
        <v>246</v>
      </c>
      <c r="AC69" s="386" t="s">
        <v>246</v>
      </c>
      <c r="AD69" s="386" t="s">
        <v>246</v>
      </c>
      <c r="AE69" s="386" t="s">
        <v>246</v>
      </c>
      <c r="AF69" s="386" t="s">
        <v>246</v>
      </c>
      <c r="AG69" s="386" t="s">
        <v>246</v>
      </c>
      <c r="AH69" s="386" t="s">
        <v>246</v>
      </c>
      <c r="AI69" s="386" t="s">
        <v>246</v>
      </c>
      <c r="AJ69" s="386" t="s">
        <v>246</v>
      </c>
      <c r="AK69" s="386" t="s">
        <v>246</v>
      </c>
      <c r="AL69" s="386" t="s">
        <v>246</v>
      </c>
      <c r="AM69" s="386" t="s">
        <v>246</v>
      </c>
      <c r="AN69" s="386" t="s">
        <v>246</v>
      </c>
      <c r="AO69" s="386" t="s">
        <v>246</v>
      </c>
      <c r="AP69" s="386" t="s">
        <v>246</v>
      </c>
      <c r="AQ69" s="386" t="s">
        <v>246</v>
      </c>
      <c r="AR69" s="386" t="s">
        <v>246</v>
      </c>
      <c r="AS69" s="386" t="s">
        <v>246</v>
      </c>
      <c r="AT69" s="386" t="s">
        <v>246</v>
      </c>
      <c r="AU69" s="386" t="s">
        <v>246</v>
      </c>
      <c r="AV69" s="386" t="s">
        <v>246</v>
      </c>
      <c r="AW69" s="386" t="s">
        <v>246</v>
      </c>
      <c r="AX69" s="386" t="s">
        <v>246</v>
      </c>
      <c r="AY69" s="386" t="s">
        <v>246</v>
      </c>
      <c r="AZ69" s="386" t="s">
        <v>246</v>
      </c>
      <c r="BA69" s="386" t="s">
        <v>246</v>
      </c>
      <c r="BB69" s="386" t="s">
        <v>246</v>
      </c>
      <c r="BC69" s="386" t="s">
        <v>246</v>
      </c>
      <c r="BD69" s="386" t="s">
        <v>246</v>
      </c>
      <c r="BE69" s="386" t="s">
        <v>246</v>
      </c>
      <c r="BF69" s="386" t="s">
        <v>246</v>
      </c>
      <c r="BG69" s="386" t="s">
        <v>246</v>
      </c>
      <c r="BH69" s="386" t="s">
        <v>246</v>
      </c>
      <c r="BI69" s="386" t="s">
        <v>246</v>
      </c>
      <c r="BJ69" s="386" t="s">
        <v>246</v>
      </c>
      <c r="BK69" s="387">
        <f>SUM(C69:BJ69)</f>
        <v>1919.6892000000003</v>
      </c>
    </row>
    <row r="70" spans="1:63" ht="15" customHeight="1" x14ac:dyDescent="0.25">
      <c r="A70" s="388" t="s">
        <v>250</v>
      </c>
      <c r="C70" s="387">
        <f t="shared" ref="C70:AH70" si="41">IF(ISNUMBER(C66),C66,0)+IF(ISNUMBER(C67),C67,0)+IF(ISNUMBER(C68),C68,0)+IF(ISNUMBER(C69),C69,0)</f>
        <v>1279.7928000000002</v>
      </c>
      <c r="D70" s="387">
        <f t="shared" si="41"/>
        <v>1151.8135200000002</v>
      </c>
      <c r="E70" s="387">
        <f t="shared" si="41"/>
        <v>1151.8135200000002</v>
      </c>
      <c r="F70" s="387">
        <f t="shared" si="41"/>
        <v>1151.8135200000002</v>
      </c>
      <c r="G70" s="387">
        <f t="shared" si="41"/>
        <v>1151.8135200000002</v>
      </c>
      <c r="H70" s="387">
        <f t="shared" si="41"/>
        <v>1151.8135200000002</v>
      </c>
      <c r="I70" s="387">
        <f t="shared" si="41"/>
        <v>959.84460000000024</v>
      </c>
      <c r="J70" s="387">
        <f t="shared" si="41"/>
        <v>959.84460000000024</v>
      </c>
      <c r="K70" s="387">
        <f t="shared" si="41"/>
        <v>959.84460000000024</v>
      </c>
      <c r="L70" s="387">
        <f t="shared" si="41"/>
        <v>959.84460000000024</v>
      </c>
      <c r="M70" s="387">
        <f t="shared" si="41"/>
        <v>959.84460000000024</v>
      </c>
      <c r="N70" s="387">
        <f t="shared" si="41"/>
        <v>2879.5338000000006</v>
      </c>
      <c r="O70" s="387">
        <f t="shared" si="41"/>
        <v>0</v>
      </c>
      <c r="P70" s="387">
        <f t="shared" si="41"/>
        <v>0</v>
      </c>
      <c r="Q70" s="387">
        <f t="shared" si="41"/>
        <v>0</v>
      </c>
      <c r="R70" s="387">
        <f t="shared" si="41"/>
        <v>0</v>
      </c>
      <c r="S70" s="387">
        <f t="shared" si="41"/>
        <v>0</v>
      </c>
      <c r="T70" s="387">
        <f t="shared" si="41"/>
        <v>0</v>
      </c>
      <c r="U70" s="387">
        <f t="shared" si="41"/>
        <v>0</v>
      </c>
      <c r="V70" s="387">
        <f t="shared" si="41"/>
        <v>0</v>
      </c>
      <c r="W70" s="387">
        <f t="shared" si="41"/>
        <v>0</v>
      </c>
      <c r="X70" s="387">
        <f t="shared" si="41"/>
        <v>0</v>
      </c>
      <c r="Y70" s="387">
        <f t="shared" si="41"/>
        <v>0</v>
      </c>
      <c r="Z70" s="387">
        <f t="shared" si="41"/>
        <v>0</v>
      </c>
      <c r="AA70" s="387">
        <f t="shared" si="41"/>
        <v>0</v>
      </c>
      <c r="AB70" s="387">
        <f t="shared" si="41"/>
        <v>0</v>
      </c>
      <c r="AC70" s="387">
        <f t="shared" si="41"/>
        <v>0</v>
      </c>
      <c r="AD70" s="387">
        <f t="shared" si="41"/>
        <v>0</v>
      </c>
      <c r="AE70" s="387">
        <f t="shared" si="41"/>
        <v>0</v>
      </c>
      <c r="AF70" s="387">
        <f t="shared" si="41"/>
        <v>0</v>
      </c>
      <c r="AG70" s="387">
        <f t="shared" si="41"/>
        <v>0</v>
      </c>
      <c r="AH70" s="387">
        <f t="shared" si="41"/>
        <v>0</v>
      </c>
      <c r="AI70" s="387">
        <f t="shared" ref="AI70:BJ70" si="42">IF(ISNUMBER(AI66),AI66,0)+IF(ISNUMBER(AI67),AI67,0)+IF(ISNUMBER(AI68),AI68,0)+IF(ISNUMBER(AI69),AI69,0)</f>
        <v>0</v>
      </c>
      <c r="AJ70" s="387">
        <f t="shared" si="42"/>
        <v>0</v>
      </c>
      <c r="AK70" s="387">
        <f t="shared" si="42"/>
        <v>0</v>
      </c>
      <c r="AL70" s="387">
        <f t="shared" si="42"/>
        <v>0</v>
      </c>
      <c r="AM70" s="387">
        <f t="shared" si="42"/>
        <v>0</v>
      </c>
      <c r="AN70" s="387">
        <f t="shared" si="42"/>
        <v>0</v>
      </c>
      <c r="AO70" s="387">
        <f t="shared" si="42"/>
        <v>0</v>
      </c>
      <c r="AP70" s="387">
        <f t="shared" si="42"/>
        <v>0</v>
      </c>
      <c r="AQ70" s="387">
        <f t="shared" si="42"/>
        <v>0</v>
      </c>
      <c r="AR70" s="387">
        <f t="shared" si="42"/>
        <v>0</v>
      </c>
      <c r="AS70" s="387">
        <f t="shared" si="42"/>
        <v>0</v>
      </c>
      <c r="AT70" s="387">
        <f t="shared" si="42"/>
        <v>0</v>
      </c>
      <c r="AU70" s="387">
        <f t="shared" si="42"/>
        <v>0</v>
      </c>
      <c r="AV70" s="387">
        <f t="shared" si="42"/>
        <v>0</v>
      </c>
      <c r="AW70" s="387">
        <f t="shared" si="42"/>
        <v>0</v>
      </c>
      <c r="AX70" s="387">
        <f t="shared" si="42"/>
        <v>0</v>
      </c>
      <c r="AY70" s="387">
        <f t="shared" si="42"/>
        <v>0</v>
      </c>
      <c r="AZ70" s="387">
        <f t="shared" si="42"/>
        <v>0</v>
      </c>
      <c r="BA70" s="387">
        <f t="shared" si="42"/>
        <v>0</v>
      </c>
      <c r="BB70" s="387">
        <f t="shared" si="42"/>
        <v>0</v>
      </c>
      <c r="BC70" s="387">
        <f t="shared" si="42"/>
        <v>0</v>
      </c>
      <c r="BD70" s="387">
        <f t="shared" si="42"/>
        <v>0</v>
      </c>
      <c r="BE70" s="387">
        <f t="shared" si="42"/>
        <v>0</v>
      </c>
      <c r="BF70" s="387">
        <f t="shared" si="42"/>
        <v>0</v>
      </c>
      <c r="BG70" s="387">
        <f t="shared" si="42"/>
        <v>0</v>
      </c>
      <c r="BH70" s="387">
        <f t="shared" si="42"/>
        <v>0</v>
      </c>
      <c r="BI70" s="387">
        <f t="shared" si="42"/>
        <v>0</v>
      </c>
      <c r="BJ70" s="387">
        <f t="shared" si="42"/>
        <v>0</v>
      </c>
      <c r="BK70" s="387">
        <f>SUM(C70:BJ70)</f>
        <v>14717.617200000002</v>
      </c>
    </row>
    <row r="72" spans="1:63" ht="15" customHeight="1" x14ac:dyDescent="0.25">
      <c r="A72" s="569" t="s">
        <v>251</v>
      </c>
      <c r="B72" s="569"/>
      <c r="C72" s="569"/>
      <c r="D72" s="569"/>
      <c r="E72" s="569"/>
      <c r="F72" s="569"/>
      <c r="G72" s="569"/>
      <c r="H72" s="569"/>
      <c r="I72" s="569"/>
      <c r="J72" s="569"/>
      <c r="K72" s="569"/>
      <c r="L72" s="569"/>
      <c r="M72" s="569"/>
      <c r="N72" s="569"/>
      <c r="O72" s="569"/>
      <c r="P72" s="569"/>
      <c r="Q72" s="569"/>
      <c r="R72" s="569"/>
      <c r="S72" s="569"/>
      <c r="T72" s="569"/>
      <c r="U72" s="569"/>
      <c r="V72" s="569"/>
      <c r="W72" s="569"/>
      <c r="X72" s="569"/>
      <c r="Y72" s="569"/>
      <c r="Z72" s="569"/>
      <c r="AA72" s="569"/>
      <c r="AB72" s="569"/>
      <c r="AC72" s="569"/>
      <c r="AD72" s="569"/>
      <c r="AE72" s="569"/>
      <c r="AF72" s="569"/>
      <c r="AG72" s="569"/>
      <c r="AH72" s="569"/>
      <c r="AI72" s="569"/>
      <c r="AJ72" s="569"/>
      <c r="AK72" s="569"/>
      <c r="AL72" s="569"/>
      <c r="AM72" s="569"/>
      <c r="AN72" s="569"/>
      <c r="AO72" s="569"/>
      <c r="AP72" s="569"/>
      <c r="AQ72" s="569"/>
      <c r="AR72" s="569"/>
      <c r="AS72" s="569"/>
      <c r="AT72" s="569"/>
      <c r="AU72" s="569"/>
      <c r="AV72" s="569"/>
      <c r="AW72" s="569"/>
      <c r="AX72" s="569"/>
      <c r="AY72" s="569"/>
      <c r="AZ72" s="569"/>
      <c r="BA72" s="569"/>
      <c r="BB72" s="569"/>
      <c r="BC72" s="569"/>
      <c r="BD72" s="569"/>
      <c r="BE72" s="569"/>
      <c r="BF72" s="569"/>
      <c r="BG72" s="569"/>
      <c r="BH72" s="569"/>
      <c r="BI72" s="569"/>
      <c r="BJ72" s="569"/>
      <c r="BK72" s="569"/>
    </row>
    <row r="73" spans="1:63" ht="15" customHeight="1" x14ac:dyDescent="0.25">
      <c r="A73" s="383" t="s">
        <v>244</v>
      </c>
      <c r="B73" s="383" t="s">
        <v>252</v>
      </c>
      <c r="C73" s="384" t="s">
        <v>205</v>
      </c>
      <c r="D73" s="384" t="s">
        <v>206</v>
      </c>
      <c r="E73" s="384" t="s">
        <v>207</v>
      </c>
      <c r="F73" s="384" t="s">
        <v>208</v>
      </c>
      <c r="G73" s="384" t="s">
        <v>209</v>
      </c>
      <c r="H73" s="384" t="s">
        <v>210</v>
      </c>
      <c r="I73" s="384" t="s">
        <v>211</v>
      </c>
      <c r="J73" s="384" t="s">
        <v>212</v>
      </c>
      <c r="K73" s="384" t="s">
        <v>213</v>
      </c>
      <c r="L73" s="384" t="s">
        <v>214</v>
      </c>
      <c r="M73" s="384" t="s">
        <v>215</v>
      </c>
      <c r="N73" s="384" t="s">
        <v>216</v>
      </c>
      <c r="O73" s="384" t="s">
        <v>205</v>
      </c>
      <c r="P73" s="384" t="s">
        <v>206</v>
      </c>
      <c r="Q73" s="384" t="s">
        <v>207</v>
      </c>
      <c r="R73" s="384" t="s">
        <v>208</v>
      </c>
      <c r="S73" s="384" t="s">
        <v>209</v>
      </c>
      <c r="T73" s="384" t="s">
        <v>210</v>
      </c>
      <c r="U73" s="384" t="s">
        <v>211</v>
      </c>
      <c r="V73" s="384" t="s">
        <v>212</v>
      </c>
      <c r="W73" s="384" t="s">
        <v>213</v>
      </c>
      <c r="X73" s="384" t="s">
        <v>214</v>
      </c>
      <c r="Y73" s="384" t="s">
        <v>215</v>
      </c>
      <c r="Z73" s="384" t="s">
        <v>216</v>
      </c>
      <c r="AA73" s="384" t="s">
        <v>205</v>
      </c>
      <c r="AB73" s="384" t="s">
        <v>206</v>
      </c>
      <c r="AC73" s="384" t="s">
        <v>207</v>
      </c>
      <c r="AD73" s="384" t="s">
        <v>208</v>
      </c>
      <c r="AE73" s="384" t="s">
        <v>209</v>
      </c>
      <c r="AF73" s="384" t="s">
        <v>210</v>
      </c>
      <c r="AG73" s="384" t="s">
        <v>211</v>
      </c>
      <c r="AH73" s="384" t="s">
        <v>212</v>
      </c>
      <c r="AI73" s="384" t="s">
        <v>213</v>
      </c>
      <c r="AJ73" s="384" t="s">
        <v>214</v>
      </c>
      <c r="AK73" s="384" t="s">
        <v>215</v>
      </c>
      <c r="AL73" s="384" t="s">
        <v>216</v>
      </c>
      <c r="AM73" s="384" t="s">
        <v>205</v>
      </c>
      <c r="AN73" s="384" t="s">
        <v>206</v>
      </c>
      <c r="AO73" s="384" t="s">
        <v>207</v>
      </c>
      <c r="AP73" s="384" t="s">
        <v>208</v>
      </c>
      <c r="AQ73" s="384" t="s">
        <v>209</v>
      </c>
      <c r="AR73" s="384" t="s">
        <v>210</v>
      </c>
      <c r="AS73" s="384" t="s">
        <v>211</v>
      </c>
      <c r="AT73" s="384" t="s">
        <v>212</v>
      </c>
      <c r="AU73" s="384" t="s">
        <v>213</v>
      </c>
      <c r="AV73" s="384" t="s">
        <v>214</v>
      </c>
      <c r="AW73" s="384" t="s">
        <v>215</v>
      </c>
      <c r="AX73" s="384" t="s">
        <v>216</v>
      </c>
      <c r="AY73" s="384" t="s">
        <v>205</v>
      </c>
      <c r="AZ73" s="384" t="s">
        <v>206</v>
      </c>
      <c r="BA73" s="384" t="s">
        <v>207</v>
      </c>
      <c r="BB73" s="384" t="s">
        <v>208</v>
      </c>
      <c r="BC73" s="384" t="s">
        <v>209</v>
      </c>
      <c r="BD73" s="384" t="s">
        <v>210</v>
      </c>
      <c r="BE73" s="384" t="s">
        <v>211</v>
      </c>
      <c r="BF73" s="384" t="s">
        <v>212</v>
      </c>
      <c r="BG73" s="384" t="s">
        <v>213</v>
      </c>
      <c r="BH73" s="384" t="s">
        <v>214</v>
      </c>
      <c r="BI73" s="384" t="s">
        <v>215</v>
      </c>
      <c r="BJ73" s="384" t="s">
        <v>216</v>
      </c>
      <c r="BK73" s="383" t="s">
        <v>241</v>
      </c>
    </row>
    <row r="74" spans="1:63" ht="15" customHeight="1" x14ac:dyDescent="0.25">
      <c r="A74" s="385" t="s">
        <v>253</v>
      </c>
      <c r="B74" s="369" t="e">
        <f>'Feasibility Study'!AY79/1000*0.55</f>
        <v>#REF!</v>
      </c>
      <c r="C74" s="379" t="e">
        <f>$B$74*0.011013</f>
        <v>#REF!</v>
      </c>
      <c r="D74" s="379" t="e">
        <f>$B$74*0.013216</f>
        <v>#REF!</v>
      </c>
      <c r="E74" s="379" t="e">
        <f>$B$74*0.015418</f>
        <v>#REF!</v>
      </c>
      <c r="F74" s="379" t="e">
        <f>$B$74*0.017621</f>
        <v>#REF!</v>
      </c>
      <c r="G74" s="379" t="e">
        <f>$B$74*0.019824</f>
        <v>#REF!</v>
      </c>
      <c r="H74" s="379" t="e">
        <f>$B$74*0.022026</f>
        <v>#REF!</v>
      </c>
      <c r="I74" s="379" t="e">
        <f>$B$74*0.024229</f>
        <v>#REF!</v>
      </c>
      <c r="J74" s="379" t="e">
        <f>$B$74*0.026432</f>
        <v>#REF!</v>
      </c>
      <c r="K74" s="379" t="e">
        <f>$B$74*0.028634</f>
        <v>#REF!</v>
      </c>
      <c r="L74" s="379" t="e">
        <f>$B$74*0.028634</f>
        <v>#REF!</v>
      </c>
      <c r="M74" s="379" t="e">
        <f>$B$74*0.028634</f>
        <v>#REF!</v>
      </c>
      <c r="N74" s="379" t="e">
        <f>$B$74*0.028634</f>
        <v>#REF!</v>
      </c>
      <c r="O74" s="379" t="e">
        <f t="shared" ref="O74:V74" si="43">$B$74*0.030837</f>
        <v>#REF!</v>
      </c>
      <c r="P74" s="379" t="e">
        <f t="shared" si="43"/>
        <v>#REF!</v>
      </c>
      <c r="Q74" s="379" t="e">
        <f t="shared" si="43"/>
        <v>#REF!</v>
      </c>
      <c r="R74" s="379" t="e">
        <f t="shared" si="43"/>
        <v>#REF!</v>
      </c>
      <c r="S74" s="379" t="e">
        <f t="shared" si="43"/>
        <v>#REF!</v>
      </c>
      <c r="T74" s="379" t="e">
        <f t="shared" si="43"/>
        <v>#REF!</v>
      </c>
      <c r="U74" s="379" t="e">
        <f t="shared" si="43"/>
        <v>#REF!</v>
      </c>
      <c r="V74" s="379" t="e">
        <f t="shared" si="43"/>
        <v>#REF!</v>
      </c>
      <c r="W74" s="379" t="e">
        <f>$B$74*0.028634</f>
        <v>#REF!</v>
      </c>
      <c r="X74" s="379" t="e">
        <f>$B$74*0.028634</f>
        <v>#REF!</v>
      </c>
      <c r="Y74" s="379" t="e">
        <f>$B$74*0.026432</f>
        <v>#REF!</v>
      </c>
      <c r="Z74" s="379" t="e">
        <f>$B$74*0.026432</f>
        <v>#REF!</v>
      </c>
      <c r="AA74" s="379" t="e">
        <f>$B$74*0.026432</f>
        <v>#REF!</v>
      </c>
      <c r="AB74" s="379" t="e">
        <f>$B$74*0.024229</f>
        <v>#REF!</v>
      </c>
      <c r="AC74" s="379" t="e">
        <f>$B$74*0.024229</f>
        <v>#REF!</v>
      </c>
      <c r="AD74" s="379" t="e">
        <f>$B$74*0.024229</f>
        <v>#REF!</v>
      </c>
      <c r="AE74" s="379" t="e">
        <f>$B$74*0.022026</f>
        <v>#REF!</v>
      </c>
      <c r="AF74" s="379" t="e">
        <f>$B$74*0.022026</f>
        <v>#REF!</v>
      </c>
      <c r="AG74" s="379" t="e">
        <f>$B$74*0.022026</f>
        <v>#REF!</v>
      </c>
      <c r="AH74" s="379" t="e">
        <f>$B$74*0.019824</f>
        <v>#REF!</v>
      </c>
      <c r="AI74" s="379" t="e">
        <f>$B$74*0.019824</f>
        <v>#REF!</v>
      </c>
      <c r="AJ74" s="379" t="e">
        <f>$B$74*0.019824</f>
        <v>#REF!</v>
      </c>
      <c r="AK74" s="379" t="e">
        <f>$B$74*0.017621</f>
        <v>#REF!</v>
      </c>
      <c r="AL74" s="379" t="e">
        <f>$B$74*0.017621</f>
        <v>#REF!</v>
      </c>
      <c r="AM74" s="379" t="e">
        <f>$B$74*0.017621</f>
        <v>#REF!</v>
      </c>
      <c r="AN74" s="379" t="e">
        <f>$B$74*0.015418</f>
        <v>#REF!</v>
      </c>
      <c r="AO74" s="379" t="e">
        <f>$B$74*0.015418</f>
        <v>#REF!</v>
      </c>
      <c r="AP74" s="379" t="e">
        <f>$B$74*0.013216</f>
        <v>#REF!</v>
      </c>
      <c r="AQ74" s="379" t="e">
        <f>$B$74*0.013216</f>
        <v>#REF!</v>
      </c>
      <c r="AR74" s="379" t="e">
        <f>$B$74*0.011013</f>
        <v>#REF!</v>
      </c>
      <c r="AS74" s="379" t="e">
        <f>$B$74*0.011013</f>
        <v>#REF!</v>
      </c>
      <c r="AT74" s="379" t="e">
        <f>$B$74*0.008811</f>
        <v>#REF!</v>
      </c>
      <c r="AU74" s="379" t="e">
        <f>$B$74*0.006608</f>
        <v>#REF!</v>
      </c>
      <c r="AV74" s="379" t="e">
        <f>$B$74*0.004405</f>
        <v>#REF!</v>
      </c>
      <c r="AW74" s="379" t="e">
        <f>$B$74*0.002203</f>
        <v>#REF!</v>
      </c>
      <c r="AX74" s="386" t="s">
        <v>246</v>
      </c>
      <c r="AY74" s="386" t="s">
        <v>246</v>
      </c>
      <c r="AZ74" s="386" t="s">
        <v>246</v>
      </c>
      <c r="BA74" s="386" t="s">
        <v>246</v>
      </c>
      <c r="BB74" s="386" t="s">
        <v>246</v>
      </c>
      <c r="BC74" s="386" t="s">
        <v>246</v>
      </c>
      <c r="BD74" s="386" t="s">
        <v>246</v>
      </c>
      <c r="BE74" s="386" t="s">
        <v>246</v>
      </c>
      <c r="BF74" s="386" t="s">
        <v>246</v>
      </c>
      <c r="BG74" s="386" t="s">
        <v>246</v>
      </c>
      <c r="BH74" s="386" t="s">
        <v>246</v>
      </c>
      <c r="BI74" s="386" t="s">
        <v>246</v>
      </c>
      <c r="BJ74" s="386" t="s">
        <v>246</v>
      </c>
      <c r="BK74" s="387" t="e">
        <f t="shared" ref="BK74:BK79" si="44">SUM(C74:BJ74)</f>
        <v>#REF!</v>
      </c>
    </row>
    <row r="75" spans="1:63" ht="15" customHeight="1" x14ac:dyDescent="0.25">
      <c r="A75" s="385" t="s">
        <v>254</v>
      </c>
      <c r="B75" s="369" t="e">
        <f>'Feasibility Study'!AY79/1000*0.15</f>
        <v>#REF!</v>
      </c>
      <c r="C75" s="379" t="e">
        <f>$B$75*0.011013</f>
        <v>#REF!</v>
      </c>
      <c r="D75" s="379" t="e">
        <f>$B$75*0.013216</f>
        <v>#REF!</v>
      </c>
      <c r="E75" s="379" t="e">
        <f>$B$75*0.015418</f>
        <v>#REF!</v>
      </c>
      <c r="F75" s="379" t="e">
        <f>$B$75*0.017621</f>
        <v>#REF!</v>
      </c>
      <c r="G75" s="379" t="e">
        <f>$B$75*0.019824</f>
        <v>#REF!</v>
      </c>
      <c r="H75" s="379" t="e">
        <f>$B$75*0.022026</f>
        <v>#REF!</v>
      </c>
      <c r="I75" s="379" t="e">
        <f>$B$75*0.024229</f>
        <v>#REF!</v>
      </c>
      <c r="J75" s="379" t="e">
        <f>$B$75*0.026432</f>
        <v>#REF!</v>
      </c>
      <c r="K75" s="379" t="e">
        <f>$B$75*0.028634</f>
        <v>#REF!</v>
      </c>
      <c r="L75" s="379" t="e">
        <f>$B$75*0.028634</f>
        <v>#REF!</v>
      </c>
      <c r="M75" s="379" t="e">
        <f>$B$75*0.028634</f>
        <v>#REF!</v>
      </c>
      <c r="N75" s="379" t="e">
        <f>$B$75*0.028634</f>
        <v>#REF!</v>
      </c>
      <c r="O75" s="379" t="e">
        <f t="shared" ref="O75:V75" si="45">$B$75*0.030837</f>
        <v>#REF!</v>
      </c>
      <c r="P75" s="379" t="e">
        <f t="shared" si="45"/>
        <v>#REF!</v>
      </c>
      <c r="Q75" s="379" t="e">
        <f t="shared" si="45"/>
        <v>#REF!</v>
      </c>
      <c r="R75" s="379" t="e">
        <f t="shared" si="45"/>
        <v>#REF!</v>
      </c>
      <c r="S75" s="379" t="e">
        <f t="shared" si="45"/>
        <v>#REF!</v>
      </c>
      <c r="T75" s="379" t="e">
        <f t="shared" si="45"/>
        <v>#REF!</v>
      </c>
      <c r="U75" s="379" t="e">
        <f t="shared" si="45"/>
        <v>#REF!</v>
      </c>
      <c r="V75" s="379" t="e">
        <f t="shared" si="45"/>
        <v>#REF!</v>
      </c>
      <c r="W75" s="379" t="e">
        <f>$B$75*0.028634</f>
        <v>#REF!</v>
      </c>
      <c r="X75" s="379" t="e">
        <f>$B$75*0.028634</f>
        <v>#REF!</v>
      </c>
      <c r="Y75" s="379" t="e">
        <f>$B$75*0.026432</f>
        <v>#REF!</v>
      </c>
      <c r="Z75" s="379" t="e">
        <f>$B$75*0.026432</f>
        <v>#REF!</v>
      </c>
      <c r="AA75" s="379" t="e">
        <f>$B$75*0.026432</f>
        <v>#REF!</v>
      </c>
      <c r="AB75" s="379" t="e">
        <f>$B$75*0.024229</f>
        <v>#REF!</v>
      </c>
      <c r="AC75" s="379" t="e">
        <f>$B$75*0.024229</f>
        <v>#REF!</v>
      </c>
      <c r="AD75" s="379" t="e">
        <f>$B$75*0.024229</f>
        <v>#REF!</v>
      </c>
      <c r="AE75" s="379" t="e">
        <f>$B$75*0.022026</f>
        <v>#REF!</v>
      </c>
      <c r="AF75" s="379" t="e">
        <f>$B$75*0.022026</f>
        <v>#REF!</v>
      </c>
      <c r="AG75" s="379" t="e">
        <f>$B$75*0.022026</f>
        <v>#REF!</v>
      </c>
      <c r="AH75" s="379" t="e">
        <f>$B$75*0.019824</f>
        <v>#REF!</v>
      </c>
      <c r="AI75" s="379" t="e">
        <f>$B$75*0.019824</f>
        <v>#REF!</v>
      </c>
      <c r="AJ75" s="379" t="e">
        <f>$B$75*0.019824</f>
        <v>#REF!</v>
      </c>
      <c r="AK75" s="379" t="e">
        <f>$B$75*0.017621</f>
        <v>#REF!</v>
      </c>
      <c r="AL75" s="379" t="e">
        <f>$B$75*0.017621</f>
        <v>#REF!</v>
      </c>
      <c r="AM75" s="379" t="e">
        <f>$B$75*0.017621</f>
        <v>#REF!</v>
      </c>
      <c r="AN75" s="379" t="e">
        <f>$B$75*0.015418</f>
        <v>#REF!</v>
      </c>
      <c r="AO75" s="379" t="e">
        <f>$B$75*0.015418</f>
        <v>#REF!</v>
      </c>
      <c r="AP75" s="379" t="e">
        <f>$B$75*0.013216</f>
        <v>#REF!</v>
      </c>
      <c r="AQ75" s="379" t="e">
        <f>$B$75*0.013216</f>
        <v>#REF!</v>
      </c>
      <c r="AR75" s="379" t="e">
        <f>$B$75*0.011013</f>
        <v>#REF!</v>
      </c>
      <c r="AS75" s="379" t="e">
        <f>$B$75*0.011013</f>
        <v>#REF!</v>
      </c>
      <c r="AT75" s="379" t="e">
        <f>$B$75*0.008811</f>
        <v>#REF!</v>
      </c>
      <c r="AU75" s="379" t="e">
        <f>$B$75*0.006608</f>
        <v>#REF!</v>
      </c>
      <c r="AV75" s="379" t="e">
        <f>$B$75*0.004405</f>
        <v>#REF!</v>
      </c>
      <c r="AW75" s="379" t="e">
        <f>$B$75*0.002203</f>
        <v>#REF!</v>
      </c>
      <c r="AX75" s="386" t="s">
        <v>246</v>
      </c>
      <c r="AY75" s="386" t="s">
        <v>246</v>
      </c>
      <c r="AZ75" s="386" t="s">
        <v>246</v>
      </c>
      <c r="BA75" s="386" t="s">
        <v>246</v>
      </c>
      <c r="BB75" s="386" t="s">
        <v>246</v>
      </c>
      <c r="BC75" s="386" t="s">
        <v>246</v>
      </c>
      <c r="BD75" s="386" t="s">
        <v>246</v>
      </c>
      <c r="BE75" s="386" t="s">
        <v>246</v>
      </c>
      <c r="BF75" s="386" t="s">
        <v>246</v>
      </c>
      <c r="BG75" s="386" t="s">
        <v>246</v>
      </c>
      <c r="BH75" s="386" t="s">
        <v>246</v>
      </c>
      <c r="BI75" s="386" t="s">
        <v>246</v>
      </c>
      <c r="BJ75" s="386" t="s">
        <v>246</v>
      </c>
      <c r="BK75" s="387" t="e">
        <f t="shared" si="44"/>
        <v>#REF!</v>
      </c>
    </row>
    <row r="76" spans="1:63" ht="15" customHeight="1" x14ac:dyDescent="0.25">
      <c r="A76" s="385" t="s">
        <v>255</v>
      </c>
      <c r="B76" s="369" t="e">
        <f>'Feasibility Study'!AY79/1000*0.15</f>
        <v>#REF!</v>
      </c>
      <c r="C76" s="379" t="e">
        <f>$B$76*0.011013</f>
        <v>#REF!</v>
      </c>
      <c r="D76" s="379" t="e">
        <f>$B$76*0.013216</f>
        <v>#REF!</v>
      </c>
      <c r="E76" s="379" t="e">
        <f>$B$76*0.015418</f>
        <v>#REF!</v>
      </c>
      <c r="F76" s="379" t="e">
        <f>$B$76*0.017621</f>
        <v>#REF!</v>
      </c>
      <c r="G76" s="379" t="e">
        <f>$B$76*0.019824</f>
        <v>#REF!</v>
      </c>
      <c r="H76" s="379" t="e">
        <f>$B$76*0.022026</f>
        <v>#REF!</v>
      </c>
      <c r="I76" s="379" t="e">
        <f>$B$76*0.024229</f>
        <v>#REF!</v>
      </c>
      <c r="J76" s="379" t="e">
        <f>$B$76*0.026432</f>
        <v>#REF!</v>
      </c>
      <c r="K76" s="379" t="e">
        <f>$B$76*0.028634</f>
        <v>#REF!</v>
      </c>
      <c r="L76" s="379" t="e">
        <f>$B$76*0.028634</f>
        <v>#REF!</v>
      </c>
      <c r="M76" s="379" t="e">
        <f>$B$76*0.028634</f>
        <v>#REF!</v>
      </c>
      <c r="N76" s="379" t="e">
        <f>$B$76*0.028634</f>
        <v>#REF!</v>
      </c>
      <c r="O76" s="379" t="e">
        <f t="shared" ref="O76:V76" si="46">$B$76*0.030837</f>
        <v>#REF!</v>
      </c>
      <c r="P76" s="379" t="e">
        <f t="shared" si="46"/>
        <v>#REF!</v>
      </c>
      <c r="Q76" s="379" t="e">
        <f t="shared" si="46"/>
        <v>#REF!</v>
      </c>
      <c r="R76" s="379" t="e">
        <f t="shared" si="46"/>
        <v>#REF!</v>
      </c>
      <c r="S76" s="379" t="e">
        <f t="shared" si="46"/>
        <v>#REF!</v>
      </c>
      <c r="T76" s="379" t="e">
        <f t="shared" si="46"/>
        <v>#REF!</v>
      </c>
      <c r="U76" s="379" t="e">
        <f t="shared" si="46"/>
        <v>#REF!</v>
      </c>
      <c r="V76" s="379" t="e">
        <f t="shared" si="46"/>
        <v>#REF!</v>
      </c>
      <c r="W76" s="379" t="e">
        <f>$B$76*0.028634</f>
        <v>#REF!</v>
      </c>
      <c r="X76" s="379" t="e">
        <f>$B$76*0.028634</f>
        <v>#REF!</v>
      </c>
      <c r="Y76" s="379" t="e">
        <f>$B$76*0.026432</f>
        <v>#REF!</v>
      </c>
      <c r="Z76" s="379" t="e">
        <f>$B$76*0.026432</f>
        <v>#REF!</v>
      </c>
      <c r="AA76" s="379" t="e">
        <f>$B$76*0.026432</f>
        <v>#REF!</v>
      </c>
      <c r="AB76" s="379" t="e">
        <f>$B$76*0.024229</f>
        <v>#REF!</v>
      </c>
      <c r="AC76" s="379" t="e">
        <f>$B$76*0.024229</f>
        <v>#REF!</v>
      </c>
      <c r="AD76" s="379" t="e">
        <f>$B$76*0.024229</f>
        <v>#REF!</v>
      </c>
      <c r="AE76" s="379" t="e">
        <f>$B$76*0.022026</f>
        <v>#REF!</v>
      </c>
      <c r="AF76" s="379" t="e">
        <f>$B$76*0.022026</f>
        <v>#REF!</v>
      </c>
      <c r="AG76" s="379" t="e">
        <f>$B$76*0.022026</f>
        <v>#REF!</v>
      </c>
      <c r="AH76" s="379" t="e">
        <f>$B$76*0.019824</f>
        <v>#REF!</v>
      </c>
      <c r="AI76" s="379" t="e">
        <f>$B$76*0.019824</f>
        <v>#REF!</v>
      </c>
      <c r="AJ76" s="379" t="e">
        <f>$B$76*0.019824</f>
        <v>#REF!</v>
      </c>
      <c r="AK76" s="379" t="e">
        <f>$B$76*0.017621</f>
        <v>#REF!</v>
      </c>
      <c r="AL76" s="379" t="e">
        <f>$B$76*0.017621</f>
        <v>#REF!</v>
      </c>
      <c r="AM76" s="379" t="e">
        <f>$B$76*0.017621</f>
        <v>#REF!</v>
      </c>
      <c r="AN76" s="379" t="e">
        <f>$B$76*0.015418</f>
        <v>#REF!</v>
      </c>
      <c r="AO76" s="379" t="e">
        <f>$B$76*0.015418</f>
        <v>#REF!</v>
      </c>
      <c r="AP76" s="379" t="e">
        <f>$B$76*0.013216</f>
        <v>#REF!</v>
      </c>
      <c r="AQ76" s="379" t="e">
        <f>$B$76*0.013216</f>
        <v>#REF!</v>
      </c>
      <c r="AR76" s="379" t="e">
        <f>$B$76*0.011013</f>
        <v>#REF!</v>
      </c>
      <c r="AS76" s="379" t="e">
        <f>$B$76*0.011013</f>
        <v>#REF!</v>
      </c>
      <c r="AT76" s="379" t="e">
        <f>$B$76*0.008811</f>
        <v>#REF!</v>
      </c>
      <c r="AU76" s="379" t="e">
        <f>$B$76*0.006608</f>
        <v>#REF!</v>
      </c>
      <c r="AV76" s="379" t="e">
        <f>$B$76*0.004405</f>
        <v>#REF!</v>
      </c>
      <c r="AW76" s="379" t="e">
        <f>$B$76*0.002203</f>
        <v>#REF!</v>
      </c>
      <c r="AX76" s="386" t="s">
        <v>246</v>
      </c>
      <c r="AY76" s="386" t="s">
        <v>246</v>
      </c>
      <c r="AZ76" s="386" t="s">
        <v>246</v>
      </c>
      <c r="BA76" s="386" t="s">
        <v>246</v>
      </c>
      <c r="BB76" s="386" t="s">
        <v>246</v>
      </c>
      <c r="BC76" s="386" t="s">
        <v>246</v>
      </c>
      <c r="BD76" s="386" t="s">
        <v>246</v>
      </c>
      <c r="BE76" s="386" t="s">
        <v>246</v>
      </c>
      <c r="BF76" s="386" t="s">
        <v>246</v>
      </c>
      <c r="BG76" s="386" t="s">
        <v>246</v>
      </c>
      <c r="BH76" s="386" t="s">
        <v>246</v>
      </c>
      <c r="BI76" s="386" t="s">
        <v>246</v>
      </c>
      <c r="BJ76" s="386" t="s">
        <v>246</v>
      </c>
      <c r="BK76" s="387" t="e">
        <f t="shared" si="44"/>
        <v>#REF!</v>
      </c>
    </row>
    <row r="77" spans="1:63" ht="15" customHeight="1" x14ac:dyDescent="0.25">
      <c r="A77" s="385" t="s">
        <v>256</v>
      </c>
      <c r="B77" s="369" t="e">
        <f>'Feasibility Study'!AY79/1000*0.13</f>
        <v>#REF!</v>
      </c>
      <c r="C77" s="379" t="e">
        <f>$B$77*0.011013</f>
        <v>#REF!</v>
      </c>
      <c r="D77" s="379" t="e">
        <f>$B$77*0.013216</f>
        <v>#REF!</v>
      </c>
      <c r="E77" s="379" t="e">
        <f>$B$77*0.015418</f>
        <v>#REF!</v>
      </c>
      <c r="F77" s="379" t="e">
        <f>$B$77*0.017621</f>
        <v>#REF!</v>
      </c>
      <c r="G77" s="379" t="e">
        <f>$B$77*0.019824</f>
        <v>#REF!</v>
      </c>
      <c r="H77" s="379" t="e">
        <f>$B$77*0.022026</f>
        <v>#REF!</v>
      </c>
      <c r="I77" s="379" t="e">
        <f>$B$77*0.024229</f>
        <v>#REF!</v>
      </c>
      <c r="J77" s="379" t="e">
        <f>$B$77*0.026432</f>
        <v>#REF!</v>
      </c>
      <c r="K77" s="379" t="e">
        <f>$B$77*0.028634</f>
        <v>#REF!</v>
      </c>
      <c r="L77" s="379" t="e">
        <f>$B$77*0.028634</f>
        <v>#REF!</v>
      </c>
      <c r="M77" s="379" t="e">
        <f>$B$77*0.028634</f>
        <v>#REF!</v>
      </c>
      <c r="N77" s="379" t="e">
        <f>$B$77*0.028634</f>
        <v>#REF!</v>
      </c>
      <c r="O77" s="379" t="e">
        <f t="shared" ref="O77:V77" si="47">$B$77*0.030837</f>
        <v>#REF!</v>
      </c>
      <c r="P77" s="379" t="e">
        <f t="shared" si="47"/>
        <v>#REF!</v>
      </c>
      <c r="Q77" s="379" t="e">
        <f t="shared" si="47"/>
        <v>#REF!</v>
      </c>
      <c r="R77" s="379" t="e">
        <f t="shared" si="47"/>
        <v>#REF!</v>
      </c>
      <c r="S77" s="379" t="e">
        <f t="shared" si="47"/>
        <v>#REF!</v>
      </c>
      <c r="T77" s="379" t="e">
        <f t="shared" si="47"/>
        <v>#REF!</v>
      </c>
      <c r="U77" s="379" t="e">
        <f t="shared" si="47"/>
        <v>#REF!</v>
      </c>
      <c r="V77" s="379" t="e">
        <f t="shared" si="47"/>
        <v>#REF!</v>
      </c>
      <c r="W77" s="379" t="e">
        <f>$B$77*0.028634</f>
        <v>#REF!</v>
      </c>
      <c r="X77" s="379" t="e">
        <f>$B$77*0.028634</f>
        <v>#REF!</v>
      </c>
      <c r="Y77" s="379" t="e">
        <f>$B$77*0.026432</f>
        <v>#REF!</v>
      </c>
      <c r="Z77" s="379" t="e">
        <f>$B$77*0.026432</f>
        <v>#REF!</v>
      </c>
      <c r="AA77" s="379" t="e">
        <f>$B$77*0.026432</f>
        <v>#REF!</v>
      </c>
      <c r="AB77" s="379" t="e">
        <f>$B$77*0.024229</f>
        <v>#REF!</v>
      </c>
      <c r="AC77" s="379" t="e">
        <f>$B$77*0.024229</f>
        <v>#REF!</v>
      </c>
      <c r="AD77" s="379" t="e">
        <f>$B$77*0.024229</f>
        <v>#REF!</v>
      </c>
      <c r="AE77" s="379" t="e">
        <f>$B$77*0.022026</f>
        <v>#REF!</v>
      </c>
      <c r="AF77" s="379" t="e">
        <f>$B$77*0.022026</f>
        <v>#REF!</v>
      </c>
      <c r="AG77" s="379" t="e">
        <f>$B$77*0.022026</f>
        <v>#REF!</v>
      </c>
      <c r="AH77" s="379" t="e">
        <f>$B$77*0.019824</f>
        <v>#REF!</v>
      </c>
      <c r="AI77" s="379" t="e">
        <f>$B$77*0.019824</f>
        <v>#REF!</v>
      </c>
      <c r="AJ77" s="379" t="e">
        <f>$B$77*0.019824</f>
        <v>#REF!</v>
      </c>
      <c r="AK77" s="379" t="e">
        <f>$B$77*0.017621</f>
        <v>#REF!</v>
      </c>
      <c r="AL77" s="379" t="e">
        <f>$B$77*0.017621</f>
        <v>#REF!</v>
      </c>
      <c r="AM77" s="379" t="e">
        <f>$B$77*0.017621</f>
        <v>#REF!</v>
      </c>
      <c r="AN77" s="379" t="e">
        <f>$B$77*0.015418</f>
        <v>#REF!</v>
      </c>
      <c r="AO77" s="379" t="e">
        <f>$B$77*0.015418</f>
        <v>#REF!</v>
      </c>
      <c r="AP77" s="379" t="e">
        <f>$B$77*0.013216</f>
        <v>#REF!</v>
      </c>
      <c r="AQ77" s="379" t="e">
        <f>$B$77*0.013216</f>
        <v>#REF!</v>
      </c>
      <c r="AR77" s="379" t="e">
        <f>$B$77*0.011013</f>
        <v>#REF!</v>
      </c>
      <c r="AS77" s="379" t="e">
        <f>$B$77*0.011013</f>
        <v>#REF!</v>
      </c>
      <c r="AT77" s="379" t="e">
        <f>$B$77*0.008811</f>
        <v>#REF!</v>
      </c>
      <c r="AU77" s="379" t="e">
        <f>$B$77*0.006608</f>
        <v>#REF!</v>
      </c>
      <c r="AV77" s="379" t="e">
        <f>$B$77*0.004405</f>
        <v>#REF!</v>
      </c>
      <c r="AW77" s="379" t="e">
        <f>$B$77*0.002203</f>
        <v>#REF!</v>
      </c>
      <c r="AX77" s="386" t="s">
        <v>246</v>
      </c>
      <c r="AY77" s="386" t="s">
        <v>246</v>
      </c>
      <c r="AZ77" s="386" t="s">
        <v>246</v>
      </c>
      <c r="BA77" s="386" t="s">
        <v>246</v>
      </c>
      <c r="BB77" s="386" t="s">
        <v>246</v>
      </c>
      <c r="BC77" s="386" t="s">
        <v>246</v>
      </c>
      <c r="BD77" s="386" t="s">
        <v>246</v>
      </c>
      <c r="BE77" s="386" t="s">
        <v>246</v>
      </c>
      <c r="BF77" s="386" t="s">
        <v>246</v>
      </c>
      <c r="BG77" s="386" t="s">
        <v>246</v>
      </c>
      <c r="BH77" s="386" t="s">
        <v>246</v>
      </c>
      <c r="BI77" s="386" t="s">
        <v>246</v>
      </c>
      <c r="BJ77" s="386" t="s">
        <v>246</v>
      </c>
      <c r="BK77" s="387" t="e">
        <f t="shared" si="44"/>
        <v>#REF!</v>
      </c>
    </row>
    <row r="78" spans="1:63" ht="15" customHeight="1" x14ac:dyDescent="0.25">
      <c r="A78" s="385" t="s">
        <v>257</v>
      </c>
      <c r="B78" s="369" t="e">
        <f>'Feasibility Study'!AY79/1000*0.065</f>
        <v>#REF!</v>
      </c>
      <c r="C78" s="379" t="e">
        <f>$B$78*0.011013</f>
        <v>#REF!</v>
      </c>
      <c r="D78" s="379" t="e">
        <f>$B$78*0.013216</f>
        <v>#REF!</v>
      </c>
      <c r="E78" s="379" t="e">
        <f>$B$78*0.015418</f>
        <v>#REF!</v>
      </c>
      <c r="F78" s="379" t="e">
        <f>$B$78*0.017621</f>
        <v>#REF!</v>
      </c>
      <c r="G78" s="379" t="e">
        <f>$B$78*0.019824</f>
        <v>#REF!</v>
      </c>
      <c r="H78" s="379" t="e">
        <f>$B$78*0.022026</f>
        <v>#REF!</v>
      </c>
      <c r="I78" s="379" t="e">
        <f>$B$78*0.024229</f>
        <v>#REF!</v>
      </c>
      <c r="J78" s="379" t="e">
        <f>$B$78*0.026432</f>
        <v>#REF!</v>
      </c>
      <c r="K78" s="379" t="e">
        <f>$B$78*0.028634</f>
        <v>#REF!</v>
      </c>
      <c r="L78" s="379" t="e">
        <f>$B$78*0.028634</f>
        <v>#REF!</v>
      </c>
      <c r="M78" s="379" t="e">
        <f>$B$78*0.028634</f>
        <v>#REF!</v>
      </c>
      <c r="N78" s="379" t="e">
        <f>$B$78*0.028634</f>
        <v>#REF!</v>
      </c>
      <c r="O78" s="379" t="e">
        <f t="shared" ref="O78:V78" si="48">$B$78*0.030837</f>
        <v>#REF!</v>
      </c>
      <c r="P78" s="379" t="e">
        <f t="shared" si="48"/>
        <v>#REF!</v>
      </c>
      <c r="Q78" s="379" t="e">
        <f t="shared" si="48"/>
        <v>#REF!</v>
      </c>
      <c r="R78" s="379" t="e">
        <f t="shared" si="48"/>
        <v>#REF!</v>
      </c>
      <c r="S78" s="379" t="e">
        <f t="shared" si="48"/>
        <v>#REF!</v>
      </c>
      <c r="T78" s="379" t="e">
        <f t="shared" si="48"/>
        <v>#REF!</v>
      </c>
      <c r="U78" s="379" t="e">
        <f t="shared" si="48"/>
        <v>#REF!</v>
      </c>
      <c r="V78" s="379" t="e">
        <f t="shared" si="48"/>
        <v>#REF!</v>
      </c>
      <c r="W78" s="379" t="e">
        <f>$B$78*0.028634</f>
        <v>#REF!</v>
      </c>
      <c r="X78" s="379" t="e">
        <f>$B$78*0.028634</f>
        <v>#REF!</v>
      </c>
      <c r="Y78" s="379" t="e">
        <f>$B$78*0.026432</f>
        <v>#REF!</v>
      </c>
      <c r="Z78" s="379" t="e">
        <f>$B$78*0.026432</f>
        <v>#REF!</v>
      </c>
      <c r="AA78" s="379" t="e">
        <f>$B$78*0.026432</f>
        <v>#REF!</v>
      </c>
      <c r="AB78" s="379" t="e">
        <f>$B$78*0.024229</f>
        <v>#REF!</v>
      </c>
      <c r="AC78" s="379" t="e">
        <f>$B$78*0.024229</f>
        <v>#REF!</v>
      </c>
      <c r="AD78" s="379" t="e">
        <f>$B$78*0.024229</f>
        <v>#REF!</v>
      </c>
      <c r="AE78" s="379" t="e">
        <f>$B$78*0.022026</f>
        <v>#REF!</v>
      </c>
      <c r="AF78" s="379" t="e">
        <f>$B$78*0.022026</f>
        <v>#REF!</v>
      </c>
      <c r="AG78" s="379" t="e">
        <f>$B$78*0.022026</f>
        <v>#REF!</v>
      </c>
      <c r="AH78" s="379" t="e">
        <f>$B$78*0.019824</f>
        <v>#REF!</v>
      </c>
      <c r="AI78" s="379" t="e">
        <f>$B$78*0.019824</f>
        <v>#REF!</v>
      </c>
      <c r="AJ78" s="379" t="e">
        <f>$B$78*0.019824</f>
        <v>#REF!</v>
      </c>
      <c r="AK78" s="379" t="e">
        <f>$B$78*0.017621</f>
        <v>#REF!</v>
      </c>
      <c r="AL78" s="379" t="e">
        <f>$B$78*0.017621</f>
        <v>#REF!</v>
      </c>
      <c r="AM78" s="379" t="e">
        <f>$B$78*0.017621</f>
        <v>#REF!</v>
      </c>
      <c r="AN78" s="379" t="e">
        <f>$B$78*0.015418</f>
        <v>#REF!</v>
      </c>
      <c r="AO78" s="379" t="e">
        <f>$B$78*0.015418</f>
        <v>#REF!</v>
      </c>
      <c r="AP78" s="379" t="e">
        <f>$B$78*0.013216</f>
        <v>#REF!</v>
      </c>
      <c r="AQ78" s="379" t="e">
        <f>$B$78*0.013216</f>
        <v>#REF!</v>
      </c>
      <c r="AR78" s="379" t="e">
        <f>$B$78*0.011013</f>
        <v>#REF!</v>
      </c>
      <c r="AS78" s="379" t="e">
        <f>$B$78*0.011013</f>
        <v>#REF!</v>
      </c>
      <c r="AT78" s="379" t="e">
        <f>$B$78*0.008811</f>
        <v>#REF!</v>
      </c>
      <c r="AU78" s="379" t="e">
        <f>$B$78*0.006608</f>
        <v>#REF!</v>
      </c>
      <c r="AV78" s="379" t="e">
        <f>$B$78*0.004405</f>
        <v>#REF!</v>
      </c>
      <c r="AW78" s="379" t="e">
        <f>$B$78*0.002203</f>
        <v>#REF!</v>
      </c>
      <c r="AX78" s="386" t="s">
        <v>246</v>
      </c>
      <c r="AY78" s="386" t="s">
        <v>246</v>
      </c>
      <c r="AZ78" s="386" t="s">
        <v>246</v>
      </c>
      <c r="BA78" s="386" t="s">
        <v>246</v>
      </c>
      <c r="BB78" s="386" t="s">
        <v>246</v>
      </c>
      <c r="BC78" s="386" t="s">
        <v>246</v>
      </c>
      <c r="BD78" s="386" t="s">
        <v>246</v>
      </c>
      <c r="BE78" s="386" t="s">
        <v>246</v>
      </c>
      <c r="BF78" s="386" t="s">
        <v>246</v>
      </c>
      <c r="BG78" s="386" t="s">
        <v>246</v>
      </c>
      <c r="BH78" s="386" t="s">
        <v>246</v>
      </c>
      <c r="BI78" s="386" t="s">
        <v>246</v>
      </c>
      <c r="BJ78" s="386" t="s">
        <v>246</v>
      </c>
      <c r="BK78" s="387" t="e">
        <f t="shared" si="44"/>
        <v>#REF!</v>
      </c>
    </row>
    <row r="79" spans="1:63" ht="15" customHeight="1" x14ac:dyDescent="0.25">
      <c r="A79" s="388" t="s">
        <v>258</v>
      </c>
      <c r="C79" s="387">
        <f t="shared" ref="C79:AH79" si="49">IF(ISNUMBER(C74),C74,0)+IF(ISNUMBER(C75),C75,0)+IF(ISNUMBER(C76),C76,0)+IF(ISNUMBER(C77),C77,0)+IF(ISNUMBER(C78),C78,0)</f>
        <v>0</v>
      </c>
      <c r="D79" s="387">
        <f t="shared" si="49"/>
        <v>0</v>
      </c>
      <c r="E79" s="387">
        <f t="shared" si="49"/>
        <v>0</v>
      </c>
      <c r="F79" s="387">
        <f t="shared" si="49"/>
        <v>0</v>
      </c>
      <c r="G79" s="387">
        <f t="shared" si="49"/>
        <v>0</v>
      </c>
      <c r="H79" s="387">
        <f t="shared" si="49"/>
        <v>0</v>
      </c>
      <c r="I79" s="387">
        <f t="shared" si="49"/>
        <v>0</v>
      </c>
      <c r="J79" s="387">
        <f t="shared" si="49"/>
        <v>0</v>
      </c>
      <c r="K79" s="387">
        <f t="shared" si="49"/>
        <v>0</v>
      </c>
      <c r="L79" s="387">
        <f t="shared" si="49"/>
        <v>0</v>
      </c>
      <c r="M79" s="387">
        <f t="shared" si="49"/>
        <v>0</v>
      </c>
      <c r="N79" s="387">
        <f t="shared" si="49"/>
        <v>0</v>
      </c>
      <c r="O79" s="387">
        <f t="shared" si="49"/>
        <v>0</v>
      </c>
      <c r="P79" s="387">
        <f t="shared" si="49"/>
        <v>0</v>
      </c>
      <c r="Q79" s="387">
        <f t="shared" si="49"/>
        <v>0</v>
      </c>
      <c r="R79" s="387">
        <f t="shared" si="49"/>
        <v>0</v>
      </c>
      <c r="S79" s="387">
        <f t="shared" si="49"/>
        <v>0</v>
      </c>
      <c r="T79" s="387">
        <f t="shared" si="49"/>
        <v>0</v>
      </c>
      <c r="U79" s="387">
        <f t="shared" si="49"/>
        <v>0</v>
      </c>
      <c r="V79" s="387">
        <f t="shared" si="49"/>
        <v>0</v>
      </c>
      <c r="W79" s="387">
        <f t="shared" si="49"/>
        <v>0</v>
      </c>
      <c r="X79" s="387">
        <f t="shared" si="49"/>
        <v>0</v>
      </c>
      <c r="Y79" s="387">
        <f t="shared" si="49"/>
        <v>0</v>
      </c>
      <c r="Z79" s="387">
        <f t="shared" si="49"/>
        <v>0</v>
      </c>
      <c r="AA79" s="387">
        <f t="shared" si="49"/>
        <v>0</v>
      </c>
      <c r="AB79" s="387">
        <f t="shared" si="49"/>
        <v>0</v>
      </c>
      <c r="AC79" s="387">
        <f t="shared" si="49"/>
        <v>0</v>
      </c>
      <c r="AD79" s="387">
        <f t="shared" si="49"/>
        <v>0</v>
      </c>
      <c r="AE79" s="387">
        <f t="shared" si="49"/>
        <v>0</v>
      </c>
      <c r="AF79" s="387">
        <f t="shared" si="49"/>
        <v>0</v>
      </c>
      <c r="AG79" s="387">
        <f t="shared" si="49"/>
        <v>0</v>
      </c>
      <c r="AH79" s="387">
        <f t="shared" si="49"/>
        <v>0</v>
      </c>
      <c r="AI79" s="387">
        <f t="shared" ref="AI79:BJ79" si="50">IF(ISNUMBER(AI74),AI74,0)+IF(ISNUMBER(AI75),AI75,0)+IF(ISNUMBER(AI76),AI76,0)+IF(ISNUMBER(AI77),AI77,0)+IF(ISNUMBER(AI78),AI78,0)</f>
        <v>0</v>
      </c>
      <c r="AJ79" s="387">
        <f t="shared" si="50"/>
        <v>0</v>
      </c>
      <c r="AK79" s="387">
        <f t="shared" si="50"/>
        <v>0</v>
      </c>
      <c r="AL79" s="387">
        <f t="shared" si="50"/>
        <v>0</v>
      </c>
      <c r="AM79" s="387">
        <f t="shared" si="50"/>
        <v>0</v>
      </c>
      <c r="AN79" s="387">
        <f t="shared" si="50"/>
        <v>0</v>
      </c>
      <c r="AO79" s="387">
        <f t="shared" si="50"/>
        <v>0</v>
      </c>
      <c r="AP79" s="387">
        <f t="shared" si="50"/>
        <v>0</v>
      </c>
      <c r="AQ79" s="387">
        <f t="shared" si="50"/>
        <v>0</v>
      </c>
      <c r="AR79" s="387">
        <f t="shared" si="50"/>
        <v>0</v>
      </c>
      <c r="AS79" s="387">
        <f t="shared" si="50"/>
        <v>0</v>
      </c>
      <c r="AT79" s="387">
        <f t="shared" si="50"/>
        <v>0</v>
      </c>
      <c r="AU79" s="387">
        <f t="shared" si="50"/>
        <v>0</v>
      </c>
      <c r="AV79" s="387">
        <f t="shared" si="50"/>
        <v>0</v>
      </c>
      <c r="AW79" s="387">
        <f t="shared" si="50"/>
        <v>0</v>
      </c>
      <c r="AX79" s="387">
        <f t="shared" si="50"/>
        <v>0</v>
      </c>
      <c r="AY79" s="387">
        <f t="shared" si="50"/>
        <v>0</v>
      </c>
      <c r="AZ79" s="387">
        <f t="shared" si="50"/>
        <v>0</v>
      </c>
      <c r="BA79" s="387">
        <f t="shared" si="50"/>
        <v>0</v>
      </c>
      <c r="BB79" s="387">
        <f t="shared" si="50"/>
        <v>0</v>
      </c>
      <c r="BC79" s="387">
        <f t="shared" si="50"/>
        <v>0</v>
      </c>
      <c r="BD79" s="387">
        <f t="shared" si="50"/>
        <v>0</v>
      </c>
      <c r="BE79" s="387">
        <f t="shared" si="50"/>
        <v>0</v>
      </c>
      <c r="BF79" s="387">
        <f t="shared" si="50"/>
        <v>0</v>
      </c>
      <c r="BG79" s="387">
        <f t="shared" si="50"/>
        <v>0</v>
      </c>
      <c r="BH79" s="387">
        <f t="shared" si="50"/>
        <v>0</v>
      </c>
      <c r="BI79" s="387">
        <f t="shared" si="50"/>
        <v>0</v>
      </c>
      <c r="BJ79" s="387">
        <f t="shared" si="50"/>
        <v>0</v>
      </c>
      <c r="BK79" s="387">
        <f t="shared" si="44"/>
        <v>0</v>
      </c>
    </row>
    <row r="81" spans="1:63" ht="15" customHeight="1" x14ac:dyDescent="0.25">
      <c r="A81" s="569" t="s">
        <v>259</v>
      </c>
      <c r="B81" s="569"/>
      <c r="C81" s="569"/>
      <c r="D81" s="569"/>
      <c r="E81" s="569"/>
      <c r="F81" s="569"/>
      <c r="G81" s="569"/>
      <c r="H81" s="569"/>
      <c r="I81" s="569"/>
      <c r="J81" s="569"/>
      <c r="K81" s="569"/>
      <c r="L81" s="569"/>
      <c r="M81" s="569"/>
      <c r="N81" s="569"/>
      <c r="O81" s="569"/>
      <c r="P81" s="569"/>
      <c r="Q81" s="569"/>
      <c r="R81" s="569"/>
      <c r="S81" s="569"/>
      <c r="T81" s="569"/>
      <c r="U81" s="569"/>
      <c r="V81" s="569"/>
      <c r="W81" s="569"/>
      <c r="X81" s="569"/>
      <c r="Y81" s="569"/>
      <c r="Z81" s="569"/>
      <c r="AA81" s="569"/>
      <c r="AB81" s="569"/>
      <c r="AC81" s="569"/>
      <c r="AD81" s="569"/>
      <c r="AE81" s="569"/>
      <c r="AF81" s="569"/>
      <c r="AG81" s="569"/>
      <c r="AH81" s="569"/>
      <c r="AI81" s="569"/>
      <c r="AJ81" s="569"/>
      <c r="AK81" s="569"/>
      <c r="AL81" s="569"/>
      <c r="AM81" s="569"/>
      <c r="AN81" s="569"/>
      <c r="AO81" s="569"/>
      <c r="AP81" s="569"/>
      <c r="AQ81" s="569"/>
      <c r="AR81" s="569"/>
      <c r="AS81" s="569"/>
      <c r="AT81" s="569"/>
      <c r="AU81" s="569"/>
      <c r="AV81" s="569"/>
      <c r="AW81" s="569"/>
      <c r="AX81" s="569"/>
      <c r="AY81" s="569"/>
      <c r="AZ81" s="569"/>
      <c r="BA81" s="569"/>
      <c r="BB81" s="569"/>
      <c r="BC81" s="569"/>
      <c r="BD81" s="569"/>
      <c r="BE81" s="569"/>
      <c r="BF81" s="569"/>
      <c r="BG81" s="569"/>
      <c r="BH81" s="569"/>
      <c r="BI81" s="569"/>
      <c r="BJ81" s="569"/>
      <c r="BK81" s="569"/>
    </row>
    <row r="82" spans="1:63" ht="15" customHeight="1" x14ac:dyDescent="0.25">
      <c r="A82" s="383" t="s">
        <v>244</v>
      </c>
      <c r="B82" s="383" t="s">
        <v>252</v>
      </c>
      <c r="C82" s="384" t="s">
        <v>205</v>
      </c>
      <c r="D82" s="384" t="s">
        <v>206</v>
      </c>
      <c r="E82" s="384" t="s">
        <v>207</v>
      </c>
      <c r="F82" s="384" t="s">
        <v>208</v>
      </c>
      <c r="G82" s="384" t="s">
        <v>209</v>
      </c>
      <c r="H82" s="384" t="s">
        <v>210</v>
      </c>
      <c r="I82" s="384" t="s">
        <v>211</v>
      </c>
      <c r="J82" s="384" t="s">
        <v>212</v>
      </c>
      <c r="K82" s="384" t="s">
        <v>213</v>
      </c>
      <c r="L82" s="384" t="s">
        <v>214</v>
      </c>
      <c r="M82" s="384" t="s">
        <v>215</v>
      </c>
      <c r="N82" s="384" t="s">
        <v>216</v>
      </c>
      <c r="O82" s="384" t="s">
        <v>205</v>
      </c>
      <c r="P82" s="384" t="s">
        <v>206</v>
      </c>
      <c r="Q82" s="384" t="s">
        <v>207</v>
      </c>
      <c r="R82" s="384" t="s">
        <v>208</v>
      </c>
      <c r="S82" s="384" t="s">
        <v>209</v>
      </c>
      <c r="T82" s="384" t="s">
        <v>210</v>
      </c>
      <c r="U82" s="384" t="s">
        <v>211</v>
      </c>
      <c r="V82" s="384" t="s">
        <v>212</v>
      </c>
      <c r="W82" s="384" t="s">
        <v>213</v>
      </c>
      <c r="X82" s="384" t="s">
        <v>214</v>
      </c>
      <c r="Y82" s="384" t="s">
        <v>215</v>
      </c>
      <c r="Z82" s="384" t="s">
        <v>216</v>
      </c>
      <c r="AA82" s="384" t="s">
        <v>205</v>
      </c>
      <c r="AB82" s="384" t="s">
        <v>206</v>
      </c>
      <c r="AC82" s="384" t="s">
        <v>207</v>
      </c>
      <c r="AD82" s="384" t="s">
        <v>208</v>
      </c>
      <c r="AE82" s="384" t="s">
        <v>209</v>
      </c>
      <c r="AF82" s="384" t="s">
        <v>210</v>
      </c>
      <c r="AG82" s="384" t="s">
        <v>211</v>
      </c>
      <c r="AH82" s="384" t="s">
        <v>212</v>
      </c>
      <c r="AI82" s="384" t="s">
        <v>213</v>
      </c>
      <c r="AJ82" s="384" t="s">
        <v>214</v>
      </c>
      <c r="AK82" s="384" t="s">
        <v>215</v>
      </c>
      <c r="AL82" s="384" t="s">
        <v>216</v>
      </c>
      <c r="AM82" s="384" t="s">
        <v>205</v>
      </c>
      <c r="AN82" s="384" t="s">
        <v>206</v>
      </c>
      <c r="AO82" s="384" t="s">
        <v>207</v>
      </c>
      <c r="AP82" s="384" t="s">
        <v>208</v>
      </c>
      <c r="AQ82" s="384" t="s">
        <v>209</v>
      </c>
      <c r="AR82" s="384" t="s">
        <v>210</v>
      </c>
      <c r="AS82" s="384" t="s">
        <v>211</v>
      </c>
      <c r="AT82" s="384" t="s">
        <v>212</v>
      </c>
      <c r="AU82" s="384" t="s">
        <v>213</v>
      </c>
      <c r="AV82" s="384" t="s">
        <v>214</v>
      </c>
      <c r="AW82" s="384" t="s">
        <v>215</v>
      </c>
      <c r="AX82" s="384" t="s">
        <v>216</v>
      </c>
      <c r="AY82" s="384" t="s">
        <v>205</v>
      </c>
      <c r="AZ82" s="384" t="s">
        <v>206</v>
      </c>
      <c r="BA82" s="384" t="s">
        <v>207</v>
      </c>
      <c r="BB82" s="384" t="s">
        <v>208</v>
      </c>
      <c r="BC82" s="384" t="s">
        <v>209</v>
      </c>
      <c r="BD82" s="384" t="s">
        <v>210</v>
      </c>
      <c r="BE82" s="384" t="s">
        <v>211</v>
      </c>
      <c r="BF82" s="384" t="s">
        <v>212</v>
      </c>
      <c r="BG82" s="384" t="s">
        <v>213</v>
      </c>
      <c r="BH82" s="384" t="s">
        <v>214</v>
      </c>
      <c r="BI82" s="384" t="s">
        <v>215</v>
      </c>
      <c r="BJ82" s="384" t="s">
        <v>216</v>
      </c>
      <c r="BK82" s="383" t="s">
        <v>241</v>
      </c>
    </row>
    <row r="83" spans="1:63" ht="15" customHeight="1" x14ac:dyDescent="0.25">
      <c r="A83" s="385" t="s">
        <v>260</v>
      </c>
      <c r="B83" s="369" t="e">
        <f>'Feasibility Study'!AY61/1000*0.04</f>
        <v>#REF!</v>
      </c>
      <c r="C83" s="379" t="e">
        <f t="shared" ref="C83:AH83" si="51">IF($B$83=0,0,$B$83/60)</f>
        <v>#REF!</v>
      </c>
      <c r="D83" s="379" t="e">
        <f t="shared" si="51"/>
        <v>#REF!</v>
      </c>
      <c r="E83" s="379" t="e">
        <f t="shared" si="51"/>
        <v>#REF!</v>
      </c>
      <c r="F83" s="379" t="e">
        <f t="shared" si="51"/>
        <v>#REF!</v>
      </c>
      <c r="G83" s="379" t="e">
        <f t="shared" si="51"/>
        <v>#REF!</v>
      </c>
      <c r="H83" s="379" t="e">
        <f t="shared" si="51"/>
        <v>#REF!</v>
      </c>
      <c r="I83" s="379" t="e">
        <f t="shared" si="51"/>
        <v>#REF!</v>
      </c>
      <c r="J83" s="379" t="e">
        <f t="shared" si="51"/>
        <v>#REF!</v>
      </c>
      <c r="K83" s="379" t="e">
        <f t="shared" si="51"/>
        <v>#REF!</v>
      </c>
      <c r="L83" s="379" t="e">
        <f t="shared" si="51"/>
        <v>#REF!</v>
      </c>
      <c r="M83" s="379" t="e">
        <f t="shared" si="51"/>
        <v>#REF!</v>
      </c>
      <c r="N83" s="379" t="e">
        <f t="shared" si="51"/>
        <v>#REF!</v>
      </c>
      <c r="O83" s="379" t="e">
        <f t="shared" si="51"/>
        <v>#REF!</v>
      </c>
      <c r="P83" s="379" t="e">
        <f t="shared" si="51"/>
        <v>#REF!</v>
      </c>
      <c r="Q83" s="379" t="e">
        <f t="shared" si="51"/>
        <v>#REF!</v>
      </c>
      <c r="R83" s="379" t="e">
        <f t="shared" si="51"/>
        <v>#REF!</v>
      </c>
      <c r="S83" s="379" t="e">
        <f t="shared" si="51"/>
        <v>#REF!</v>
      </c>
      <c r="T83" s="379" t="e">
        <f t="shared" si="51"/>
        <v>#REF!</v>
      </c>
      <c r="U83" s="379" t="e">
        <f t="shared" si="51"/>
        <v>#REF!</v>
      </c>
      <c r="V83" s="379" t="e">
        <f t="shared" si="51"/>
        <v>#REF!</v>
      </c>
      <c r="W83" s="379" t="e">
        <f t="shared" si="51"/>
        <v>#REF!</v>
      </c>
      <c r="X83" s="379" t="e">
        <f t="shared" si="51"/>
        <v>#REF!</v>
      </c>
      <c r="Y83" s="379" t="e">
        <f t="shared" si="51"/>
        <v>#REF!</v>
      </c>
      <c r="Z83" s="379" t="e">
        <f t="shared" si="51"/>
        <v>#REF!</v>
      </c>
      <c r="AA83" s="379" t="e">
        <f t="shared" si="51"/>
        <v>#REF!</v>
      </c>
      <c r="AB83" s="379" t="e">
        <f t="shared" si="51"/>
        <v>#REF!</v>
      </c>
      <c r="AC83" s="379" t="e">
        <f t="shared" si="51"/>
        <v>#REF!</v>
      </c>
      <c r="AD83" s="379" t="e">
        <f t="shared" si="51"/>
        <v>#REF!</v>
      </c>
      <c r="AE83" s="379" t="e">
        <f t="shared" si="51"/>
        <v>#REF!</v>
      </c>
      <c r="AF83" s="379" t="e">
        <f t="shared" si="51"/>
        <v>#REF!</v>
      </c>
      <c r="AG83" s="379" t="e">
        <f t="shared" si="51"/>
        <v>#REF!</v>
      </c>
      <c r="AH83" s="379" t="e">
        <f t="shared" si="51"/>
        <v>#REF!</v>
      </c>
      <c r="AI83" s="379" t="e">
        <f t="shared" ref="AI83:BJ83" si="52">IF($B$83=0,0,$B$83/60)</f>
        <v>#REF!</v>
      </c>
      <c r="AJ83" s="379" t="e">
        <f t="shared" si="52"/>
        <v>#REF!</v>
      </c>
      <c r="AK83" s="379" t="e">
        <f t="shared" si="52"/>
        <v>#REF!</v>
      </c>
      <c r="AL83" s="379" t="e">
        <f t="shared" si="52"/>
        <v>#REF!</v>
      </c>
      <c r="AM83" s="379" t="e">
        <f t="shared" si="52"/>
        <v>#REF!</v>
      </c>
      <c r="AN83" s="379" t="e">
        <f t="shared" si="52"/>
        <v>#REF!</v>
      </c>
      <c r="AO83" s="379" t="e">
        <f t="shared" si="52"/>
        <v>#REF!</v>
      </c>
      <c r="AP83" s="379" t="e">
        <f t="shared" si="52"/>
        <v>#REF!</v>
      </c>
      <c r="AQ83" s="379" t="e">
        <f t="shared" si="52"/>
        <v>#REF!</v>
      </c>
      <c r="AR83" s="379" t="e">
        <f t="shared" si="52"/>
        <v>#REF!</v>
      </c>
      <c r="AS83" s="379" t="e">
        <f t="shared" si="52"/>
        <v>#REF!</v>
      </c>
      <c r="AT83" s="379" t="e">
        <f t="shared" si="52"/>
        <v>#REF!</v>
      </c>
      <c r="AU83" s="379" t="e">
        <f t="shared" si="52"/>
        <v>#REF!</v>
      </c>
      <c r="AV83" s="379" t="e">
        <f t="shared" si="52"/>
        <v>#REF!</v>
      </c>
      <c r="AW83" s="379" t="e">
        <f t="shared" si="52"/>
        <v>#REF!</v>
      </c>
      <c r="AX83" s="379" t="e">
        <f t="shared" si="52"/>
        <v>#REF!</v>
      </c>
      <c r="AY83" s="379" t="e">
        <f t="shared" si="52"/>
        <v>#REF!</v>
      </c>
      <c r="AZ83" s="379" t="e">
        <f t="shared" si="52"/>
        <v>#REF!</v>
      </c>
      <c r="BA83" s="379" t="e">
        <f t="shared" si="52"/>
        <v>#REF!</v>
      </c>
      <c r="BB83" s="379" t="e">
        <f t="shared" si="52"/>
        <v>#REF!</v>
      </c>
      <c r="BC83" s="379" t="e">
        <f t="shared" si="52"/>
        <v>#REF!</v>
      </c>
      <c r="BD83" s="379" t="e">
        <f t="shared" si="52"/>
        <v>#REF!</v>
      </c>
      <c r="BE83" s="379" t="e">
        <f t="shared" si="52"/>
        <v>#REF!</v>
      </c>
      <c r="BF83" s="379" t="e">
        <f t="shared" si="52"/>
        <v>#REF!</v>
      </c>
      <c r="BG83" s="379" t="e">
        <f t="shared" si="52"/>
        <v>#REF!</v>
      </c>
      <c r="BH83" s="379" t="e">
        <f t="shared" si="52"/>
        <v>#REF!</v>
      </c>
      <c r="BI83" s="379" t="e">
        <f t="shared" si="52"/>
        <v>#REF!</v>
      </c>
      <c r="BJ83" s="379" t="e">
        <f t="shared" si="52"/>
        <v>#REF!</v>
      </c>
      <c r="BK83" s="387" t="e">
        <f t="shared" ref="BK83:BK89" si="53">SUM(C83:BJ83)</f>
        <v>#REF!</v>
      </c>
    </row>
    <row r="84" spans="1:63" ht="15" customHeight="1" x14ac:dyDescent="0.25">
      <c r="A84" s="385" t="s">
        <v>261</v>
      </c>
      <c r="B84" s="369" t="e">
        <f>'Feasibility Study'!AY61/1000*0.014</f>
        <v>#REF!</v>
      </c>
      <c r="C84" s="379" t="e">
        <f t="shared" ref="C84:AH84" si="54">IF($B$84=0,0,$B$84/60)</f>
        <v>#REF!</v>
      </c>
      <c r="D84" s="379" t="e">
        <f t="shared" si="54"/>
        <v>#REF!</v>
      </c>
      <c r="E84" s="379" t="e">
        <f t="shared" si="54"/>
        <v>#REF!</v>
      </c>
      <c r="F84" s="379" t="e">
        <f t="shared" si="54"/>
        <v>#REF!</v>
      </c>
      <c r="G84" s="379" t="e">
        <f t="shared" si="54"/>
        <v>#REF!</v>
      </c>
      <c r="H84" s="379" t="e">
        <f t="shared" si="54"/>
        <v>#REF!</v>
      </c>
      <c r="I84" s="379" t="e">
        <f t="shared" si="54"/>
        <v>#REF!</v>
      </c>
      <c r="J84" s="379" t="e">
        <f t="shared" si="54"/>
        <v>#REF!</v>
      </c>
      <c r="K84" s="379" t="e">
        <f t="shared" si="54"/>
        <v>#REF!</v>
      </c>
      <c r="L84" s="379" t="e">
        <f t="shared" si="54"/>
        <v>#REF!</v>
      </c>
      <c r="M84" s="379" t="e">
        <f t="shared" si="54"/>
        <v>#REF!</v>
      </c>
      <c r="N84" s="379" t="e">
        <f t="shared" si="54"/>
        <v>#REF!</v>
      </c>
      <c r="O84" s="379" t="e">
        <f t="shared" si="54"/>
        <v>#REF!</v>
      </c>
      <c r="P84" s="379" t="e">
        <f t="shared" si="54"/>
        <v>#REF!</v>
      </c>
      <c r="Q84" s="379" t="e">
        <f t="shared" si="54"/>
        <v>#REF!</v>
      </c>
      <c r="R84" s="379" t="e">
        <f t="shared" si="54"/>
        <v>#REF!</v>
      </c>
      <c r="S84" s="379" t="e">
        <f t="shared" si="54"/>
        <v>#REF!</v>
      </c>
      <c r="T84" s="379" t="e">
        <f t="shared" si="54"/>
        <v>#REF!</v>
      </c>
      <c r="U84" s="379" t="e">
        <f t="shared" si="54"/>
        <v>#REF!</v>
      </c>
      <c r="V84" s="379" t="e">
        <f t="shared" si="54"/>
        <v>#REF!</v>
      </c>
      <c r="W84" s="379" t="e">
        <f t="shared" si="54"/>
        <v>#REF!</v>
      </c>
      <c r="X84" s="379" t="e">
        <f t="shared" si="54"/>
        <v>#REF!</v>
      </c>
      <c r="Y84" s="379" t="e">
        <f t="shared" si="54"/>
        <v>#REF!</v>
      </c>
      <c r="Z84" s="379" t="e">
        <f t="shared" si="54"/>
        <v>#REF!</v>
      </c>
      <c r="AA84" s="379" t="e">
        <f t="shared" si="54"/>
        <v>#REF!</v>
      </c>
      <c r="AB84" s="379" t="e">
        <f t="shared" si="54"/>
        <v>#REF!</v>
      </c>
      <c r="AC84" s="379" t="e">
        <f t="shared" si="54"/>
        <v>#REF!</v>
      </c>
      <c r="AD84" s="379" t="e">
        <f t="shared" si="54"/>
        <v>#REF!</v>
      </c>
      <c r="AE84" s="379" t="e">
        <f t="shared" si="54"/>
        <v>#REF!</v>
      </c>
      <c r="AF84" s="379" t="e">
        <f t="shared" si="54"/>
        <v>#REF!</v>
      </c>
      <c r="AG84" s="379" t="e">
        <f t="shared" si="54"/>
        <v>#REF!</v>
      </c>
      <c r="AH84" s="379" t="e">
        <f t="shared" si="54"/>
        <v>#REF!</v>
      </c>
      <c r="AI84" s="379" t="e">
        <f t="shared" ref="AI84:BJ84" si="55">IF($B$84=0,0,$B$84/60)</f>
        <v>#REF!</v>
      </c>
      <c r="AJ84" s="379" t="e">
        <f t="shared" si="55"/>
        <v>#REF!</v>
      </c>
      <c r="AK84" s="379" t="e">
        <f t="shared" si="55"/>
        <v>#REF!</v>
      </c>
      <c r="AL84" s="379" t="e">
        <f t="shared" si="55"/>
        <v>#REF!</v>
      </c>
      <c r="AM84" s="379" t="e">
        <f t="shared" si="55"/>
        <v>#REF!</v>
      </c>
      <c r="AN84" s="379" t="e">
        <f t="shared" si="55"/>
        <v>#REF!</v>
      </c>
      <c r="AO84" s="379" t="e">
        <f t="shared" si="55"/>
        <v>#REF!</v>
      </c>
      <c r="AP84" s="379" t="e">
        <f t="shared" si="55"/>
        <v>#REF!</v>
      </c>
      <c r="AQ84" s="379" t="e">
        <f t="shared" si="55"/>
        <v>#REF!</v>
      </c>
      <c r="AR84" s="379" t="e">
        <f t="shared" si="55"/>
        <v>#REF!</v>
      </c>
      <c r="AS84" s="379" t="e">
        <f t="shared" si="55"/>
        <v>#REF!</v>
      </c>
      <c r="AT84" s="379" t="e">
        <f t="shared" si="55"/>
        <v>#REF!</v>
      </c>
      <c r="AU84" s="379" t="e">
        <f t="shared" si="55"/>
        <v>#REF!</v>
      </c>
      <c r="AV84" s="379" t="e">
        <f t="shared" si="55"/>
        <v>#REF!</v>
      </c>
      <c r="AW84" s="379" t="e">
        <f t="shared" si="55"/>
        <v>#REF!</v>
      </c>
      <c r="AX84" s="379" t="e">
        <f t="shared" si="55"/>
        <v>#REF!</v>
      </c>
      <c r="AY84" s="379" t="e">
        <f t="shared" si="55"/>
        <v>#REF!</v>
      </c>
      <c r="AZ84" s="379" t="e">
        <f t="shared" si="55"/>
        <v>#REF!</v>
      </c>
      <c r="BA84" s="379" t="e">
        <f t="shared" si="55"/>
        <v>#REF!</v>
      </c>
      <c r="BB84" s="379" t="e">
        <f t="shared" si="55"/>
        <v>#REF!</v>
      </c>
      <c r="BC84" s="379" t="e">
        <f t="shared" si="55"/>
        <v>#REF!</v>
      </c>
      <c r="BD84" s="379" t="e">
        <f t="shared" si="55"/>
        <v>#REF!</v>
      </c>
      <c r="BE84" s="379" t="e">
        <f t="shared" si="55"/>
        <v>#REF!</v>
      </c>
      <c r="BF84" s="379" t="e">
        <f t="shared" si="55"/>
        <v>#REF!</v>
      </c>
      <c r="BG84" s="379" t="e">
        <f t="shared" si="55"/>
        <v>#REF!</v>
      </c>
      <c r="BH84" s="379" t="e">
        <f t="shared" si="55"/>
        <v>#REF!</v>
      </c>
      <c r="BI84" s="379" t="e">
        <f t="shared" si="55"/>
        <v>#REF!</v>
      </c>
      <c r="BJ84" s="379" t="e">
        <f t="shared" si="55"/>
        <v>#REF!</v>
      </c>
      <c r="BK84" s="387" t="e">
        <f t="shared" si="53"/>
        <v>#REF!</v>
      </c>
    </row>
    <row r="85" spans="1:63" ht="15" customHeight="1" x14ac:dyDescent="0.25">
      <c r="A85" s="385" t="s">
        <v>262</v>
      </c>
      <c r="B85" s="369" t="e">
        <f>'Feasibility Study'!AY61/1000*0.03</f>
        <v>#REF!</v>
      </c>
      <c r="C85" s="379" t="e">
        <f t="shared" ref="C85:AH85" si="56">IF($B$85=0,0,$B$85/60)</f>
        <v>#REF!</v>
      </c>
      <c r="D85" s="379" t="e">
        <f t="shared" si="56"/>
        <v>#REF!</v>
      </c>
      <c r="E85" s="379" t="e">
        <f t="shared" si="56"/>
        <v>#REF!</v>
      </c>
      <c r="F85" s="379" t="e">
        <f t="shared" si="56"/>
        <v>#REF!</v>
      </c>
      <c r="G85" s="379" t="e">
        <f t="shared" si="56"/>
        <v>#REF!</v>
      </c>
      <c r="H85" s="379" t="e">
        <f t="shared" si="56"/>
        <v>#REF!</v>
      </c>
      <c r="I85" s="379" t="e">
        <f t="shared" si="56"/>
        <v>#REF!</v>
      </c>
      <c r="J85" s="379" t="e">
        <f t="shared" si="56"/>
        <v>#REF!</v>
      </c>
      <c r="K85" s="379" t="e">
        <f t="shared" si="56"/>
        <v>#REF!</v>
      </c>
      <c r="L85" s="379" t="e">
        <f t="shared" si="56"/>
        <v>#REF!</v>
      </c>
      <c r="M85" s="379" t="e">
        <f t="shared" si="56"/>
        <v>#REF!</v>
      </c>
      <c r="N85" s="379" t="e">
        <f t="shared" si="56"/>
        <v>#REF!</v>
      </c>
      <c r="O85" s="379" t="e">
        <f t="shared" si="56"/>
        <v>#REF!</v>
      </c>
      <c r="P85" s="379" t="e">
        <f t="shared" si="56"/>
        <v>#REF!</v>
      </c>
      <c r="Q85" s="379" t="e">
        <f t="shared" si="56"/>
        <v>#REF!</v>
      </c>
      <c r="R85" s="379" t="e">
        <f t="shared" si="56"/>
        <v>#REF!</v>
      </c>
      <c r="S85" s="379" t="e">
        <f t="shared" si="56"/>
        <v>#REF!</v>
      </c>
      <c r="T85" s="379" t="e">
        <f t="shared" si="56"/>
        <v>#REF!</v>
      </c>
      <c r="U85" s="379" t="e">
        <f t="shared" si="56"/>
        <v>#REF!</v>
      </c>
      <c r="V85" s="379" t="e">
        <f t="shared" si="56"/>
        <v>#REF!</v>
      </c>
      <c r="W85" s="379" t="e">
        <f t="shared" si="56"/>
        <v>#REF!</v>
      </c>
      <c r="X85" s="379" t="e">
        <f t="shared" si="56"/>
        <v>#REF!</v>
      </c>
      <c r="Y85" s="379" t="e">
        <f t="shared" si="56"/>
        <v>#REF!</v>
      </c>
      <c r="Z85" s="379" t="e">
        <f t="shared" si="56"/>
        <v>#REF!</v>
      </c>
      <c r="AA85" s="379" t="e">
        <f t="shared" si="56"/>
        <v>#REF!</v>
      </c>
      <c r="AB85" s="379" t="e">
        <f t="shared" si="56"/>
        <v>#REF!</v>
      </c>
      <c r="AC85" s="379" t="e">
        <f t="shared" si="56"/>
        <v>#REF!</v>
      </c>
      <c r="AD85" s="379" t="e">
        <f t="shared" si="56"/>
        <v>#REF!</v>
      </c>
      <c r="AE85" s="379" t="e">
        <f t="shared" si="56"/>
        <v>#REF!</v>
      </c>
      <c r="AF85" s="379" t="e">
        <f t="shared" si="56"/>
        <v>#REF!</v>
      </c>
      <c r="AG85" s="379" t="e">
        <f t="shared" si="56"/>
        <v>#REF!</v>
      </c>
      <c r="AH85" s="379" t="e">
        <f t="shared" si="56"/>
        <v>#REF!</v>
      </c>
      <c r="AI85" s="379" t="e">
        <f t="shared" ref="AI85:BJ85" si="57">IF($B$85=0,0,$B$85/60)</f>
        <v>#REF!</v>
      </c>
      <c r="AJ85" s="379" t="e">
        <f t="shared" si="57"/>
        <v>#REF!</v>
      </c>
      <c r="AK85" s="379" t="e">
        <f t="shared" si="57"/>
        <v>#REF!</v>
      </c>
      <c r="AL85" s="379" t="e">
        <f t="shared" si="57"/>
        <v>#REF!</v>
      </c>
      <c r="AM85" s="379" t="e">
        <f t="shared" si="57"/>
        <v>#REF!</v>
      </c>
      <c r="AN85" s="379" t="e">
        <f t="shared" si="57"/>
        <v>#REF!</v>
      </c>
      <c r="AO85" s="379" t="e">
        <f t="shared" si="57"/>
        <v>#REF!</v>
      </c>
      <c r="AP85" s="379" t="e">
        <f t="shared" si="57"/>
        <v>#REF!</v>
      </c>
      <c r="AQ85" s="379" t="e">
        <f t="shared" si="57"/>
        <v>#REF!</v>
      </c>
      <c r="AR85" s="379" t="e">
        <f t="shared" si="57"/>
        <v>#REF!</v>
      </c>
      <c r="AS85" s="379" t="e">
        <f t="shared" si="57"/>
        <v>#REF!</v>
      </c>
      <c r="AT85" s="379" t="e">
        <f t="shared" si="57"/>
        <v>#REF!</v>
      </c>
      <c r="AU85" s="379" t="e">
        <f t="shared" si="57"/>
        <v>#REF!</v>
      </c>
      <c r="AV85" s="379" t="e">
        <f t="shared" si="57"/>
        <v>#REF!</v>
      </c>
      <c r="AW85" s="379" t="e">
        <f t="shared" si="57"/>
        <v>#REF!</v>
      </c>
      <c r="AX85" s="379" t="e">
        <f t="shared" si="57"/>
        <v>#REF!</v>
      </c>
      <c r="AY85" s="379" t="e">
        <f t="shared" si="57"/>
        <v>#REF!</v>
      </c>
      <c r="AZ85" s="379" t="e">
        <f t="shared" si="57"/>
        <v>#REF!</v>
      </c>
      <c r="BA85" s="379" t="e">
        <f t="shared" si="57"/>
        <v>#REF!</v>
      </c>
      <c r="BB85" s="379" t="e">
        <f t="shared" si="57"/>
        <v>#REF!</v>
      </c>
      <c r="BC85" s="379" t="e">
        <f t="shared" si="57"/>
        <v>#REF!</v>
      </c>
      <c r="BD85" s="379" t="e">
        <f t="shared" si="57"/>
        <v>#REF!</v>
      </c>
      <c r="BE85" s="379" t="e">
        <f t="shared" si="57"/>
        <v>#REF!</v>
      </c>
      <c r="BF85" s="379" t="e">
        <f t="shared" si="57"/>
        <v>#REF!</v>
      </c>
      <c r="BG85" s="379" t="e">
        <f t="shared" si="57"/>
        <v>#REF!</v>
      </c>
      <c r="BH85" s="379" t="e">
        <f t="shared" si="57"/>
        <v>#REF!</v>
      </c>
      <c r="BI85" s="379" t="e">
        <f t="shared" si="57"/>
        <v>#REF!</v>
      </c>
      <c r="BJ85" s="379" t="e">
        <f t="shared" si="57"/>
        <v>#REF!</v>
      </c>
      <c r="BK85" s="387" t="e">
        <f t="shared" si="53"/>
        <v>#REF!</v>
      </c>
    </row>
    <row r="86" spans="1:63" ht="15" customHeight="1" x14ac:dyDescent="0.25">
      <c r="A86" s="385" t="s">
        <v>263</v>
      </c>
      <c r="B86" s="369" t="e">
        <f>'Feasibility Study'!AY61/1000*0.01</f>
        <v>#REF!</v>
      </c>
      <c r="C86" s="379" t="e">
        <f t="shared" ref="C86:AH86" si="58">IF($B$86=0,0,$B$86/60)</f>
        <v>#REF!</v>
      </c>
      <c r="D86" s="379" t="e">
        <f t="shared" si="58"/>
        <v>#REF!</v>
      </c>
      <c r="E86" s="379" t="e">
        <f t="shared" si="58"/>
        <v>#REF!</v>
      </c>
      <c r="F86" s="379" t="e">
        <f t="shared" si="58"/>
        <v>#REF!</v>
      </c>
      <c r="G86" s="379" t="e">
        <f t="shared" si="58"/>
        <v>#REF!</v>
      </c>
      <c r="H86" s="379" t="e">
        <f t="shared" si="58"/>
        <v>#REF!</v>
      </c>
      <c r="I86" s="379" t="e">
        <f t="shared" si="58"/>
        <v>#REF!</v>
      </c>
      <c r="J86" s="379" t="e">
        <f t="shared" si="58"/>
        <v>#REF!</v>
      </c>
      <c r="K86" s="379" t="e">
        <f t="shared" si="58"/>
        <v>#REF!</v>
      </c>
      <c r="L86" s="379" t="e">
        <f t="shared" si="58"/>
        <v>#REF!</v>
      </c>
      <c r="M86" s="379" t="e">
        <f t="shared" si="58"/>
        <v>#REF!</v>
      </c>
      <c r="N86" s="379" t="e">
        <f t="shared" si="58"/>
        <v>#REF!</v>
      </c>
      <c r="O86" s="379" t="e">
        <f t="shared" si="58"/>
        <v>#REF!</v>
      </c>
      <c r="P86" s="379" t="e">
        <f t="shared" si="58"/>
        <v>#REF!</v>
      </c>
      <c r="Q86" s="379" t="e">
        <f t="shared" si="58"/>
        <v>#REF!</v>
      </c>
      <c r="R86" s="379" t="e">
        <f t="shared" si="58"/>
        <v>#REF!</v>
      </c>
      <c r="S86" s="379" t="e">
        <f t="shared" si="58"/>
        <v>#REF!</v>
      </c>
      <c r="T86" s="379" t="e">
        <f t="shared" si="58"/>
        <v>#REF!</v>
      </c>
      <c r="U86" s="379" t="e">
        <f t="shared" si="58"/>
        <v>#REF!</v>
      </c>
      <c r="V86" s="379" t="e">
        <f t="shared" si="58"/>
        <v>#REF!</v>
      </c>
      <c r="W86" s="379" t="e">
        <f t="shared" si="58"/>
        <v>#REF!</v>
      </c>
      <c r="X86" s="379" t="e">
        <f t="shared" si="58"/>
        <v>#REF!</v>
      </c>
      <c r="Y86" s="379" t="e">
        <f t="shared" si="58"/>
        <v>#REF!</v>
      </c>
      <c r="Z86" s="379" t="e">
        <f t="shared" si="58"/>
        <v>#REF!</v>
      </c>
      <c r="AA86" s="379" t="e">
        <f t="shared" si="58"/>
        <v>#REF!</v>
      </c>
      <c r="AB86" s="379" t="e">
        <f t="shared" si="58"/>
        <v>#REF!</v>
      </c>
      <c r="AC86" s="379" t="e">
        <f t="shared" si="58"/>
        <v>#REF!</v>
      </c>
      <c r="AD86" s="379" t="e">
        <f t="shared" si="58"/>
        <v>#REF!</v>
      </c>
      <c r="AE86" s="379" t="e">
        <f t="shared" si="58"/>
        <v>#REF!</v>
      </c>
      <c r="AF86" s="379" t="e">
        <f t="shared" si="58"/>
        <v>#REF!</v>
      </c>
      <c r="AG86" s="379" t="e">
        <f t="shared" si="58"/>
        <v>#REF!</v>
      </c>
      <c r="AH86" s="379" t="e">
        <f t="shared" si="58"/>
        <v>#REF!</v>
      </c>
      <c r="AI86" s="379" t="e">
        <f t="shared" ref="AI86:BJ86" si="59">IF($B$86=0,0,$B$86/60)</f>
        <v>#REF!</v>
      </c>
      <c r="AJ86" s="379" t="e">
        <f t="shared" si="59"/>
        <v>#REF!</v>
      </c>
      <c r="AK86" s="379" t="e">
        <f t="shared" si="59"/>
        <v>#REF!</v>
      </c>
      <c r="AL86" s="379" t="e">
        <f t="shared" si="59"/>
        <v>#REF!</v>
      </c>
      <c r="AM86" s="379" t="e">
        <f t="shared" si="59"/>
        <v>#REF!</v>
      </c>
      <c r="AN86" s="379" t="e">
        <f t="shared" si="59"/>
        <v>#REF!</v>
      </c>
      <c r="AO86" s="379" t="e">
        <f t="shared" si="59"/>
        <v>#REF!</v>
      </c>
      <c r="AP86" s="379" t="e">
        <f t="shared" si="59"/>
        <v>#REF!</v>
      </c>
      <c r="AQ86" s="379" t="e">
        <f t="shared" si="59"/>
        <v>#REF!</v>
      </c>
      <c r="AR86" s="379" t="e">
        <f t="shared" si="59"/>
        <v>#REF!</v>
      </c>
      <c r="AS86" s="379" t="e">
        <f t="shared" si="59"/>
        <v>#REF!</v>
      </c>
      <c r="AT86" s="379" t="e">
        <f t="shared" si="59"/>
        <v>#REF!</v>
      </c>
      <c r="AU86" s="379" t="e">
        <f t="shared" si="59"/>
        <v>#REF!</v>
      </c>
      <c r="AV86" s="379" t="e">
        <f t="shared" si="59"/>
        <v>#REF!</v>
      </c>
      <c r="AW86" s="379" t="e">
        <f t="shared" si="59"/>
        <v>#REF!</v>
      </c>
      <c r="AX86" s="379" t="e">
        <f t="shared" si="59"/>
        <v>#REF!</v>
      </c>
      <c r="AY86" s="379" t="e">
        <f t="shared" si="59"/>
        <v>#REF!</v>
      </c>
      <c r="AZ86" s="379" t="e">
        <f t="shared" si="59"/>
        <v>#REF!</v>
      </c>
      <c r="BA86" s="379" t="e">
        <f t="shared" si="59"/>
        <v>#REF!</v>
      </c>
      <c r="BB86" s="379" t="e">
        <f t="shared" si="59"/>
        <v>#REF!</v>
      </c>
      <c r="BC86" s="379" t="e">
        <f t="shared" si="59"/>
        <v>#REF!</v>
      </c>
      <c r="BD86" s="379" t="e">
        <f t="shared" si="59"/>
        <v>#REF!</v>
      </c>
      <c r="BE86" s="379" t="e">
        <f t="shared" si="59"/>
        <v>#REF!</v>
      </c>
      <c r="BF86" s="379" t="e">
        <f t="shared" si="59"/>
        <v>#REF!</v>
      </c>
      <c r="BG86" s="379" t="e">
        <f t="shared" si="59"/>
        <v>#REF!</v>
      </c>
      <c r="BH86" s="379" t="e">
        <f t="shared" si="59"/>
        <v>#REF!</v>
      </c>
      <c r="BI86" s="379" t="e">
        <f t="shared" si="59"/>
        <v>#REF!</v>
      </c>
      <c r="BJ86" s="379" t="e">
        <f t="shared" si="59"/>
        <v>#REF!</v>
      </c>
      <c r="BK86" s="387" t="e">
        <f t="shared" si="53"/>
        <v>#REF!</v>
      </c>
    </row>
    <row r="87" spans="1:63" ht="15" customHeight="1" x14ac:dyDescent="0.25">
      <c r="A87" s="385" t="s">
        <v>264</v>
      </c>
      <c r="B87" s="369" t="e">
        <f>'Feasibility Study'!AY79/1000*0.02</f>
        <v>#REF!</v>
      </c>
      <c r="C87" s="379" t="e">
        <f t="shared" ref="C87:AH87" si="60">IF($B$87=0,0,$B$87/60)</f>
        <v>#REF!</v>
      </c>
      <c r="D87" s="379" t="e">
        <f t="shared" si="60"/>
        <v>#REF!</v>
      </c>
      <c r="E87" s="379" t="e">
        <f t="shared" si="60"/>
        <v>#REF!</v>
      </c>
      <c r="F87" s="379" t="e">
        <f t="shared" si="60"/>
        <v>#REF!</v>
      </c>
      <c r="G87" s="379" t="e">
        <f t="shared" si="60"/>
        <v>#REF!</v>
      </c>
      <c r="H87" s="379" t="e">
        <f t="shared" si="60"/>
        <v>#REF!</v>
      </c>
      <c r="I87" s="379" t="e">
        <f t="shared" si="60"/>
        <v>#REF!</v>
      </c>
      <c r="J87" s="379" t="e">
        <f t="shared" si="60"/>
        <v>#REF!</v>
      </c>
      <c r="K87" s="379" t="e">
        <f t="shared" si="60"/>
        <v>#REF!</v>
      </c>
      <c r="L87" s="379" t="e">
        <f t="shared" si="60"/>
        <v>#REF!</v>
      </c>
      <c r="M87" s="379" t="e">
        <f t="shared" si="60"/>
        <v>#REF!</v>
      </c>
      <c r="N87" s="379" t="e">
        <f t="shared" si="60"/>
        <v>#REF!</v>
      </c>
      <c r="O87" s="379" t="e">
        <f t="shared" si="60"/>
        <v>#REF!</v>
      </c>
      <c r="P87" s="379" t="e">
        <f t="shared" si="60"/>
        <v>#REF!</v>
      </c>
      <c r="Q87" s="379" t="e">
        <f t="shared" si="60"/>
        <v>#REF!</v>
      </c>
      <c r="R87" s="379" t="e">
        <f t="shared" si="60"/>
        <v>#REF!</v>
      </c>
      <c r="S87" s="379" t="e">
        <f t="shared" si="60"/>
        <v>#REF!</v>
      </c>
      <c r="T87" s="379" t="e">
        <f t="shared" si="60"/>
        <v>#REF!</v>
      </c>
      <c r="U87" s="379" t="e">
        <f t="shared" si="60"/>
        <v>#REF!</v>
      </c>
      <c r="V87" s="379" t="e">
        <f t="shared" si="60"/>
        <v>#REF!</v>
      </c>
      <c r="W87" s="379" t="e">
        <f t="shared" si="60"/>
        <v>#REF!</v>
      </c>
      <c r="X87" s="379" t="e">
        <f t="shared" si="60"/>
        <v>#REF!</v>
      </c>
      <c r="Y87" s="379" t="e">
        <f t="shared" si="60"/>
        <v>#REF!</v>
      </c>
      <c r="Z87" s="379" t="e">
        <f t="shared" si="60"/>
        <v>#REF!</v>
      </c>
      <c r="AA87" s="379" t="e">
        <f t="shared" si="60"/>
        <v>#REF!</v>
      </c>
      <c r="AB87" s="379" t="e">
        <f t="shared" si="60"/>
        <v>#REF!</v>
      </c>
      <c r="AC87" s="379" t="e">
        <f t="shared" si="60"/>
        <v>#REF!</v>
      </c>
      <c r="AD87" s="379" t="e">
        <f t="shared" si="60"/>
        <v>#REF!</v>
      </c>
      <c r="AE87" s="379" t="e">
        <f t="shared" si="60"/>
        <v>#REF!</v>
      </c>
      <c r="AF87" s="379" t="e">
        <f t="shared" si="60"/>
        <v>#REF!</v>
      </c>
      <c r="AG87" s="379" t="e">
        <f t="shared" si="60"/>
        <v>#REF!</v>
      </c>
      <c r="AH87" s="379" t="e">
        <f t="shared" si="60"/>
        <v>#REF!</v>
      </c>
      <c r="AI87" s="379" t="e">
        <f t="shared" ref="AI87:BJ87" si="61">IF($B$87=0,0,$B$87/60)</f>
        <v>#REF!</v>
      </c>
      <c r="AJ87" s="379" t="e">
        <f t="shared" si="61"/>
        <v>#REF!</v>
      </c>
      <c r="AK87" s="379" t="e">
        <f t="shared" si="61"/>
        <v>#REF!</v>
      </c>
      <c r="AL87" s="379" t="e">
        <f t="shared" si="61"/>
        <v>#REF!</v>
      </c>
      <c r="AM87" s="379" t="e">
        <f t="shared" si="61"/>
        <v>#REF!</v>
      </c>
      <c r="AN87" s="379" t="e">
        <f t="shared" si="61"/>
        <v>#REF!</v>
      </c>
      <c r="AO87" s="379" t="e">
        <f t="shared" si="61"/>
        <v>#REF!</v>
      </c>
      <c r="AP87" s="379" t="e">
        <f t="shared" si="61"/>
        <v>#REF!</v>
      </c>
      <c r="AQ87" s="379" t="e">
        <f t="shared" si="61"/>
        <v>#REF!</v>
      </c>
      <c r="AR87" s="379" t="e">
        <f t="shared" si="61"/>
        <v>#REF!</v>
      </c>
      <c r="AS87" s="379" t="e">
        <f t="shared" si="61"/>
        <v>#REF!</v>
      </c>
      <c r="AT87" s="379" t="e">
        <f t="shared" si="61"/>
        <v>#REF!</v>
      </c>
      <c r="AU87" s="379" t="e">
        <f t="shared" si="61"/>
        <v>#REF!</v>
      </c>
      <c r="AV87" s="379" t="e">
        <f t="shared" si="61"/>
        <v>#REF!</v>
      </c>
      <c r="AW87" s="379" t="e">
        <f t="shared" si="61"/>
        <v>#REF!</v>
      </c>
      <c r="AX87" s="379" t="e">
        <f t="shared" si="61"/>
        <v>#REF!</v>
      </c>
      <c r="AY87" s="379" t="e">
        <f t="shared" si="61"/>
        <v>#REF!</v>
      </c>
      <c r="AZ87" s="379" t="e">
        <f t="shared" si="61"/>
        <v>#REF!</v>
      </c>
      <c r="BA87" s="379" t="e">
        <f t="shared" si="61"/>
        <v>#REF!</v>
      </c>
      <c r="BB87" s="379" t="e">
        <f t="shared" si="61"/>
        <v>#REF!</v>
      </c>
      <c r="BC87" s="379" t="e">
        <f t="shared" si="61"/>
        <v>#REF!</v>
      </c>
      <c r="BD87" s="379" t="e">
        <f t="shared" si="61"/>
        <v>#REF!</v>
      </c>
      <c r="BE87" s="379" t="e">
        <f t="shared" si="61"/>
        <v>#REF!</v>
      </c>
      <c r="BF87" s="379" t="e">
        <f t="shared" si="61"/>
        <v>#REF!</v>
      </c>
      <c r="BG87" s="379" t="e">
        <f t="shared" si="61"/>
        <v>#REF!</v>
      </c>
      <c r="BH87" s="379" t="e">
        <f t="shared" si="61"/>
        <v>#REF!</v>
      </c>
      <c r="BI87" s="379" t="e">
        <f t="shared" si="61"/>
        <v>#REF!</v>
      </c>
      <c r="BJ87" s="379" t="e">
        <f t="shared" si="61"/>
        <v>#REF!</v>
      </c>
      <c r="BK87" s="387" t="e">
        <f t="shared" si="53"/>
        <v>#REF!</v>
      </c>
    </row>
    <row r="88" spans="1:63" ht="15" customHeight="1" x14ac:dyDescent="0.25">
      <c r="A88" s="385" t="s">
        <v>265</v>
      </c>
      <c r="B88" s="369" t="e">
        <f>'Feasibility Study'!AY61/1000*0.03</f>
        <v>#REF!</v>
      </c>
      <c r="C88" s="379" t="e">
        <f t="shared" ref="C88:AH88" si="62">IF($B$88=0,0,$B$88/60)</f>
        <v>#REF!</v>
      </c>
      <c r="D88" s="379" t="e">
        <f t="shared" si="62"/>
        <v>#REF!</v>
      </c>
      <c r="E88" s="379" t="e">
        <f t="shared" si="62"/>
        <v>#REF!</v>
      </c>
      <c r="F88" s="379" t="e">
        <f t="shared" si="62"/>
        <v>#REF!</v>
      </c>
      <c r="G88" s="379" t="e">
        <f t="shared" si="62"/>
        <v>#REF!</v>
      </c>
      <c r="H88" s="379" t="e">
        <f t="shared" si="62"/>
        <v>#REF!</v>
      </c>
      <c r="I88" s="379" t="e">
        <f t="shared" si="62"/>
        <v>#REF!</v>
      </c>
      <c r="J88" s="379" t="e">
        <f t="shared" si="62"/>
        <v>#REF!</v>
      </c>
      <c r="K88" s="379" t="e">
        <f t="shared" si="62"/>
        <v>#REF!</v>
      </c>
      <c r="L88" s="379" t="e">
        <f t="shared" si="62"/>
        <v>#REF!</v>
      </c>
      <c r="M88" s="379" t="e">
        <f t="shared" si="62"/>
        <v>#REF!</v>
      </c>
      <c r="N88" s="379" t="e">
        <f t="shared" si="62"/>
        <v>#REF!</v>
      </c>
      <c r="O88" s="379" t="e">
        <f t="shared" si="62"/>
        <v>#REF!</v>
      </c>
      <c r="P88" s="379" t="e">
        <f t="shared" si="62"/>
        <v>#REF!</v>
      </c>
      <c r="Q88" s="379" t="e">
        <f t="shared" si="62"/>
        <v>#REF!</v>
      </c>
      <c r="R88" s="379" t="e">
        <f t="shared" si="62"/>
        <v>#REF!</v>
      </c>
      <c r="S88" s="379" t="e">
        <f t="shared" si="62"/>
        <v>#REF!</v>
      </c>
      <c r="T88" s="379" t="e">
        <f t="shared" si="62"/>
        <v>#REF!</v>
      </c>
      <c r="U88" s="379" t="e">
        <f t="shared" si="62"/>
        <v>#REF!</v>
      </c>
      <c r="V88" s="379" t="e">
        <f t="shared" si="62"/>
        <v>#REF!</v>
      </c>
      <c r="W88" s="379" t="e">
        <f t="shared" si="62"/>
        <v>#REF!</v>
      </c>
      <c r="X88" s="379" t="e">
        <f t="shared" si="62"/>
        <v>#REF!</v>
      </c>
      <c r="Y88" s="379" t="e">
        <f t="shared" si="62"/>
        <v>#REF!</v>
      </c>
      <c r="Z88" s="379" t="e">
        <f t="shared" si="62"/>
        <v>#REF!</v>
      </c>
      <c r="AA88" s="379" t="e">
        <f t="shared" si="62"/>
        <v>#REF!</v>
      </c>
      <c r="AB88" s="379" t="e">
        <f t="shared" si="62"/>
        <v>#REF!</v>
      </c>
      <c r="AC88" s="379" t="e">
        <f t="shared" si="62"/>
        <v>#REF!</v>
      </c>
      <c r="AD88" s="379" t="e">
        <f t="shared" si="62"/>
        <v>#REF!</v>
      </c>
      <c r="AE88" s="379" t="e">
        <f t="shared" si="62"/>
        <v>#REF!</v>
      </c>
      <c r="AF88" s="379" t="e">
        <f t="shared" si="62"/>
        <v>#REF!</v>
      </c>
      <c r="AG88" s="379" t="e">
        <f t="shared" si="62"/>
        <v>#REF!</v>
      </c>
      <c r="AH88" s="379" t="e">
        <f t="shared" si="62"/>
        <v>#REF!</v>
      </c>
      <c r="AI88" s="379" t="e">
        <f t="shared" ref="AI88:BJ88" si="63">IF($B$88=0,0,$B$88/60)</f>
        <v>#REF!</v>
      </c>
      <c r="AJ88" s="379" t="e">
        <f t="shared" si="63"/>
        <v>#REF!</v>
      </c>
      <c r="AK88" s="379" t="e">
        <f t="shared" si="63"/>
        <v>#REF!</v>
      </c>
      <c r="AL88" s="379" t="e">
        <f t="shared" si="63"/>
        <v>#REF!</v>
      </c>
      <c r="AM88" s="379" t="e">
        <f t="shared" si="63"/>
        <v>#REF!</v>
      </c>
      <c r="AN88" s="379" t="e">
        <f t="shared" si="63"/>
        <v>#REF!</v>
      </c>
      <c r="AO88" s="379" t="e">
        <f t="shared" si="63"/>
        <v>#REF!</v>
      </c>
      <c r="AP88" s="379" t="e">
        <f t="shared" si="63"/>
        <v>#REF!</v>
      </c>
      <c r="AQ88" s="379" t="e">
        <f t="shared" si="63"/>
        <v>#REF!</v>
      </c>
      <c r="AR88" s="379" t="e">
        <f t="shared" si="63"/>
        <v>#REF!</v>
      </c>
      <c r="AS88" s="379" t="e">
        <f t="shared" si="63"/>
        <v>#REF!</v>
      </c>
      <c r="AT88" s="379" t="e">
        <f t="shared" si="63"/>
        <v>#REF!</v>
      </c>
      <c r="AU88" s="379" t="e">
        <f t="shared" si="63"/>
        <v>#REF!</v>
      </c>
      <c r="AV88" s="379" t="e">
        <f t="shared" si="63"/>
        <v>#REF!</v>
      </c>
      <c r="AW88" s="379" t="e">
        <f t="shared" si="63"/>
        <v>#REF!</v>
      </c>
      <c r="AX88" s="379" t="e">
        <f t="shared" si="63"/>
        <v>#REF!</v>
      </c>
      <c r="AY88" s="379" t="e">
        <f t="shared" si="63"/>
        <v>#REF!</v>
      </c>
      <c r="AZ88" s="379" t="e">
        <f t="shared" si="63"/>
        <v>#REF!</v>
      </c>
      <c r="BA88" s="379" t="e">
        <f t="shared" si="63"/>
        <v>#REF!</v>
      </c>
      <c r="BB88" s="379" t="e">
        <f t="shared" si="63"/>
        <v>#REF!</v>
      </c>
      <c r="BC88" s="379" t="e">
        <f t="shared" si="63"/>
        <v>#REF!</v>
      </c>
      <c r="BD88" s="379" t="e">
        <f t="shared" si="63"/>
        <v>#REF!</v>
      </c>
      <c r="BE88" s="379" t="e">
        <f t="shared" si="63"/>
        <v>#REF!</v>
      </c>
      <c r="BF88" s="379" t="e">
        <f t="shared" si="63"/>
        <v>#REF!</v>
      </c>
      <c r="BG88" s="379" t="e">
        <f t="shared" si="63"/>
        <v>#REF!</v>
      </c>
      <c r="BH88" s="379" t="e">
        <f t="shared" si="63"/>
        <v>#REF!</v>
      </c>
      <c r="BI88" s="379" t="e">
        <f t="shared" si="63"/>
        <v>#REF!</v>
      </c>
      <c r="BJ88" s="379" t="e">
        <f t="shared" si="63"/>
        <v>#REF!</v>
      </c>
      <c r="BK88" s="387" t="e">
        <f t="shared" si="53"/>
        <v>#REF!</v>
      </c>
    </row>
    <row r="89" spans="1:63" ht="15" customHeight="1" x14ac:dyDescent="0.25">
      <c r="A89" s="388" t="s">
        <v>266</v>
      </c>
      <c r="C89" s="387" t="e">
        <f t="shared" ref="C89:AH89" si="64">C83+C84+C85+C86+C87+C88</f>
        <v>#REF!</v>
      </c>
      <c r="D89" s="387" t="e">
        <f t="shared" si="64"/>
        <v>#REF!</v>
      </c>
      <c r="E89" s="387" t="e">
        <f t="shared" si="64"/>
        <v>#REF!</v>
      </c>
      <c r="F89" s="387" t="e">
        <f t="shared" si="64"/>
        <v>#REF!</v>
      </c>
      <c r="G89" s="387" t="e">
        <f t="shared" si="64"/>
        <v>#REF!</v>
      </c>
      <c r="H89" s="387" t="e">
        <f t="shared" si="64"/>
        <v>#REF!</v>
      </c>
      <c r="I89" s="387" t="e">
        <f t="shared" si="64"/>
        <v>#REF!</v>
      </c>
      <c r="J89" s="387" t="e">
        <f t="shared" si="64"/>
        <v>#REF!</v>
      </c>
      <c r="K89" s="387" t="e">
        <f t="shared" si="64"/>
        <v>#REF!</v>
      </c>
      <c r="L89" s="387" t="e">
        <f t="shared" si="64"/>
        <v>#REF!</v>
      </c>
      <c r="M89" s="387" t="e">
        <f t="shared" si="64"/>
        <v>#REF!</v>
      </c>
      <c r="N89" s="387" t="e">
        <f t="shared" si="64"/>
        <v>#REF!</v>
      </c>
      <c r="O89" s="387" t="e">
        <f t="shared" si="64"/>
        <v>#REF!</v>
      </c>
      <c r="P89" s="387" t="e">
        <f t="shared" si="64"/>
        <v>#REF!</v>
      </c>
      <c r="Q89" s="387" t="e">
        <f t="shared" si="64"/>
        <v>#REF!</v>
      </c>
      <c r="R89" s="387" t="e">
        <f t="shared" si="64"/>
        <v>#REF!</v>
      </c>
      <c r="S89" s="387" t="e">
        <f t="shared" si="64"/>
        <v>#REF!</v>
      </c>
      <c r="T89" s="387" t="e">
        <f t="shared" si="64"/>
        <v>#REF!</v>
      </c>
      <c r="U89" s="387" t="e">
        <f t="shared" si="64"/>
        <v>#REF!</v>
      </c>
      <c r="V89" s="387" t="e">
        <f t="shared" si="64"/>
        <v>#REF!</v>
      </c>
      <c r="W89" s="387" t="e">
        <f t="shared" si="64"/>
        <v>#REF!</v>
      </c>
      <c r="X89" s="387" t="e">
        <f t="shared" si="64"/>
        <v>#REF!</v>
      </c>
      <c r="Y89" s="387" t="e">
        <f t="shared" si="64"/>
        <v>#REF!</v>
      </c>
      <c r="Z89" s="387" t="e">
        <f t="shared" si="64"/>
        <v>#REF!</v>
      </c>
      <c r="AA89" s="387" t="e">
        <f t="shared" si="64"/>
        <v>#REF!</v>
      </c>
      <c r="AB89" s="387" t="e">
        <f t="shared" si="64"/>
        <v>#REF!</v>
      </c>
      <c r="AC89" s="387" t="e">
        <f t="shared" si="64"/>
        <v>#REF!</v>
      </c>
      <c r="AD89" s="387" t="e">
        <f t="shared" si="64"/>
        <v>#REF!</v>
      </c>
      <c r="AE89" s="387" t="e">
        <f t="shared" si="64"/>
        <v>#REF!</v>
      </c>
      <c r="AF89" s="387" t="e">
        <f t="shared" si="64"/>
        <v>#REF!</v>
      </c>
      <c r="AG89" s="387" t="e">
        <f t="shared" si="64"/>
        <v>#REF!</v>
      </c>
      <c r="AH89" s="387" t="e">
        <f t="shared" si="64"/>
        <v>#REF!</v>
      </c>
      <c r="AI89" s="387" t="e">
        <f t="shared" ref="AI89:BJ89" si="65">AI83+AI84+AI85+AI86+AI87+AI88</f>
        <v>#REF!</v>
      </c>
      <c r="AJ89" s="387" t="e">
        <f t="shared" si="65"/>
        <v>#REF!</v>
      </c>
      <c r="AK89" s="387" t="e">
        <f t="shared" si="65"/>
        <v>#REF!</v>
      </c>
      <c r="AL89" s="387" t="e">
        <f t="shared" si="65"/>
        <v>#REF!</v>
      </c>
      <c r="AM89" s="387" t="e">
        <f t="shared" si="65"/>
        <v>#REF!</v>
      </c>
      <c r="AN89" s="387" t="e">
        <f t="shared" si="65"/>
        <v>#REF!</v>
      </c>
      <c r="AO89" s="387" t="e">
        <f t="shared" si="65"/>
        <v>#REF!</v>
      </c>
      <c r="AP89" s="387" t="e">
        <f t="shared" si="65"/>
        <v>#REF!</v>
      </c>
      <c r="AQ89" s="387" t="e">
        <f t="shared" si="65"/>
        <v>#REF!</v>
      </c>
      <c r="AR89" s="387" t="e">
        <f t="shared" si="65"/>
        <v>#REF!</v>
      </c>
      <c r="AS89" s="387" t="e">
        <f t="shared" si="65"/>
        <v>#REF!</v>
      </c>
      <c r="AT89" s="387" t="e">
        <f t="shared" si="65"/>
        <v>#REF!</v>
      </c>
      <c r="AU89" s="387" t="e">
        <f t="shared" si="65"/>
        <v>#REF!</v>
      </c>
      <c r="AV89" s="387" t="e">
        <f t="shared" si="65"/>
        <v>#REF!</v>
      </c>
      <c r="AW89" s="387" t="e">
        <f t="shared" si="65"/>
        <v>#REF!</v>
      </c>
      <c r="AX89" s="387" t="e">
        <f t="shared" si="65"/>
        <v>#REF!</v>
      </c>
      <c r="AY89" s="387" t="e">
        <f t="shared" si="65"/>
        <v>#REF!</v>
      </c>
      <c r="AZ89" s="387" t="e">
        <f t="shared" si="65"/>
        <v>#REF!</v>
      </c>
      <c r="BA89" s="387" t="e">
        <f t="shared" si="65"/>
        <v>#REF!</v>
      </c>
      <c r="BB89" s="387" t="e">
        <f t="shared" si="65"/>
        <v>#REF!</v>
      </c>
      <c r="BC89" s="387" t="e">
        <f t="shared" si="65"/>
        <v>#REF!</v>
      </c>
      <c r="BD89" s="387" t="e">
        <f t="shared" si="65"/>
        <v>#REF!</v>
      </c>
      <c r="BE89" s="387" t="e">
        <f t="shared" si="65"/>
        <v>#REF!</v>
      </c>
      <c r="BF89" s="387" t="e">
        <f t="shared" si="65"/>
        <v>#REF!</v>
      </c>
      <c r="BG89" s="387" t="e">
        <f t="shared" si="65"/>
        <v>#REF!</v>
      </c>
      <c r="BH89" s="387" t="e">
        <f t="shared" si="65"/>
        <v>#REF!</v>
      </c>
      <c r="BI89" s="387" t="e">
        <f t="shared" si="65"/>
        <v>#REF!</v>
      </c>
      <c r="BJ89" s="387" t="e">
        <f t="shared" si="65"/>
        <v>#REF!</v>
      </c>
      <c r="BK89" s="387" t="e">
        <f t="shared" si="53"/>
        <v>#REF!</v>
      </c>
    </row>
    <row r="91" spans="1:63" ht="15" customHeight="1" x14ac:dyDescent="0.25">
      <c r="A91" s="389" t="s">
        <v>267</v>
      </c>
      <c r="C91" s="390" t="e">
        <f t="shared" ref="C91:AH91" si="66">IF(ISNUMBER(C70),C70,0)+IF(ISNUMBER(C79),C79,0)+C89</f>
        <v>#REF!</v>
      </c>
      <c r="D91" s="390" t="e">
        <f t="shared" si="66"/>
        <v>#REF!</v>
      </c>
      <c r="E91" s="390" t="e">
        <f t="shared" si="66"/>
        <v>#REF!</v>
      </c>
      <c r="F91" s="390" t="e">
        <f t="shared" si="66"/>
        <v>#REF!</v>
      </c>
      <c r="G91" s="390" t="e">
        <f t="shared" si="66"/>
        <v>#REF!</v>
      </c>
      <c r="H91" s="390" t="e">
        <f t="shared" si="66"/>
        <v>#REF!</v>
      </c>
      <c r="I91" s="390" t="e">
        <f t="shared" si="66"/>
        <v>#REF!</v>
      </c>
      <c r="J91" s="390" t="e">
        <f t="shared" si="66"/>
        <v>#REF!</v>
      </c>
      <c r="K91" s="390" t="e">
        <f t="shared" si="66"/>
        <v>#REF!</v>
      </c>
      <c r="L91" s="390" t="e">
        <f t="shared" si="66"/>
        <v>#REF!</v>
      </c>
      <c r="M91" s="390" t="e">
        <f t="shared" si="66"/>
        <v>#REF!</v>
      </c>
      <c r="N91" s="390" t="e">
        <f t="shared" si="66"/>
        <v>#REF!</v>
      </c>
      <c r="O91" s="390" t="e">
        <f t="shared" si="66"/>
        <v>#REF!</v>
      </c>
      <c r="P91" s="390" t="e">
        <f t="shared" si="66"/>
        <v>#REF!</v>
      </c>
      <c r="Q91" s="390" t="e">
        <f t="shared" si="66"/>
        <v>#REF!</v>
      </c>
      <c r="R91" s="390" t="e">
        <f t="shared" si="66"/>
        <v>#REF!</v>
      </c>
      <c r="S91" s="390" t="e">
        <f t="shared" si="66"/>
        <v>#REF!</v>
      </c>
      <c r="T91" s="390" t="e">
        <f t="shared" si="66"/>
        <v>#REF!</v>
      </c>
      <c r="U91" s="390" t="e">
        <f t="shared" si="66"/>
        <v>#REF!</v>
      </c>
      <c r="V91" s="390" t="e">
        <f t="shared" si="66"/>
        <v>#REF!</v>
      </c>
      <c r="W91" s="390" t="e">
        <f t="shared" si="66"/>
        <v>#REF!</v>
      </c>
      <c r="X91" s="390" t="e">
        <f t="shared" si="66"/>
        <v>#REF!</v>
      </c>
      <c r="Y91" s="390" t="e">
        <f t="shared" si="66"/>
        <v>#REF!</v>
      </c>
      <c r="Z91" s="390" t="e">
        <f t="shared" si="66"/>
        <v>#REF!</v>
      </c>
      <c r="AA91" s="390" t="e">
        <f t="shared" si="66"/>
        <v>#REF!</v>
      </c>
      <c r="AB91" s="390" t="e">
        <f t="shared" si="66"/>
        <v>#REF!</v>
      </c>
      <c r="AC91" s="390" t="e">
        <f t="shared" si="66"/>
        <v>#REF!</v>
      </c>
      <c r="AD91" s="390" t="e">
        <f t="shared" si="66"/>
        <v>#REF!</v>
      </c>
      <c r="AE91" s="390" t="e">
        <f t="shared" si="66"/>
        <v>#REF!</v>
      </c>
      <c r="AF91" s="390" t="e">
        <f t="shared" si="66"/>
        <v>#REF!</v>
      </c>
      <c r="AG91" s="390" t="e">
        <f t="shared" si="66"/>
        <v>#REF!</v>
      </c>
      <c r="AH91" s="390" t="e">
        <f t="shared" si="66"/>
        <v>#REF!</v>
      </c>
      <c r="AI91" s="390" t="e">
        <f t="shared" ref="AI91:BJ91" si="67">IF(ISNUMBER(AI70),AI70,0)+IF(ISNUMBER(AI79),AI79,0)+AI89</f>
        <v>#REF!</v>
      </c>
      <c r="AJ91" s="390" t="e">
        <f t="shared" si="67"/>
        <v>#REF!</v>
      </c>
      <c r="AK91" s="390" t="e">
        <f t="shared" si="67"/>
        <v>#REF!</v>
      </c>
      <c r="AL91" s="390" t="e">
        <f t="shared" si="67"/>
        <v>#REF!</v>
      </c>
      <c r="AM91" s="390" t="e">
        <f t="shared" si="67"/>
        <v>#REF!</v>
      </c>
      <c r="AN91" s="390" t="e">
        <f t="shared" si="67"/>
        <v>#REF!</v>
      </c>
      <c r="AO91" s="390" t="e">
        <f t="shared" si="67"/>
        <v>#REF!</v>
      </c>
      <c r="AP91" s="390" t="e">
        <f t="shared" si="67"/>
        <v>#REF!</v>
      </c>
      <c r="AQ91" s="390" t="e">
        <f t="shared" si="67"/>
        <v>#REF!</v>
      </c>
      <c r="AR91" s="390" t="e">
        <f t="shared" si="67"/>
        <v>#REF!</v>
      </c>
      <c r="AS91" s="390" t="e">
        <f t="shared" si="67"/>
        <v>#REF!</v>
      </c>
      <c r="AT91" s="390" t="e">
        <f t="shared" si="67"/>
        <v>#REF!</v>
      </c>
      <c r="AU91" s="390" t="e">
        <f t="shared" si="67"/>
        <v>#REF!</v>
      </c>
      <c r="AV91" s="390" t="e">
        <f t="shared" si="67"/>
        <v>#REF!</v>
      </c>
      <c r="AW91" s="390" t="e">
        <f t="shared" si="67"/>
        <v>#REF!</v>
      </c>
      <c r="AX91" s="390" t="e">
        <f t="shared" si="67"/>
        <v>#REF!</v>
      </c>
      <c r="AY91" s="390" t="e">
        <f t="shared" si="67"/>
        <v>#REF!</v>
      </c>
      <c r="AZ91" s="390" t="e">
        <f t="shared" si="67"/>
        <v>#REF!</v>
      </c>
      <c r="BA91" s="390" t="e">
        <f t="shared" si="67"/>
        <v>#REF!</v>
      </c>
      <c r="BB91" s="390" t="e">
        <f t="shared" si="67"/>
        <v>#REF!</v>
      </c>
      <c r="BC91" s="390" t="e">
        <f t="shared" si="67"/>
        <v>#REF!</v>
      </c>
      <c r="BD91" s="390" t="e">
        <f t="shared" si="67"/>
        <v>#REF!</v>
      </c>
      <c r="BE91" s="390" t="e">
        <f t="shared" si="67"/>
        <v>#REF!</v>
      </c>
      <c r="BF91" s="390" t="e">
        <f t="shared" si="67"/>
        <v>#REF!</v>
      </c>
      <c r="BG91" s="390" t="e">
        <f t="shared" si="67"/>
        <v>#REF!</v>
      </c>
      <c r="BH91" s="390" t="e">
        <f t="shared" si="67"/>
        <v>#REF!</v>
      </c>
      <c r="BI91" s="390" t="e">
        <f t="shared" si="67"/>
        <v>#REF!</v>
      </c>
      <c r="BJ91" s="390" t="e">
        <f t="shared" si="67"/>
        <v>#REF!</v>
      </c>
      <c r="BK91" s="390" t="e">
        <f>SUM(C91:BJ91)</f>
        <v>#REF!</v>
      </c>
    </row>
    <row r="93" spans="1:63" ht="15" customHeight="1" x14ac:dyDescent="0.25">
      <c r="A93" s="566" t="s">
        <v>268</v>
      </c>
      <c r="B93" s="566"/>
      <c r="C93" s="566"/>
      <c r="D93" s="566"/>
      <c r="E93" s="566"/>
      <c r="F93" s="566"/>
      <c r="G93" s="566"/>
      <c r="H93" s="566"/>
      <c r="I93" s="566"/>
      <c r="J93" s="566"/>
      <c r="K93" s="566"/>
      <c r="L93" s="566"/>
      <c r="M93" s="566"/>
      <c r="N93" s="566"/>
      <c r="O93" s="566"/>
      <c r="P93" s="566"/>
      <c r="Q93" s="566"/>
      <c r="R93" s="566"/>
      <c r="S93" s="566"/>
      <c r="T93" s="566"/>
      <c r="U93" s="566"/>
      <c r="V93" s="566"/>
      <c r="W93" s="566"/>
      <c r="X93" s="566"/>
      <c r="Y93" s="566"/>
      <c r="Z93" s="566"/>
      <c r="AA93" s="566"/>
      <c r="AB93" s="566"/>
      <c r="AC93" s="566"/>
      <c r="AD93" s="566"/>
      <c r="AE93" s="566"/>
      <c r="AF93" s="566"/>
      <c r="AG93" s="566"/>
      <c r="AH93" s="566"/>
      <c r="AI93" s="566"/>
      <c r="AJ93" s="566"/>
      <c r="AK93" s="566"/>
      <c r="AL93" s="566"/>
      <c r="AM93" s="566"/>
      <c r="AN93" s="566"/>
      <c r="AO93" s="566"/>
      <c r="AP93" s="566"/>
      <c r="AQ93" s="566"/>
      <c r="AR93" s="566"/>
      <c r="AS93" s="566"/>
      <c r="AT93" s="566"/>
      <c r="AU93" s="566"/>
      <c r="AV93" s="566"/>
      <c r="AW93" s="566"/>
      <c r="AX93" s="566"/>
      <c r="AY93" s="566"/>
      <c r="AZ93" s="566"/>
      <c r="BA93" s="566"/>
      <c r="BB93" s="566"/>
      <c r="BC93" s="566"/>
      <c r="BD93" s="566"/>
      <c r="BE93" s="566"/>
      <c r="BF93" s="566"/>
      <c r="BG93" s="566"/>
      <c r="BH93" s="566"/>
      <c r="BI93" s="566"/>
      <c r="BJ93" s="566"/>
      <c r="BK93" s="566"/>
    </row>
    <row r="94" spans="1:63" ht="15" customHeight="1" x14ac:dyDescent="0.25">
      <c r="A94" s="391" t="s">
        <v>244</v>
      </c>
      <c r="B94" s="391"/>
      <c r="C94" s="392" t="s">
        <v>205</v>
      </c>
      <c r="D94" s="392" t="s">
        <v>206</v>
      </c>
      <c r="E94" s="392" t="s">
        <v>207</v>
      </c>
      <c r="F94" s="392" t="s">
        <v>208</v>
      </c>
      <c r="G94" s="392" t="s">
        <v>209</v>
      </c>
      <c r="H94" s="392" t="s">
        <v>210</v>
      </c>
      <c r="I94" s="392" t="s">
        <v>211</v>
      </c>
      <c r="J94" s="392" t="s">
        <v>212</v>
      </c>
      <c r="K94" s="392" t="s">
        <v>213</v>
      </c>
      <c r="L94" s="392" t="s">
        <v>214</v>
      </c>
      <c r="M94" s="392" t="s">
        <v>215</v>
      </c>
      <c r="N94" s="392" t="s">
        <v>216</v>
      </c>
      <c r="O94" s="392" t="s">
        <v>205</v>
      </c>
      <c r="P94" s="392" t="s">
        <v>206</v>
      </c>
      <c r="Q94" s="392" t="s">
        <v>207</v>
      </c>
      <c r="R94" s="392" t="s">
        <v>208</v>
      </c>
      <c r="S94" s="392" t="s">
        <v>209</v>
      </c>
      <c r="T94" s="392" t="s">
        <v>210</v>
      </c>
      <c r="U94" s="392" t="s">
        <v>211</v>
      </c>
      <c r="V94" s="392" t="s">
        <v>212</v>
      </c>
      <c r="W94" s="392" t="s">
        <v>213</v>
      </c>
      <c r="X94" s="392" t="s">
        <v>214</v>
      </c>
      <c r="Y94" s="392" t="s">
        <v>215</v>
      </c>
      <c r="Z94" s="392" t="s">
        <v>216</v>
      </c>
      <c r="AA94" s="392" t="s">
        <v>205</v>
      </c>
      <c r="AB94" s="392" t="s">
        <v>206</v>
      </c>
      <c r="AC94" s="392" t="s">
        <v>207</v>
      </c>
      <c r="AD94" s="392" t="s">
        <v>208</v>
      </c>
      <c r="AE94" s="392" t="s">
        <v>209</v>
      </c>
      <c r="AF94" s="392" t="s">
        <v>210</v>
      </c>
      <c r="AG94" s="392" t="s">
        <v>211</v>
      </c>
      <c r="AH94" s="392" t="s">
        <v>212</v>
      </c>
      <c r="AI94" s="392" t="s">
        <v>213</v>
      </c>
      <c r="AJ94" s="392" t="s">
        <v>214</v>
      </c>
      <c r="AK94" s="392" t="s">
        <v>215</v>
      </c>
      <c r="AL94" s="392" t="s">
        <v>216</v>
      </c>
      <c r="AM94" s="392" t="s">
        <v>205</v>
      </c>
      <c r="AN94" s="392" t="s">
        <v>206</v>
      </c>
      <c r="AO94" s="392" t="s">
        <v>207</v>
      </c>
      <c r="AP94" s="392" t="s">
        <v>208</v>
      </c>
      <c r="AQ94" s="392" t="s">
        <v>209</v>
      </c>
      <c r="AR94" s="392" t="s">
        <v>210</v>
      </c>
      <c r="AS94" s="392" t="s">
        <v>211</v>
      </c>
      <c r="AT94" s="392" t="s">
        <v>212</v>
      </c>
      <c r="AU94" s="392" t="s">
        <v>213</v>
      </c>
      <c r="AV94" s="392" t="s">
        <v>214</v>
      </c>
      <c r="AW94" s="392" t="s">
        <v>215</v>
      </c>
      <c r="AX94" s="392" t="s">
        <v>216</v>
      </c>
      <c r="AY94" s="392" t="s">
        <v>205</v>
      </c>
      <c r="AZ94" s="392" t="s">
        <v>206</v>
      </c>
      <c r="BA94" s="392" t="s">
        <v>207</v>
      </c>
      <c r="BB94" s="392" t="s">
        <v>208</v>
      </c>
      <c r="BC94" s="392" t="s">
        <v>209</v>
      </c>
      <c r="BD94" s="392" t="s">
        <v>210</v>
      </c>
      <c r="BE94" s="392" t="s">
        <v>211</v>
      </c>
      <c r="BF94" s="392" t="s">
        <v>212</v>
      </c>
      <c r="BG94" s="392" t="s">
        <v>213</v>
      </c>
      <c r="BH94" s="392" t="s">
        <v>214</v>
      </c>
      <c r="BI94" s="392" t="s">
        <v>215</v>
      </c>
      <c r="BJ94" s="392" t="s">
        <v>216</v>
      </c>
      <c r="BK94" s="391" t="s">
        <v>241</v>
      </c>
    </row>
    <row r="95" spans="1:63" ht="15" customHeight="1" x14ac:dyDescent="0.25">
      <c r="A95" s="393" t="s">
        <v>269</v>
      </c>
      <c r="C95" s="394" t="e">
        <f t="shared" ref="C95:AH95" si="68">C62</f>
        <v>#REF!</v>
      </c>
      <c r="D95" s="394" t="e">
        <f t="shared" si="68"/>
        <v>#REF!</v>
      </c>
      <c r="E95" s="394" t="e">
        <f t="shared" si="68"/>
        <v>#REF!</v>
      </c>
      <c r="F95" s="394" t="e">
        <f t="shared" si="68"/>
        <v>#REF!</v>
      </c>
      <c r="G95" s="394" t="e">
        <f t="shared" si="68"/>
        <v>#REF!</v>
      </c>
      <c r="H95" s="394" t="e">
        <f t="shared" si="68"/>
        <v>#REF!</v>
      </c>
      <c r="I95" s="394" t="e">
        <f t="shared" si="68"/>
        <v>#REF!</v>
      </c>
      <c r="J95" s="394" t="e">
        <f t="shared" si="68"/>
        <v>#REF!</v>
      </c>
      <c r="K95" s="394" t="e">
        <f t="shared" si="68"/>
        <v>#REF!</v>
      </c>
      <c r="L95" s="394" t="e">
        <f t="shared" si="68"/>
        <v>#REF!</v>
      </c>
      <c r="M95" s="394" t="e">
        <f t="shared" si="68"/>
        <v>#REF!</v>
      </c>
      <c r="N95" s="394" t="e">
        <f t="shared" si="68"/>
        <v>#REF!</v>
      </c>
      <c r="O95" s="394" t="e">
        <f t="shared" si="68"/>
        <v>#REF!</v>
      </c>
      <c r="P95" s="394" t="e">
        <f t="shared" si="68"/>
        <v>#REF!</v>
      </c>
      <c r="Q95" s="394" t="e">
        <f t="shared" si="68"/>
        <v>#REF!</v>
      </c>
      <c r="R95" s="394" t="e">
        <f t="shared" si="68"/>
        <v>#REF!</v>
      </c>
      <c r="S95" s="394" t="e">
        <f t="shared" si="68"/>
        <v>#REF!</v>
      </c>
      <c r="T95" s="394" t="e">
        <f t="shared" si="68"/>
        <v>#REF!</v>
      </c>
      <c r="U95" s="394" t="e">
        <f t="shared" si="68"/>
        <v>#REF!</v>
      </c>
      <c r="V95" s="394" t="e">
        <f t="shared" si="68"/>
        <v>#REF!</v>
      </c>
      <c r="W95" s="394" t="e">
        <f t="shared" si="68"/>
        <v>#REF!</v>
      </c>
      <c r="X95" s="394" t="e">
        <f t="shared" si="68"/>
        <v>#REF!</v>
      </c>
      <c r="Y95" s="394" t="e">
        <f t="shared" si="68"/>
        <v>#REF!</v>
      </c>
      <c r="Z95" s="394" t="e">
        <f t="shared" si="68"/>
        <v>#REF!</v>
      </c>
      <c r="AA95" s="394" t="e">
        <f t="shared" si="68"/>
        <v>#REF!</v>
      </c>
      <c r="AB95" s="394" t="e">
        <f t="shared" si="68"/>
        <v>#REF!</v>
      </c>
      <c r="AC95" s="394" t="e">
        <f t="shared" si="68"/>
        <v>#REF!</v>
      </c>
      <c r="AD95" s="394" t="e">
        <f t="shared" si="68"/>
        <v>#REF!</v>
      </c>
      <c r="AE95" s="394" t="e">
        <f t="shared" si="68"/>
        <v>#REF!</v>
      </c>
      <c r="AF95" s="394" t="e">
        <f t="shared" si="68"/>
        <v>#REF!</v>
      </c>
      <c r="AG95" s="394" t="e">
        <f t="shared" si="68"/>
        <v>#REF!</v>
      </c>
      <c r="AH95" s="394" t="e">
        <f t="shared" si="68"/>
        <v>#REF!</v>
      </c>
      <c r="AI95" s="394" t="e">
        <f t="shared" ref="AI95:BJ95" si="69">AI62</f>
        <v>#REF!</v>
      </c>
      <c r="AJ95" s="394" t="e">
        <f t="shared" si="69"/>
        <v>#REF!</v>
      </c>
      <c r="AK95" s="394" t="e">
        <f t="shared" si="69"/>
        <v>#REF!</v>
      </c>
      <c r="AL95" s="394" t="e">
        <f t="shared" si="69"/>
        <v>#REF!</v>
      </c>
      <c r="AM95" s="394" t="e">
        <f t="shared" si="69"/>
        <v>#REF!</v>
      </c>
      <c r="AN95" s="394" t="e">
        <f t="shared" si="69"/>
        <v>#REF!</v>
      </c>
      <c r="AO95" s="394" t="e">
        <f t="shared" si="69"/>
        <v>#REF!</v>
      </c>
      <c r="AP95" s="394" t="e">
        <f t="shared" si="69"/>
        <v>#REF!</v>
      </c>
      <c r="AQ95" s="394" t="e">
        <f t="shared" si="69"/>
        <v>#REF!</v>
      </c>
      <c r="AR95" s="394" t="e">
        <f t="shared" si="69"/>
        <v>#REF!</v>
      </c>
      <c r="AS95" s="394" t="e">
        <f t="shared" si="69"/>
        <v>#REF!</v>
      </c>
      <c r="AT95" s="394" t="e">
        <f t="shared" si="69"/>
        <v>#REF!</v>
      </c>
      <c r="AU95" s="394" t="e">
        <f t="shared" si="69"/>
        <v>#REF!</v>
      </c>
      <c r="AV95" s="394" t="e">
        <f t="shared" si="69"/>
        <v>#REF!</v>
      </c>
      <c r="AW95" s="394" t="e">
        <f t="shared" si="69"/>
        <v>#REF!</v>
      </c>
      <c r="AX95" s="394" t="e">
        <f t="shared" si="69"/>
        <v>#REF!</v>
      </c>
      <c r="AY95" s="394" t="e">
        <f t="shared" si="69"/>
        <v>#REF!</v>
      </c>
      <c r="AZ95" s="394" t="e">
        <f t="shared" si="69"/>
        <v>#REF!</v>
      </c>
      <c r="BA95" s="394" t="e">
        <f t="shared" si="69"/>
        <v>#REF!</v>
      </c>
      <c r="BB95" s="394" t="e">
        <f t="shared" si="69"/>
        <v>#REF!</v>
      </c>
      <c r="BC95" s="394" t="e">
        <f t="shared" si="69"/>
        <v>#REF!</v>
      </c>
      <c r="BD95" s="394" t="e">
        <f t="shared" si="69"/>
        <v>#REF!</v>
      </c>
      <c r="BE95" s="394" t="e">
        <f t="shared" si="69"/>
        <v>#REF!</v>
      </c>
      <c r="BF95" s="394" t="e">
        <f t="shared" si="69"/>
        <v>#REF!</v>
      </c>
      <c r="BG95" s="394" t="e">
        <f t="shared" si="69"/>
        <v>#REF!</v>
      </c>
      <c r="BH95" s="394" t="e">
        <f t="shared" si="69"/>
        <v>#REF!</v>
      </c>
      <c r="BI95" s="394" t="e">
        <f t="shared" si="69"/>
        <v>#REF!</v>
      </c>
      <c r="BJ95" s="394" t="e">
        <f t="shared" si="69"/>
        <v>#REF!</v>
      </c>
      <c r="BK95" s="395" t="e">
        <f>SUM(C95:BJ95)</f>
        <v>#REF!</v>
      </c>
    </row>
    <row r="96" spans="1:63" ht="15" customHeight="1" x14ac:dyDescent="0.25">
      <c r="A96" s="393" t="s">
        <v>270</v>
      </c>
      <c r="C96" s="396" t="e">
        <f t="shared" ref="C96:AH96" si="70">C91</f>
        <v>#REF!</v>
      </c>
      <c r="D96" s="396" t="e">
        <f t="shared" si="70"/>
        <v>#REF!</v>
      </c>
      <c r="E96" s="396" t="e">
        <f t="shared" si="70"/>
        <v>#REF!</v>
      </c>
      <c r="F96" s="396" t="e">
        <f t="shared" si="70"/>
        <v>#REF!</v>
      </c>
      <c r="G96" s="396" t="e">
        <f t="shared" si="70"/>
        <v>#REF!</v>
      </c>
      <c r="H96" s="396" t="e">
        <f t="shared" si="70"/>
        <v>#REF!</v>
      </c>
      <c r="I96" s="396" t="e">
        <f t="shared" si="70"/>
        <v>#REF!</v>
      </c>
      <c r="J96" s="396" t="e">
        <f t="shared" si="70"/>
        <v>#REF!</v>
      </c>
      <c r="K96" s="396" t="e">
        <f t="shared" si="70"/>
        <v>#REF!</v>
      </c>
      <c r="L96" s="396" t="e">
        <f t="shared" si="70"/>
        <v>#REF!</v>
      </c>
      <c r="M96" s="396" t="e">
        <f t="shared" si="70"/>
        <v>#REF!</v>
      </c>
      <c r="N96" s="396" t="e">
        <f t="shared" si="70"/>
        <v>#REF!</v>
      </c>
      <c r="O96" s="396" t="e">
        <f t="shared" si="70"/>
        <v>#REF!</v>
      </c>
      <c r="P96" s="396" t="e">
        <f t="shared" si="70"/>
        <v>#REF!</v>
      </c>
      <c r="Q96" s="396" t="e">
        <f t="shared" si="70"/>
        <v>#REF!</v>
      </c>
      <c r="R96" s="396" t="e">
        <f t="shared" si="70"/>
        <v>#REF!</v>
      </c>
      <c r="S96" s="396" t="e">
        <f t="shared" si="70"/>
        <v>#REF!</v>
      </c>
      <c r="T96" s="396" t="e">
        <f t="shared" si="70"/>
        <v>#REF!</v>
      </c>
      <c r="U96" s="396" t="e">
        <f t="shared" si="70"/>
        <v>#REF!</v>
      </c>
      <c r="V96" s="396" t="e">
        <f t="shared" si="70"/>
        <v>#REF!</v>
      </c>
      <c r="W96" s="396" t="e">
        <f t="shared" si="70"/>
        <v>#REF!</v>
      </c>
      <c r="X96" s="396" t="e">
        <f t="shared" si="70"/>
        <v>#REF!</v>
      </c>
      <c r="Y96" s="396" t="e">
        <f t="shared" si="70"/>
        <v>#REF!</v>
      </c>
      <c r="Z96" s="396" t="e">
        <f t="shared" si="70"/>
        <v>#REF!</v>
      </c>
      <c r="AA96" s="396" t="e">
        <f t="shared" si="70"/>
        <v>#REF!</v>
      </c>
      <c r="AB96" s="396" t="e">
        <f t="shared" si="70"/>
        <v>#REF!</v>
      </c>
      <c r="AC96" s="396" t="e">
        <f t="shared" si="70"/>
        <v>#REF!</v>
      </c>
      <c r="AD96" s="396" t="e">
        <f t="shared" si="70"/>
        <v>#REF!</v>
      </c>
      <c r="AE96" s="396" t="e">
        <f t="shared" si="70"/>
        <v>#REF!</v>
      </c>
      <c r="AF96" s="396" t="e">
        <f t="shared" si="70"/>
        <v>#REF!</v>
      </c>
      <c r="AG96" s="396" t="e">
        <f t="shared" si="70"/>
        <v>#REF!</v>
      </c>
      <c r="AH96" s="396" t="e">
        <f t="shared" si="70"/>
        <v>#REF!</v>
      </c>
      <c r="AI96" s="396" t="e">
        <f t="shared" ref="AI96:BJ96" si="71">AI91</f>
        <v>#REF!</v>
      </c>
      <c r="AJ96" s="396" t="e">
        <f t="shared" si="71"/>
        <v>#REF!</v>
      </c>
      <c r="AK96" s="396" t="e">
        <f t="shared" si="71"/>
        <v>#REF!</v>
      </c>
      <c r="AL96" s="396" t="e">
        <f t="shared" si="71"/>
        <v>#REF!</v>
      </c>
      <c r="AM96" s="396" t="e">
        <f t="shared" si="71"/>
        <v>#REF!</v>
      </c>
      <c r="AN96" s="396" t="e">
        <f t="shared" si="71"/>
        <v>#REF!</v>
      </c>
      <c r="AO96" s="396" t="e">
        <f t="shared" si="71"/>
        <v>#REF!</v>
      </c>
      <c r="AP96" s="396" t="e">
        <f t="shared" si="71"/>
        <v>#REF!</v>
      </c>
      <c r="AQ96" s="396" t="e">
        <f t="shared" si="71"/>
        <v>#REF!</v>
      </c>
      <c r="AR96" s="396" t="e">
        <f t="shared" si="71"/>
        <v>#REF!</v>
      </c>
      <c r="AS96" s="396" t="e">
        <f t="shared" si="71"/>
        <v>#REF!</v>
      </c>
      <c r="AT96" s="396" t="e">
        <f t="shared" si="71"/>
        <v>#REF!</v>
      </c>
      <c r="AU96" s="396" t="e">
        <f t="shared" si="71"/>
        <v>#REF!</v>
      </c>
      <c r="AV96" s="396" t="e">
        <f t="shared" si="71"/>
        <v>#REF!</v>
      </c>
      <c r="AW96" s="396" t="e">
        <f t="shared" si="71"/>
        <v>#REF!</v>
      </c>
      <c r="AX96" s="396" t="e">
        <f t="shared" si="71"/>
        <v>#REF!</v>
      </c>
      <c r="AY96" s="396" t="e">
        <f t="shared" si="71"/>
        <v>#REF!</v>
      </c>
      <c r="AZ96" s="396" t="e">
        <f t="shared" si="71"/>
        <v>#REF!</v>
      </c>
      <c r="BA96" s="396" t="e">
        <f t="shared" si="71"/>
        <v>#REF!</v>
      </c>
      <c r="BB96" s="396" t="e">
        <f t="shared" si="71"/>
        <v>#REF!</v>
      </c>
      <c r="BC96" s="396" t="e">
        <f t="shared" si="71"/>
        <v>#REF!</v>
      </c>
      <c r="BD96" s="396" t="e">
        <f t="shared" si="71"/>
        <v>#REF!</v>
      </c>
      <c r="BE96" s="396" t="e">
        <f t="shared" si="71"/>
        <v>#REF!</v>
      </c>
      <c r="BF96" s="396" t="e">
        <f t="shared" si="71"/>
        <v>#REF!</v>
      </c>
      <c r="BG96" s="396" t="e">
        <f t="shared" si="71"/>
        <v>#REF!</v>
      </c>
      <c r="BH96" s="396" t="e">
        <f t="shared" si="71"/>
        <v>#REF!</v>
      </c>
      <c r="BI96" s="396" t="e">
        <f t="shared" si="71"/>
        <v>#REF!</v>
      </c>
      <c r="BJ96" s="396" t="e">
        <f t="shared" si="71"/>
        <v>#REF!</v>
      </c>
      <c r="BK96" s="397" t="e">
        <f>SUM(C96:BJ96)</f>
        <v>#REF!</v>
      </c>
    </row>
    <row r="97" spans="1:63" ht="15" customHeight="1" x14ac:dyDescent="0.25">
      <c r="A97" s="398" t="s">
        <v>271</v>
      </c>
      <c r="C97" s="399" t="e">
        <f t="shared" ref="C97:AH97" si="72">C95-C96</f>
        <v>#REF!</v>
      </c>
      <c r="D97" s="399" t="e">
        <f t="shared" si="72"/>
        <v>#REF!</v>
      </c>
      <c r="E97" s="399" t="e">
        <f t="shared" si="72"/>
        <v>#REF!</v>
      </c>
      <c r="F97" s="399" t="e">
        <f t="shared" si="72"/>
        <v>#REF!</v>
      </c>
      <c r="G97" s="399" t="e">
        <f t="shared" si="72"/>
        <v>#REF!</v>
      </c>
      <c r="H97" s="399" t="e">
        <f t="shared" si="72"/>
        <v>#REF!</v>
      </c>
      <c r="I97" s="399" t="e">
        <f t="shared" si="72"/>
        <v>#REF!</v>
      </c>
      <c r="J97" s="399" t="e">
        <f t="shared" si="72"/>
        <v>#REF!</v>
      </c>
      <c r="K97" s="399" t="e">
        <f t="shared" si="72"/>
        <v>#REF!</v>
      </c>
      <c r="L97" s="399" t="e">
        <f t="shared" si="72"/>
        <v>#REF!</v>
      </c>
      <c r="M97" s="399" t="e">
        <f t="shared" si="72"/>
        <v>#REF!</v>
      </c>
      <c r="N97" s="399" t="e">
        <f t="shared" si="72"/>
        <v>#REF!</v>
      </c>
      <c r="O97" s="399" t="e">
        <f t="shared" si="72"/>
        <v>#REF!</v>
      </c>
      <c r="P97" s="399" t="e">
        <f t="shared" si="72"/>
        <v>#REF!</v>
      </c>
      <c r="Q97" s="399" t="e">
        <f t="shared" si="72"/>
        <v>#REF!</v>
      </c>
      <c r="R97" s="399" t="e">
        <f t="shared" si="72"/>
        <v>#REF!</v>
      </c>
      <c r="S97" s="399" t="e">
        <f t="shared" si="72"/>
        <v>#REF!</v>
      </c>
      <c r="T97" s="399" t="e">
        <f t="shared" si="72"/>
        <v>#REF!</v>
      </c>
      <c r="U97" s="399" t="e">
        <f t="shared" si="72"/>
        <v>#REF!</v>
      </c>
      <c r="V97" s="399" t="e">
        <f t="shared" si="72"/>
        <v>#REF!</v>
      </c>
      <c r="W97" s="399" t="e">
        <f t="shared" si="72"/>
        <v>#REF!</v>
      </c>
      <c r="X97" s="399" t="e">
        <f t="shared" si="72"/>
        <v>#REF!</v>
      </c>
      <c r="Y97" s="399" t="e">
        <f t="shared" si="72"/>
        <v>#REF!</v>
      </c>
      <c r="Z97" s="399" t="e">
        <f t="shared" si="72"/>
        <v>#REF!</v>
      </c>
      <c r="AA97" s="399" t="e">
        <f t="shared" si="72"/>
        <v>#REF!</v>
      </c>
      <c r="AB97" s="399" t="e">
        <f t="shared" si="72"/>
        <v>#REF!</v>
      </c>
      <c r="AC97" s="399" t="e">
        <f t="shared" si="72"/>
        <v>#REF!</v>
      </c>
      <c r="AD97" s="399" t="e">
        <f t="shared" si="72"/>
        <v>#REF!</v>
      </c>
      <c r="AE97" s="399" t="e">
        <f t="shared" si="72"/>
        <v>#REF!</v>
      </c>
      <c r="AF97" s="399" t="e">
        <f t="shared" si="72"/>
        <v>#REF!</v>
      </c>
      <c r="AG97" s="399" t="e">
        <f t="shared" si="72"/>
        <v>#REF!</v>
      </c>
      <c r="AH97" s="399" t="e">
        <f t="shared" si="72"/>
        <v>#REF!</v>
      </c>
      <c r="AI97" s="399" t="e">
        <f t="shared" ref="AI97:BJ97" si="73">AI95-AI96</f>
        <v>#REF!</v>
      </c>
      <c r="AJ97" s="399" t="e">
        <f t="shared" si="73"/>
        <v>#REF!</v>
      </c>
      <c r="AK97" s="399" t="e">
        <f t="shared" si="73"/>
        <v>#REF!</v>
      </c>
      <c r="AL97" s="399" t="e">
        <f t="shared" si="73"/>
        <v>#REF!</v>
      </c>
      <c r="AM97" s="399" t="e">
        <f t="shared" si="73"/>
        <v>#REF!</v>
      </c>
      <c r="AN97" s="399" t="e">
        <f t="shared" si="73"/>
        <v>#REF!</v>
      </c>
      <c r="AO97" s="399" t="e">
        <f t="shared" si="73"/>
        <v>#REF!</v>
      </c>
      <c r="AP97" s="399" t="e">
        <f t="shared" si="73"/>
        <v>#REF!</v>
      </c>
      <c r="AQ97" s="399" t="e">
        <f t="shared" si="73"/>
        <v>#REF!</v>
      </c>
      <c r="AR97" s="399" t="e">
        <f t="shared" si="73"/>
        <v>#REF!</v>
      </c>
      <c r="AS97" s="399" t="e">
        <f t="shared" si="73"/>
        <v>#REF!</v>
      </c>
      <c r="AT97" s="399" t="e">
        <f t="shared" si="73"/>
        <v>#REF!</v>
      </c>
      <c r="AU97" s="399" t="e">
        <f t="shared" si="73"/>
        <v>#REF!</v>
      </c>
      <c r="AV97" s="399" t="e">
        <f t="shared" si="73"/>
        <v>#REF!</v>
      </c>
      <c r="AW97" s="399" t="e">
        <f t="shared" si="73"/>
        <v>#REF!</v>
      </c>
      <c r="AX97" s="399" t="e">
        <f t="shared" si="73"/>
        <v>#REF!</v>
      </c>
      <c r="AY97" s="399" t="e">
        <f t="shared" si="73"/>
        <v>#REF!</v>
      </c>
      <c r="AZ97" s="399" t="e">
        <f t="shared" si="73"/>
        <v>#REF!</v>
      </c>
      <c r="BA97" s="399" t="e">
        <f t="shared" si="73"/>
        <v>#REF!</v>
      </c>
      <c r="BB97" s="399" t="e">
        <f t="shared" si="73"/>
        <v>#REF!</v>
      </c>
      <c r="BC97" s="399" t="e">
        <f t="shared" si="73"/>
        <v>#REF!</v>
      </c>
      <c r="BD97" s="399" t="e">
        <f t="shared" si="73"/>
        <v>#REF!</v>
      </c>
      <c r="BE97" s="399" t="e">
        <f t="shared" si="73"/>
        <v>#REF!</v>
      </c>
      <c r="BF97" s="399" t="e">
        <f t="shared" si="73"/>
        <v>#REF!</v>
      </c>
      <c r="BG97" s="399" t="e">
        <f t="shared" si="73"/>
        <v>#REF!</v>
      </c>
      <c r="BH97" s="399" t="e">
        <f t="shared" si="73"/>
        <v>#REF!</v>
      </c>
      <c r="BI97" s="399" t="e">
        <f t="shared" si="73"/>
        <v>#REF!</v>
      </c>
      <c r="BJ97" s="399" t="e">
        <f t="shared" si="73"/>
        <v>#REF!</v>
      </c>
      <c r="BK97" s="399" t="e">
        <f>SUM(C97:BJ97)</f>
        <v>#REF!</v>
      </c>
    </row>
    <row r="98" spans="1:63" ht="15" customHeight="1" x14ac:dyDescent="0.25">
      <c r="A98" s="400" t="s">
        <v>272</v>
      </c>
      <c r="C98" s="401" t="e">
        <f>C97</f>
        <v>#REF!</v>
      </c>
      <c r="D98" s="401" t="e">
        <f t="shared" ref="D98:AI98" si="74">C98+D97</f>
        <v>#REF!</v>
      </c>
      <c r="E98" s="401" t="e">
        <f t="shared" si="74"/>
        <v>#REF!</v>
      </c>
      <c r="F98" s="401" t="e">
        <f t="shared" si="74"/>
        <v>#REF!</v>
      </c>
      <c r="G98" s="401" t="e">
        <f t="shared" si="74"/>
        <v>#REF!</v>
      </c>
      <c r="H98" s="401" t="e">
        <f t="shared" si="74"/>
        <v>#REF!</v>
      </c>
      <c r="I98" s="401" t="e">
        <f t="shared" si="74"/>
        <v>#REF!</v>
      </c>
      <c r="J98" s="401" t="e">
        <f t="shared" si="74"/>
        <v>#REF!</v>
      </c>
      <c r="K98" s="401" t="e">
        <f t="shared" si="74"/>
        <v>#REF!</v>
      </c>
      <c r="L98" s="401" t="e">
        <f t="shared" si="74"/>
        <v>#REF!</v>
      </c>
      <c r="M98" s="401" t="e">
        <f t="shared" si="74"/>
        <v>#REF!</v>
      </c>
      <c r="N98" s="401" t="e">
        <f t="shared" si="74"/>
        <v>#REF!</v>
      </c>
      <c r="O98" s="401" t="e">
        <f t="shared" si="74"/>
        <v>#REF!</v>
      </c>
      <c r="P98" s="401" t="e">
        <f t="shared" si="74"/>
        <v>#REF!</v>
      </c>
      <c r="Q98" s="401" t="e">
        <f t="shared" si="74"/>
        <v>#REF!</v>
      </c>
      <c r="R98" s="401" t="e">
        <f t="shared" si="74"/>
        <v>#REF!</v>
      </c>
      <c r="S98" s="401" t="e">
        <f t="shared" si="74"/>
        <v>#REF!</v>
      </c>
      <c r="T98" s="401" t="e">
        <f t="shared" si="74"/>
        <v>#REF!</v>
      </c>
      <c r="U98" s="401" t="e">
        <f t="shared" si="74"/>
        <v>#REF!</v>
      </c>
      <c r="V98" s="401" t="e">
        <f t="shared" si="74"/>
        <v>#REF!</v>
      </c>
      <c r="W98" s="401" t="e">
        <f t="shared" si="74"/>
        <v>#REF!</v>
      </c>
      <c r="X98" s="401" t="e">
        <f t="shared" si="74"/>
        <v>#REF!</v>
      </c>
      <c r="Y98" s="401" t="e">
        <f t="shared" si="74"/>
        <v>#REF!</v>
      </c>
      <c r="Z98" s="401" t="e">
        <f t="shared" si="74"/>
        <v>#REF!</v>
      </c>
      <c r="AA98" s="401" t="e">
        <f t="shared" si="74"/>
        <v>#REF!</v>
      </c>
      <c r="AB98" s="401" t="e">
        <f t="shared" si="74"/>
        <v>#REF!</v>
      </c>
      <c r="AC98" s="401" t="e">
        <f t="shared" si="74"/>
        <v>#REF!</v>
      </c>
      <c r="AD98" s="401" t="e">
        <f t="shared" si="74"/>
        <v>#REF!</v>
      </c>
      <c r="AE98" s="401" t="e">
        <f t="shared" si="74"/>
        <v>#REF!</v>
      </c>
      <c r="AF98" s="401" t="e">
        <f t="shared" si="74"/>
        <v>#REF!</v>
      </c>
      <c r="AG98" s="401" t="e">
        <f t="shared" si="74"/>
        <v>#REF!</v>
      </c>
      <c r="AH98" s="401" t="e">
        <f t="shared" si="74"/>
        <v>#REF!</v>
      </c>
      <c r="AI98" s="401" t="e">
        <f t="shared" si="74"/>
        <v>#REF!</v>
      </c>
      <c r="AJ98" s="401" t="e">
        <f t="shared" ref="AJ98:BJ98" si="75">AI98+AJ97</f>
        <v>#REF!</v>
      </c>
      <c r="AK98" s="401" t="e">
        <f t="shared" si="75"/>
        <v>#REF!</v>
      </c>
      <c r="AL98" s="401" t="e">
        <f t="shared" si="75"/>
        <v>#REF!</v>
      </c>
      <c r="AM98" s="401" t="e">
        <f t="shared" si="75"/>
        <v>#REF!</v>
      </c>
      <c r="AN98" s="401" t="e">
        <f t="shared" si="75"/>
        <v>#REF!</v>
      </c>
      <c r="AO98" s="401" t="e">
        <f t="shared" si="75"/>
        <v>#REF!</v>
      </c>
      <c r="AP98" s="401" t="e">
        <f t="shared" si="75"/>
        <v>#REF!</v>
      </c>
      <c r="AQ98" s="401" t="e">
        <f t="shared" si="75"/>
        <v>#REF!</v>
      </c>
      <c r="AR98" s="401" t="e">
        <f t="shared" si="75"/>
        <v>#REF!</v>
      </c>
      <c r="AS98" s="401" t="e">
        <f t="shared" si="75"/>
        <v>#REF!</v>
      </c>
      <c r="AT98" s="401" t="e">
        <f t="shared" si="75"/>
        <v>#REF!</v>
      </c>
      <c r="AU98" s="401" t="e">
        <f t="shared" si="75"/>
        <v>#REF!</v>
      </c>
      <c r="AV98" s="401" t="e">
        <f t="shared" si="75"/>
        <v>#REF!</v>
      </c>
      <c r="AW98" s="401" t="e">
        <f t="shared" si="75"/>
        <v>#REF!</v>
      </c>
      <c r="AX98" s="401" t="e">
        <f t="shared" si="75"/>
        <v>#REF!</v>
      </c>
      <c r="AY98" s="401" t="e">
        <f t="shared" si="75"/>
        <v>#REF!</v>
      </c>
      <c r="AZ98" s="401" t="e">
        <f t="shared" si="75"/>
        <v>#REF!</v>
      </c>
      <c r="BA98" s="401" t="e">
        <f t="shared" si="75"/>
        <v>#REF!</v>
      </c>
      <c r="BB98" s="401" t="e">
        <f t="shared" si="75"/>
        <v>#REF!</v>
      </c>
      <c r="BC98" s="401" t="e">
        <f t="shared" si="75"/>
        <v>#REF!</v>
      </c>
      <c r="BD98" s="401" t="e">
        <f t="shared" si="75"/>
        <v>#REF!</v>
      </c>
      <c r="BE98" s="401" t="e">
        <f t="shared" si="75"/>
        <v>#REF!</v>
      </c>
      <c r="BF98" s="401" t="e">
        <f t="shared" si="75"/>
        <v>#REF!</v>
      </c>
      <c r="BG98" s="401" t="e">
        <f t="shared" si="75"/>
        <v>#REF!</v>
      </c>
      <c r="BH98" s="401" t="e">
        <f t="shared" si="75"/>
        <v>#REF!</v>
      </c>
      <c r="BI98" s="401" t="e">
        <f t="shared" si="75"/>
        <v>#REF!</v>
      </c>
      <c r="BJ98" s="401" t="e">
        <f t="shared" si="75"/>
        <v>#REF!</v>
      </c>
      <c r="BK98" s="401" t="e">
        <f>BJ98</f>
        <v>#REF!</v>
      </c>
    </row>
    <row r="99" spans="1:63" ht="15" customHeight="1" x14ac:dyDescent="0.25">
      <c r="A99" s="393" t="s">
        <v>273</v>
      </c>
      <c r="BK99" s="402" t="e">
        <f>MIN(C98:BJ98)</f>
        <v>#REF!</v>
      </c>
    </row>
  </sheetData>
  <mergeCells count="15">
    <mergeCell ref="A42:BK42"/>
    <mergeCell ref="A64:BK64"/>
    <mergeCell ref="A72:BK72"/>
    <mergeCell ref="A81:BK81"/>
    <mergeCell ref="A93:BK93"/>
    <mergeCell ref="AM3:AX3"/>
    <mergeCell ref="AY3:BJ3"/>
    <mergeCell ref="A7:BK7"/>
    <mergeCell ref="A20:BK20"/>
    <mergeCell ref="A21:AD21"/>
    <mergeCell ref="A1:AD1"/>
    <mergeCell ref="A2:AD2"/>
    <mergeCell ref="C3:N3"/>
    <mergeCell ref="O3:Z3"/>
    <mergeCell ref="AA3:AL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A1:U15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"/>
    </sheetView>
  </sheetViews>
  <sheetFormatPr defaultColWidth="8.6640625" defaultRowHeight="13.2" x14ac:dyDescent="0.25"/>
  <cols>
    <col min="1" max="1" width="38" customWidth="1"/>
    <col min="2" max="2" width="16" customWidth="1"/>
    <col min="3" max="3" width="3" customWidth="1"/>
    <col min="4" max="4" width="24" customWidth="1"/>
    <col min="5" max="10" width="12" customWidth="1"/>
    <col min="11" max="11" width="24" customWidth="1"/>
    <col min="12" max="15" width="13" customWidth="1"/>
    <col min="16" max="16" width="32" customWidth="1"/>
    <col min="17" max="21" width="12" customWidth="1"/>
  </cols>
  <sheetData>
    <row r="1" spans="1:15" ht="31.5" customHeight="1" x14ac:dyDescent="0.25">
      <c r="A1" s="563" t="s">
        <v>274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</row>
    <row r="2" spans="1:15" ht="15.75" customHeight="1" x14ac:dyDescent="0.25">
      <c r="A2" s="564" t="s">
        <v>275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</row>
    <row r="4" spans="1:15" ht="15" customHeight="1" x14ac:dyDescent="0.25">
      <c r="A4" s="566" t="s">
        <v>276</v>
      </c>
      <c r="B4" s="566"/>
      <c r="C4" s="566"/>
      <c r="D4" s="566"/>
      <c r="E4" s="566"/>
      <c r="F4" s="566"/>
      <c r="G4" s="566"/>
      <c r="H4" s="566"/>
      <c r="I4" s="566"/>
      <c r="J4" s="566"/>
    </row>
    <row r="5" spans="1:15" ht="15" customHeight="1" x14ac:dyDescent="0.25">
      <c r="A5" s="366" t="s">
        <v>193</v>
      </c>
      <c r="B5" s="403" t="e">
        <f>'Feasibility Study'!AY38/1000</f>
        <v>#REF!</v>
      </c>
    </row>
    <row r="6" spans="1:15" ht="15" customHeight="1" x14ac:dyDescent="0.25">
      <c r="A6" s="404" t="s">
        <v>194</v>
      </c>
      <c r="B6" s="405" t="e">
        <f>'Feasibility Study'!AY61/1000</f>
        <v>#REF!</v>
      </c>
    </row>
    <row r="7" spans="1:15" ht="15" customHeight="1" x14ac:dyDescent="0.25">
      <c r="A7" s="366" t="s">
        <v>277</v>
      </c>
      <c r="B7" s="403" t="e">
        <f>'Feasibility Study'!AY148/1000</f>
        <v>#REF!</v>
      </c>
    </row>
    <row r="8" spans="1:15" ht="15" customHeight="1" x14ac:dyDescent="0.25">
      <c r="A8" s="404" t="s">
        <v>278</v>
      </c>
      <c r="B8" s="405" t="e">
        <f>'Feasibility Study'!AY161/1000</f>
        <v>#REF!</v>
      </c>
    </row>
    <row r="9" spans="1:15" ht="15" customHeight="1" x14ac:dyDescent="0.25">
      <c r="A9" s="366" t="s">
        <v>279</v>
      </c>
      <c r="B9" s="406" t="e">
        <f>IF(B6=0,0,B8/B6)</f>
        <v>#REF!</v>
      </c>
    </row>
    <row r="10" spans="1:15" ht="15" customHeight="1" x14ac:dyDescent="0.25">
      <c r="A10" s="404" t="s">
        <v>197</v>
      </c>
      <c r="B10" s="405">
        <f>'Feasibility Study'!AY72/1000</f>
        <v>12797.928000000002</v>
      </c>
    </row>
    <row r="11" spans="1:15" ht="15" customHeight="1" x14ac:dyDescent="0.25">
      <c r="A11" s="366" t="s">
        <v>198</v>
      </c>
      <c r="B11" s="403" t="e">
        <f>'Feasibility Study'!AY79/1000</f>
        <v>#REF!</v>
      </c>
    </row>
    <row r="12" spans="1:15" ht="15" customHeight="1" x14ac:dyDescent="0.25">
      <c r="A12" s="404" t="s">
        <v>280</v>
      </c>
      <c r="B12" s="405" t="e">
        <f>Cashflow!BK98</f>
        <v>#REF!</v>
      </c>
    </row>
    <row r="13" spans="1:15" ht="15" customHeight="1" x14ac:dyDescent="0.25">
      <c r="A13" s="366" t="s">
        <v>190</v>
      </c>
      <c r="B13" s="407" t="str">
        <f>Cashflow!B8</f>
        <v>BRDB Land Development</v>
      </c>
    </row>
    <row r="16" spans="1:15" ht="15" customHeight="1" x14ac:dyDescent="0.25">
      <c r="A16" s="566" t="s">
        <v>281</v>
      </c>
      <c r="B16" s="566"/>
      <c r="C16" s="566"/>
      <c r="D16" s="566"/>
      <c r="E16" s="566"/>
      <c r="F16" s="566"/>
      <c r="G16" s="566"/>
      <c r="H16" s="566"/>
      <c r="I16" s="566"/>
      <c r="J16" s="566"/>
    </row>
    <row r="17" spans="1:10" ht="15" customHeight="1" x14ac:dyDescent="0.25">
      <c r="A17" s="567" t="s">
        <v>282</v>
      </c>
      <c r="B17" s="567"/>
      <c r="C17" s="567"/>
      <c r="D17" s="567"/>
      <c r="E17" s="567"/>
      <c r="F17" s="567"/>
      <c r="G17" s="567"/>
      <c r="H17" s="567"/>
      <c r="I17" s="567"/>
      <c r="J17" s="567"/>
    </row>
    <row r="18" spans="1:10" ht="15" customHeight="1" x14ac:dyDescent="0.25">
      <c r="A18" s="372" t="s">
        <v>283</v>
      </c>
      <c r="B18" s="372" t="s">
        <v>284</v>
      </c>
      <c r="C18" s="372" t="s">
        <v>285</v>
      </c>
      <c r="D18" s="372" t="s">
        <v>286</v>
      </c>
    </row>
    <row r="19" spans="1:10" ht="15" customHeight="1" x14ac:dyDescent="0.25">
      <c r="A19" s="408" t="s">
        <v>287</v>
      </c>
      <c r="B19" s="409">
        <v>46023</v>
      </c>
      <c r="C19" s="410" t="e">
        <f>Cashflow!C97</f>
        <v>#REF!</v>
      </c>
      <c r="D19" s="410" t="e">
        <f>Cashflow!C98</f>
        <v>#REF!</v>
      </c>
    </row>
    <row r="20" spans="1:10" ht="15" customHeight="1" x14ac:dyDescent="0.25">
      <c r="A20" s="411" t="s">
        <v>288</v>
      </c>
      <c r="B20" s="412">
        <v>46054</v>
      </c>
      <c r="C20" s="413" t="e">
        <f>Cashflow!D97</f>
        <v>#REF!</v>
      </c>
      <c r="D20" s="413" t="e">
        <f>Cashflow!D98</f>
        <v>#REF!</v>
      </c>
    </row>
    <row r="21" spans="1:10" ht="15" customHeight="1" x14ac:dyDescent="0.25">
      <c r="A21" s="408" t="s">
        <v>289</v>
      </c>
      <c r="B21" s="409">
        <v>46082</v>
      </c>
      <c r="C21" s="410" t="e">
        <f>Cashflow!E97</f>
        <v>#REF!</v>
      </c>
      <c r="D21" s="410" t="e">
        <f>Cashflow!E98</f>
        <v>#REF!</v>
      </c>
    </row>
    <row r="22" spans="1:10" ht="15" customHeight="1" x14ac:dyDescent="0.25">
      <c r="A22" s="411" t="s">
        <v>290</v>
      </c>
      <c r="B22" s="412">
        <v>46113</v>
      </c>
      <c r="C22" s="413" t="e">
        <f>Cashflow!F97</f>
        <v>#REF!</v>
      </c>
      <c r="D22" s="413" t="e">
        <f>Cashflow!F98</f>
        <v>#REF!</v>
      </c>
    </row>
    <row r="23" spans="1:10" ht="15" customHeight="1" x14ac:dyDescent="0.25">
      <c r="A23" s="408" t="s">
        <v>291</v>
      </c>
      <c r="B23" s="409">
        <v>46143</v>
      </c>
      <c r="C23" s="410" t="e">
        <f>Cashflow!G97</f>
        <v>#REF!</v>
      </c>
      <c r="D23" s="410" t="e">
        <f>Cashflow!G98</f>
        <v>#REF!</v>
      </c>
    </row>
    <row r="24" spans="1:10" ht="15" customHeight="1" x14ac:dyDescent="0.25">
      <c r="A24" s="411" t="s">
        <v>292</v>
      </c>
      <c r="B24" s="412">
        <v>46174</v>
      </c>
      <c r="C24" s="413" t="e">
        <f>Cashflow!H97</f>
        <v>#REF!</v>
      </c>
      <c r="D24" s="413" t="e">
        <f>Cashflow!H98</f>
        <v>#REF!</v>
      </c>
    </row>
    <row r="25" spans="1:10" ht="15" customHeight="1" x14ac:dyDescent="0.25">
      <c r="A25" s="408" t="s">
        <v>293</v>
      </c>
      <c r="B25" s="409">
        <v>46204</v>
      </c>
      <c r="C25" s="410" t="e">
        <f>Cashflow!I97</f>
        <v>#REF!</v>
      </c>
      <c r="D25" s="410" t="e">
        <f>Cashflow!I98</f>
        <v>#REF!</v>
      </c>
    </row>
    <row r="26" spans="1:10" ht="15" customHeight="1" x14ac:dyDescent="0.25">
      <c r="A26" s="411" t="s">
        <v>294</v>
      </c>
      <c r="B26" s="412">
        <v>46235</v>
      </c>
      <c r="C26" s="413" t="e">
        <f>Cashflow!J97</f>
        <v>#REF!</v>
      </c>
      <c r="D26" s="413" t="e">
        <f>Cashflow!J98</f>
        <v>#REF!</v>
      </c>
    </row>
    <row r="27" spans="1:10" ht="15" customHeight="1" x14ac:dyDescent="0.25">
      <c r="A27" s="408" t="s">
        <v>295</v>
      </c>
      <c r="B27" s="409">
        <v>46266</v>
      </c>
      <c r="C27" s="410" t="e">
        <f>Cashflow!K97</f>
        <v>#REF!</v>
      </c>
      <c r="D27" s="410" t="e">
        <f>Cashflow!K98</f>
        <v>#REF!</v>
      </c>
    </row>
    <row r="28" spans="1:10" ht="15" customHeight="1" x14ac:dyDescent="0.25">
      <c r="A28" s="411" t="s">
        <v>296</v>
      </c>
      <c r="B28" s="412">
        <v>46296</v>
      </c>
      <c r="C28" s="413" t="e">
        <f>Cashflow!L97</f>
        <v>#REF!</v>
      </c>
      <c r="D28" s="413" t="e">
        <f>Cashflow!L98</f>
        <v>#REF!</v>
      </c>
    </row>
    <row r="29" spans="1:10" ht="15" customHeight="1" x14ac:dyDescent="0.25">
      <c r="A29" s="408" t="s">
        <v>297</v>
      </c>
      <c r="B29" s="409">
        <v>46327</v>
      </c>
      <c r="C29" s="410" t="e">
        <f>Cashflow!M97</f>
        <v>#REF!</v>
      </c>
      <c r="D29" s="410" t="e">
        <f>Cashflow!M98</f>
        <v>#REF!</v>
      </c>
    </row>
    <row r="30" spans="1:10" ht="15" customHeight="1" x14ac:dyDescent="0.25">
      <c r="A30" s="411" t="s">
        <v>298</v>
      </c>
      <c r="B30" s="412">
        <v>46357</v>
      </c>
      <c r="C30" s="413" t="e">
        <f>Cashflow!N97</f>
        <v>#REF!</v>
      </c>
      <c r="D30" s="413" t="e">
        <f>Cashflow!N98</f>
        <v>#REF!</v>
      </c>
    </row>
    <row r="31" spans="1:10" ht="15" customHeight="1" x14ac:dyDescent="0.25">
      <c r="A31" s="408" t="s">
        <v>299</v>
      </c>
      <c r="B31" s="409">
        <v>46388</v>
      </c>
      <c r="C31" s="410" t="e">
        <f>Cashflow!O97</f>
        <v>#REF!</v>
      </c>
      <c r="D31" s="410" t="e">
        <f>Cashflow!O98</f>
        <v>#REF!</v>
      </c>
    </row>
    <row r="32" spans="1:10" ht="15" customHeight="1" x14ac:dyDescent="0.25">
      <c r="A32" s="411" t="s">
        <v>300</v>
      </c>
      <c r="B32" s="412">
        <v>46419</v>
      </c>
      <c r="C32" s="413" t="e">
        <f>Cashflow!P97</f>
        <v>#REF!</v>
      </c>
      <c r="D32" s="413" t="e">
        <f>Cashflow!P98</f>
        <v>#REF!</v>
      </c>
    </row>
    <row r="33" spans="1:10" ht="15" customHeight="1" x14ac:dyDescent="0.25">
      <c r="A33" s="408" t="s">
        <v>301</v>
      </c>
      <c r="B33" s="409">
        <v>46447</v>
      </c>
      <c r="C33" s="410" t="e">
        <f>Cashflow!Q97</f>
        <v>#REF!</v>
      </c>
      <c r="D33" s="410" t="e">
        <f>Cashflow!Q98</f>
        <v>#REF!</v>
      </c>
    </row>
    <row r="34" spans="1:10" ht="15" customHeight="1" x14ac:dyDescent="0.25">
      <c r="A34" s="411" t="s">
        <v>302</v>
      </c>
      <c r="B34" s="412">
        <v>46478</v>
      </c>
      <c r="C34" s="413" t="e">
        <f>Cashflow!R97</f>
        <v>#REF!</v>
      </c>
      <c r="D34" s="413" t="e">
        <f>Cashflow!R98</f>
        <v>#REF!</v>
      </c>
    </row>
    <row r="35" spans="1:10" ht="15" customHeight="1" x14ac:dyDescent="0.25">
      <c r="A35" s="408" t="s">
        <v>303</v>
      </c>
      <c r="B35" s="409">
        <v>46508</v>
      </c>
      <c r="C35" s="410" t="e">
        <f>Cashflow!S97</f>
        <v>#REF!</v>
      </c>
      <c r="D35" s="410" t="e">
        <f>Cashflow!S98</f>
        <v>#REF!</v>
      </c>
    </row>
    <row r="36" spans="1:10" ht="15" customHeight="1" x14ac:dyDescent="0.25">
      <c r="A36" s="411" t="s">
        <v>304</v>
      </c>
      <c r="B36" s="412">
        <v>46539</v>
      </c>
      <c r="C36" s="413" t="e">
        <f>Cashflow!T97</f>
        <v>#REF!</v>
      </c>
      <c r="D36" s="413" t="e">
        <f>Cashflow!T98</f>
        <v>#REF!</v>
      </c>
    </row>
    <row r="37" spans="1:10" ht="15" customHeight="1" x14ac:dyDescent="0.25">
      <c r="A37" s="408" t="s">
        <v>305</v>
      </c>
      <c r="B37" s="409">
        <v>46569</v>
      </c>
      <c r="C37" s="410" t="e">
        <f>Cashflow!U97</f>
        <v>#REF!</v>
      </c>
      <c r="D37" s="410" t="e">
        <f>Cashflow!U98</f>
        <v>#REF!</v>
      </c>
    </row>
    <row r="38" spans="1:10" ht="15" customHeight="1" x14ac:dyDescent="0.25">
      <c r="A38" s="411" t="s">
        <v>306</v>
      </c>
      <c r="B38" s="412">
        <v>46600</v>
      </c>
      <c r="C38" s="413" t="e">
        <f>Cashflow!V97</f>
        <v>#REF!</v>
      </c>
      <c r="D38" s="413" t="e">
        <f>Cashflow!V98</f>
        <v>#REF!</v>
      </c>
    </row>
    <row r="39" spans="1:10" ht="15" customHeight="1" x14ac:dyDescent="0.25">
      <c r="A39" s="408" t="s">
        <v>307</v>
      </c>
      <c r="B39" s="409">
        <v>46631</v>
      </c>
      <c r="C39" s="410" t="e">
        <f>Cashflow!W97</f>
        <v>#REF!</v>
      </c>
      <c r="D39" s="410" t="e">
        <f>Cashflow!W98</f>
        <v>#REF!</v>
      </c>
    </row>
    <row r="40" spans="1:10" ht="15" customHeight="1" x14ac:dyDescent="0.25">
      <c r="A40" s="570" t="s">
        <v>308</v>
      </c>
      <c r="B40" s="570"/>
      <c r="C40" s="570"/>
      <c r="D40" s="570"/>
      <c r="E40" s="570"/>
      <c r="F40" s="570"/>
      <c r="G40" s="570"/>
      <c r="H40" s="570"/>
      <c r="I40" s="570"/>
      <c r="J40" s="570"/>
    </row>
    <row r="41" spans="1:10" ht="15" customHeight="1" x14ac:dyDescent="0.25">
      <c r="A41" s="408" t="s">
        <v>309</v>
      </c>
      <c r="B41" s="409">
        <v>46692</v>
      </c>
      <c r="C41" s="410" t="e">
        <f>Cashflow!Y97</f>
        <v>#REF!</v>
      </c>
      <c r="D41" s="410" t="e">
        <f>Cashflow!Y98</f>
        <v>#REF!</v>
      </c>
    </row>
    <row r="42" spans="1:10" ht="15" customHeight="1" x14ac:dyDescent="0.25">
      <c r="A42" s="411" t="s">
        <v>310</v>
      </c>
      <c r="B42" s="412">
        <v>46722</v>
      </c>
      <c r="C42" s="413" t="e">
        <f>Cashflow!Z97</f>
        <v>#REF!</v>
      </c>
      <c r="D42" s="413" t="e">
        <f>Cashflow!Z98</f>
        <v>#REF!</v>
      </c>
    </row>
    <row r="43" spans="1:10" ht="15" customHeight="1" x14ac:dyDescent="0.25">
      <c r="A43" s="408" t="s">
        <v>311</v>
      </c>
      <c r="B43" s="409">
        <v>46753</v>
      </c>
      <c r="C43" s="410" t="e">
        <f>Cashflow!AA97</f>
        <v>#REF!</v>
      </c>
      <c r="D43" s="410" t="e">
        <f>Cashflow!AA98</f>
        <v>#REF!</v>
      </c>
    </row>
    <row r="44" spans="1:10" ht="15" customHeight="1" x14ac:dyDescent="0.25">
      <c r="A44" s="411" t="s">
        <v>312</v>
      </c>
      <c r="B44" s="412">
        <v>46784</v>
      </c>
      <c r="C44" s="413" t="e">
        <f>Cashflow!AB97</f>
        <v>#REF!</v>
      </c>
      <c r="D44" s="413" t="e">
        <f>Cashflow!AB98</f>
        <v>#REF!</v>
      </c>
    </row>
    <row r="45" spans="1:10" ht="15" customHeight="1" x14ac:dyDescent="0.25">
      <c r="A45" s="408" t="s">
        <v>313</v>
      </c>
      <c r="B45" s="409">
        <v>46813</v>
      </c>
      <c r="C45" s="410" t="e">
        <f>Cashflow!AC97</f>
        <v>#REF!</v>
      </c>
      <c r="D45" s="410" t="e">
        <f>Cashflow!AC98</f>
        <v>#REF!</v>
      </c>
    </row>
    <row r="46" spans="1:10" ht="15" customHeight="1" x14ac:dyDescent="0.25">
      <c r="A46" s="411" t="s">
        <v>314</v>
      </c>
      <c r="B46" s="412">
        <v>46844</v>
      </c>
      <c r="C46" s="413" t="e">
        <f>Cashflow!AD97</f>
        <v>#REF!</v>
      </c>
      <c r="D46" s="413" t="e">
        <f>Cashflow!AD98</f>
        <v>#REF!</v>
      </c>
    </row>
    <row r="47" spans="1:10" ht="15" customHeight="1" x14ac:dyDescent="0.25">
      <c r="A47" s="408" t="s">
        <v>315</v>
      </c>
      <c r="B47" s="409">
        <v>46874</v>
      </c>
      <c r="C47" s="410" t="e">
        <f>Cashflow!AE97</f>
        <v>#REF!</v>
      </c>
      <c r="D47" s="410" t="e">
        <f>Cashflow!AE98</f>
        <v>#REF!</v>
      </c>
    </row>
    <row r="48" spans="1:10" ht="15" customHeight="1" x14ac:dyDescent="0.25">
      <c r="A48" s="411" t="s">
        <v>316</v>
      </c>
      <c r="B48" s="412">
        <v>46905</v>
      </c>
      <c r="C48" s="413" t="e">
        <f>Cashflow!AF97</f>
        <v>#REF!</v>
      </c>
      <c r="D48" s="413" t="e">
        <f>Cashflow!AF98</f>
        <v>#REF!</v>
      </c>
    </row>
    <row r="49" spans="1:10" ht="15" customHeight="1" x14ac:dyDescent="0.25">
      <c r="A49" s="408" t="s">
        <v>317</v>
      </c>
      <c r="B49" s="409">
        <v>46935</v>
      </c>
      <c r="C49" s="410" t="e">
        <f>Cashflow!AG97</f>
        <v>#REF!</v>
      </c>
      <c r="D49" s="410" t="e">
        <f>Cashflow!AG98</f>
        <v>#REF!</v>
      </c>
    </row>
    <row r="50" spans="1:10" ht="15" customHeight="1" x14ac:dyDescent="0.25">
      <c r="A50" s="411" t="s">
        <v>318</v>
      </c>
      <c r="B50" s="412">
        <v>46966</v>
      </c>
      <c r="C50" s="413" t="e">
        <f>Cashflow!AH97</f>
        <v>#REF!</v>
      </c>
      <c r="D50" s="413" t="e">
        <f>Cashflow!AH98</f>
        <v>#REF!</v>
      </c>
    </row>
    <row r="51" spans="1:10" ht="15" customHeight="1" x14ac:dyDescent="0.25">
      <c r="A51" s="408" t="s">
        <v>319</v>
      </c>
      <c r="B51" s="409">
        <v>46997</v>
      </c>
      <c r="C51" s="410" t="e">
        <f>Cashflow!AI97</f>
        <v>#REF!</v>
      </c>
      <c r="D51" s="410" t="e">
        <f>Cashflow!AI98</f>
        <v>#REF!</v>
      </c>
    </row>
    <row r="52" spans="1:10" ht="15" customHeight="1" x14ac:dyDescent="0.25">
      <c r="A52" s="411" t="s">
        <v>320</v>
      </c>
      <c r="B52" s="412">
        <v>47027</v>
      </c>
      <c r="C52" s="413" t="e">
        <f>Cashflow!AJ97</f>
        <v>#REF!</v>
      </c>
      <c r="D52" s="413" t="e">
        <f>Cashflow!AJ98</f>
        <v>#REF!</v>
      </c>
    </row>
    <row r="53" spans="1:10" ht="15" customHeight="1" x14ac:dyDescent="0.25">
      <c r="A53" s="571" t="s">
        <v>321</v>
      </c>
      <c r="B53" s="571"/>
      <c r="C53" s="571"/>
      <c r="D53" s="571"/>
      <c r="E53" s="571"/>
      <c r="F53" s="571"/>
      <c r="G53" s="571"/>
      <c r="H53" s="571"/>
      <c r="I53" s="571"/>
      <c r="J53" s="571"/>
    </row>
    <row r="54" spans="1:10" ht="15" customHeight="1" x14ac:dyDescent="0.25">
      <c r="A54" s="570" t="s">
        <v>322</v>
      </c>
      <c r="B54" s="570"/>
      <c r="C54" s="570"/>
      <c r="D54" s="570"/>
      <c r="E54" s="570"/>
      <c r="F54" s="570"/>
      <c r="G54" s="570"/>
      <c r="H54" s="570"/>
      <c r="I54" s="570"/>
      <c r="J54" s="570"/>
    </row>
    <row r="55" spans="1:10" ht="15" customHeight="1" x14ac:dyDescent="0.25">
      <c r="A55" s="408" t="s">
        <v>323</v>
      </c>
      <c r="B55" s="409">
        <v>47119</v>
      </c>
      <c r="C55" s="410" t="e">
        <f>Cashflow!AM97</f>
        <v>#REF!</v>
      </c>
      <c r="D55" s="410" t="e">
        <f>Cashflow!AM98</f>
        <v>#REF!</v>
      </c>
    </row>
    <row r="56" spans="1:10" ht="15" customHeight="1" x14ac:dyDescent="0.25">
      <c r="A56" s="411" t="s">
        <v>324</v>
      </c>
      <c r="B56" s="412">
        <v>47150</v>
      </c>
      <c r="C56" s="413" t="e">
        <f>Cashflow!AN97</f>
        <v>#REF!</v>
      </c>
      <c r="D56" s="413" t="e">
        <f>Cashflow!AN98</f>
        <v>#REF!</v>
      </c>
    </row>
    <row r="57" spans="1:10" ht="15" customHeight="1" x14ac:dyDescent="0.25">
      <c r="A57" s="408" t="s">
        <v>325</v>
      </c>
      <c r="B57" s="409">
        <v>47178</v>
      </c>
      <c r="C57" s="410" t="e">
        <f>Cashflow!AO97</f>
        <v>#REF!</v>
      </c>
      <c r="D57" s="410" t="e">
        <f>Cashflow!AO98</f>
        <v>#REF!</v>
      </c>
    </row>
    <row r="58" spans="1:10" ht="15" customHeight="1" x14ac:dyDescent="0.25">
      <c r="A58" s="411" t="s">
        <v>326</v>
      </c>
      <c r="B58" s="412">
        <v>47209</v>
      </c>
      <c r="C58" s="413" t="e">
        <f>Cashflow!AP97</f>
        <v>#REF!</v>
      </c>
      <c r="D58" s="413" t="e">
        <f>Cashflow!AP98</f>
        <v>#REF!</v>
      </c>
    </row>
    <row r="59" spans="1:10" ht="15" customHeight="1" x14ac:dyDescent="0.25">
      <c r="A59" s="408" t="s">
        <v>327</v>
      </c>
      <c r="B59" s="409">
        <v>47239</v>
      </c>
      <c r="C59" s="410" t="e">
        <f>Cashflow!AQ97</f>
        <v>#REF!</v>
      </c>
      <c r="D59" s="410" t="e">
        <f>Cashflow!AQ98</f>
        <v>#REF!</v>
      </c>
    </row>
    <row r="60" spans="1:10" ht="15" customHeight="1" x14ac:dyDescent="0.25">
      <c r="A60" s="411" t="s">
        <v>328</v>
      </c>
      <c r="B60" s="412">
        <v>47270</v>
      </c>
      <c r="C60" s="413" t="e">
        <f>Cashflow!AR97</f>
        <v>#REF!</v>
      </c>
      <c r="D60" s="413" t="e">
        <f>Cashflow!AR98</f>
        <v>#REF!</v>
      </c>
    </row>
    <row r="61" spans="1:10" ht="15" customHeight="1" x14ac:dyDescent="0.25">
      <c r="A61" s="408" t="s">
        <v>329</v>
      </c>
      <c r="B61" s="409">
        <v>47300</v>
      </c>
      <c r="C61" s="410" t="e">
        <f>Cashflow!AS97</f>
        <v>#REF!</v>
      </c>
      <c r="D61" s="410" t="e">
        <f>Cashflow!AS98</f>
        <v>#REF!</v>
      </c>
    </row>
    <row r="62" spans="1:10" ht="15" customHeight="1" x14ac:dyDescent="0.25">
      <c r="A62" s="411" t="s">
        <v>330</v>
      </c>
      <c r="B62" s="412">
        <v>47331</v>
      </c>
      <c r="C62" s="413" t="e">
        <f>Cashflow!AT97</f>
        <v>#REF!</v>
      </c>
      <c r="D62" s="413" t="e">
        <f>Cashflow!AT98</f>
        <v>#REF!</v>
      </c>
    </row>
    <row r="63" spans="1:10" ht="15" customHeight="1" x14ac:dyDescent="0.25">
      <c r="A63" s="571" t="s">
        <v>331</v>
      </c>
      <c r="B63" s="571"/>
      <c r="C63" s="571"/>
      <c r="D63" s="571"/>
      <c r="E63" s="571"/>
      <c r="F63" s="571"/>
      <c r="G63" s="571"/>
      <c r="H63" s="571"/>
      <c r="I63" s="571"/>
      <c r="J63" s="571"/>
    </row>
    <row r="64" spans="1:10" ht="15" customHeight="1" x14ac:dyDescent="0.25">
      <c r="A64" s="570" t="s">
        <v>332</v>
      </c>
      <c r="B64" s="570"/>
      <c r="C64" s="570"/>
      <c r="D64" s="570"/>
      <c r="E64" s="570"/>
      <c r="F64" s="570"/>
      <c r="G64" s="570"/>
      <c r="H64" s="570"/>
      <c r="I64" s="570"/>
      <c r="J64" s="570"/>
    </row>
    <row r="65" spans="1:21" ht="15" customHeight="1" x14ac:dyDescent="0.25">
      <c r="A65" s="408" t="s">
        <v>333</v>
      </c>
      <c r="B65" s="409">
        <v>47423</v>
      </c>
      <c r="C65" s="410" t="e">
        <f>Cashflow!AW97</f>
        <v>#REF!</v>
      </c>
      <c r="D65" s="410" t="e">
        <f>Cashflow!AW98</f>
        <v>#REF!</v>
      </c>
    </row>
    <row r="66" spans="1:21" ht="15" customHeight="1" x14ac:dyDescent="0.25">
      <c r="A66" s="411" t="s">
        <v>334</v>
      </c>
      <c r="B66" s="412">
        <v>47453</v>
      </c>
      <c r="C66" s="413" t="e">
        <f>Cashflow!AX97</f>
        <v>#REF!</v>
      </c>
      <c r="D66" s="413" t="e">
        <f>Cashflow!AX98</f>
        <v>#REF!</v>
      </c>
    </row>
    <row r="67" spans="1:21" ht="15" customHeight="1" x14ac:dyDescent="0.25">
      <c r="A67" s="408" t="s">
        <v>335</v>
      </c>
      <c r="B67" s="409">
        <v>47484</v>
      </c>
      <c r="C67" s="410" t="e">
        <f>Cashflow!AY97</f>
        <v>#REF!</v>
      </c>
      <c r="D67" s="410" t="e">
        <f>Cashflow!AY98</f>
        <v>#REF!</v>
      </c>
    </row>
    <row r="68" spans="1:21" ht="15" customHeight="1" x14ac:dyDescent="0.25">
      <c r="A68" s="411" t="s">
        <v>336</v>
      </c>
      <c r="B68" s="412">
        <v>47515</v>
      </c>
      <c r="C68" s="413" t="e">
        <f>Cashflow!AZ97</f>
        <v>#REF!</v>
      </c>
      <c r="D68" s="413" t="e">
        <f>Cashflow!AZ98</f>
        <v>#REF!</v>
      </c>
    </row>
    <row r="69" spans="1:21" ht="15" customHeight="1" x14ac:dyDescent="0.25">
      <c r="A69" s="408" t="s">
        <v>337</v>
      </c>
      <c r="B69" s="409">
        <v>47543</v>
      </c>
      <c r="C69" s="410" t="e">
        <f>Cashflow!BA97</f>
        <v>#REF!</v>
      </c>
      <c r="D69" s="410" t="e">
        <f>Cashflow!BA98</f>
        <v>#REF!</v>
      </c>
    </row>
    <row r="70" spans="1:21" ht="15" customHeight="1" x14ac:dyDescent="0.25">
      <c r="A70" s="411" t="s">
        <v>338</v>
      </c>
      <c r="B70" s="412">
        <v>47574</v>
      </c>
      <c r="C70" s="413" t="e">
        <f>Cashflow!BB97</f>
        <v>#REF!</v>
      </c>
      <c r="D70" s="413" t="e">
        <f>Cashflow!BB98</f>
        <v>#REF!</v>
      </c>
    </row>
    <row r="71" spans="1:21" ht="15" customHeight="1" x14ac:dyDescent="0.25">
      <c r="A71" s="408" t="s">
        <v>339</v>
      </c>
      <c r="B71" s="409">
        <v>47604</v>
      </c>
      <c r="C71" s="410" t="e">
        <f>Cashflow!BC97</f>
        <v>#REF!</v>
      </c>
      <c r="D71" s="410" t="e">
        <f>Cashflow!BC98</f>
        <v>#REF!</v>
      </c>
    </row>
    <row r="72" spans="1:21" ht="15" customHeight="1" x14ac:dyDescent="0.25">
      <c r="A72" s="411" t="s">
        <v>340</v>
      </c>
      <c r="B72" s="412">
        <v>47635</v>
      </c>
      <c r="C72" s="413" t="e">
        <f>Cashflow!BD97</f>
        <v>#REF!</v>
      </c>
      <c r="D72" s="413" t="e">
        <f>Cashflow!BD98</f>
        <v>#REF!</v>
      </c>
    </row>
    <row r="73" spans="1:21" ht="15" customHeight="1" x14ac:dyDescent="0.25">
      <c r="A73" s="571" t="s">
        <v>341</v>
      </c>
      <c r="B73" s="571"/>
      <c r="C73" s="571"/>
      <c r="D73" s="571"/>
      <c r="E73" s="571"/>
      <c r="F73" s="571"/>
      <c r="G73" s="571"/>
      <c r="H73" s="571"/>
      <c r="I73" s="571"/>
      <c r="J73" s="571"/>
    </row>
    <row r="74" spans="1:21" ht="15" customHeight="1" x14ac:dyDescent="0.25">
      <c r="A74" s="570" t="s">
        <v>342</v>
      </c>
      <c r="B74" s="570"/>
      <c r="C74" s="570"/>
      <c r="D74" s="570"/>
      <c r="E74" s="570"/>
      <c r="F74" s="570"/>
      <c r="G74" s="570"/>
      <c r="H74" s="570"/>
      <c r="I74" s="570"/>
      <c r="J74" s="570"/>
    </row>
    <row r="75" spans="1:21" ht="27.75" customHeight="1" x14ac:dyDescent="0.25">
      <c r="A75" s="408" t="s">
        <v>343</v>
      </c>
      <c r="B75" s="409">
        <v>47727</v>
      </c>
      <c r="C75" s="410" t="e">
        <f>Cashflow!BG97</f>
        <v>#REF!</v>
      </c>
      <c r="D75" s="410" t="e">
        <f>Cashflow!BG98</f>
        <v>#REF!</v>
      </c>
    </row>
    <row r="76" spans="1:21" ht="15" customHeight="1" x14ac:dyDescent="0.25">
      <c r="A76" s="411" t="s">
        <v>344</v>
      </c>
      <c r="B76" s="412">
        <v>47757</v>
      </c>
      <c r="C76" s="413" t="e">
        <f>Cashflow!BH97</f>
        <v>#REF!</v>
      </c>
      <c r="D76" s="413" t="e">
        <f>Cashflow!BH98</f>
        <v>#REF!</v>
      </c>
    </row>
    <row r="77" spans="1:21" ht="15" customHeight="1" x14ac:dyDescent="0.25">
      <c r="A77" s="408" t="s">
        <v>345</v>
      </c>
      <c r="B77" s="409">
        <v>47788</v>
      </c>
      <c r="C77" s="410" t="e">
        <f>Cashflow!BI97</f>
        <v>#REF!</v>
      </c>
      <c r="D77" s="410" t="e">
        <f>Cashflow!BI98</f>
        <v>#REF!</v>
      </c>
    </row>
    <row r="78" spans="1:21" ht="15" customHeight="1" x14ac:dyDescent="0.25">
      <c r="A78" s="411" t="s">
        <v>346</v>
      </c>
      <c r="B78" s="412">
        <v>47818</v>
      </c>
      <c r="C78" s="413" t="e">
        <f>Cashflow!BJ97</f>
        <v>#REF!</v>
      </c>
      <c r="D78" s="413" t="e">
        <f>Cashflow!BJ98</f>
        <v>#REF!</v>
      </c>
    </row>
    <row r="79" spans="1:21" ht="19.5" customHeight="1" x14ac:dyDescent="0.25">
      <c r="A79" s="566" t="s">
        <v>347</v>
      </c>
      <c r="B79" s="566"/>
      <c r="C79" s="566"/>
      <c r="D79" s="566"/>
      <c r="E79" s="566"/>
      <c r="F79" s="566"/>
      <c r="G79" s="566"/>
      <c r="H79" s="566"/>
      <c r="I79" s="566"/>
      <c r="J79" s="566"/>
      <c r="K79" s="566"/>
      <c r="L79" s="566"/>
      <c r="M79" s="566"/>
      <c r="N79" s="566"/>
      <c r="O79" s="566"/>
      <c r="P79" s="566"/>
      <c r="Q79" s="566"/>
      <c r="R79" s="566"/>
      <c r="S79" s="566"/>
      <c r="T79" s="566"/>
      <c r="U79" s="566"/>
    </row>
    <row r="80" spans="1:21" ht="15" customHeight="1" x14ac:dyDescent="0.25">
      <c r="A80" s="564" t="s">
        <v>348</v>
      </c>
      <c r="B80" s="564"/>
      <c r="C80" s="564"/>
      <c r="D80" s="564"/>
      <c r="E80" s="564"/>
      <c r="F80" s="564"/>
      <c r="G80" s="564"/>
      <c r="H80" s="564"/>
      <c r="I80" s="564"/>
      <c r="J80" s="564"/>
      <c r="K80" s="564"/>
      <c r="L80" s="564"/>
      <c r="M80" s="564"/>
      <c r="N80" s="564"/>
      <c r="O80" s="564"/>
      <c r="P80" s="564"/>
      <c r="Q80" s="564"/>
      <c r="R80" s="564"/>
      <c r="S80" s="564"/>
      <c r="T80" s="564"/>
      <c r="U80" s="564"/>
    </row>
    <row r="81" spans="1:21" ht="21.75" customHeight="1" x14ac:dyDescent="0.25">
      <c r="A81" s="366" t="s">
        <v>349</v>
      </c>
      <c r="B81" s="414" t="str">
        <f>IFERROR(XIRR(C19:C78,B19:B78,0.15),"Inputs needed")</f>
        <v>Inputs needed</v>
      </c>
    </row>
    <row r="82" spans="1:21" ht="19.5" customHeight="1" x14ac:dyDescent="0.25">
      <c r="A82" s="404" t="s">
        <v>350</v>
      </c>
      <c r="B82" s="415" t="str">
        <f>IFERROR(XIRR(C19:C78,B19:B78,0.15),"Inputs needed")</f>
        <v>Inputs needed</v>
      </c>
    </row>
    <row r="83" spans="1:21" ht="19.5" customHeight="1" x14ac:dyDescent="0.25">
      <c r="A83" s="366" t="s">
        <v>351</v>
      </c>
      <c r="B83" s="416" t="str">
        <f>IFERROR(NPV(0.12/12,C19:C78)/1,"N/A")</f>
        <v>N/A</v>
      </c>
    </row>
    <row r="84" spans="1:21" ht="19.5" customHeight="1" x14ac:dyDescent="0.25">
      <c r="A84" s="404" t="s">
        <v>352</v>
      </c>
      <c r="B84" s="417" t="str">
        <f>IFERROR(NPV(0.15/12,C19:C78)/1,"N/A")</f>
        <v>N/A</v>
      </c>
    </row>
    <row r="85" spans="1:21" ht="19.5" customHeight="1" x14ac:dyDescent="0.25">
      <c r="A85" s="366" t="s">
        <v>353</v>
      </c>
      <c r="B85" s="417" t="str">
        <f>IFERROR(NPV(0.18/12,C19:C78)/1,"N/A")</f>
        <v>N/A</v>
      </c>
    </row>
    <row r="86" spans="1:21" ht="19.5" customHeight="1" x14ac:dyDescent="0.25">
      <c r="A86" s="404" t="s">
        <v>354</v>
      </c>
      <c r="B86" s="418" t="str">
        <f>IFERROR(B6-B7,"Inputs needed")</f>
        <v>Inputs needed</v>
      </c>
    </row>
    <row r="87" spans="1:21" ht="19.5" customHeight="1" x14ac:dyDescent="0.25">
      <c r="A87" s="366" t="s">
        <v>355</v>
      </c>
      <c r="B87" s="419" t="str">
        <f>IFERROR((B6-B7)/ABS(B12),"N/A")</f>
        <v>N/A</v>
      </c>
    </row>
    <row r="88" spans="1:21" ht="19.5" customHeight="1" x14ac:dyDescent="0.25">
      <c r="A88" s="404" t="s">
        <v>279</v>
      </c>
      <c r="B88" s="420" t="str">
        <f>IFERROR(B8/B6,"N/A")</f>
        <v>N/A</v>
      </c>
    </row>
    <row r="89" spans="1:21" ht="19.5" customHeight="1" x14ac:dyDescent="0.25">
      <c r="A89" s="366" t="s">
        <v>356</v>
      </c>
      <c r="B89" s="420" t="str">
        <f>IFERROR(B8/B5,"N/A")</f>
        <v>N/A</v>
      </c>
    </row>
    <row r="90" spans="1:21" ht="19.5" customHeight="1" x14ac:dyDescent="0.25">
      <c r="A90" s="404" t="s">
        <v>357</v>
      </c>
      <c r="B90" s="421" t="str">
        <f>IFERROR(MATCH(TRUE(),INDEX(Cashflow!C98:BJ98&gt;=0,),0),"Not within 5 years")</f>
        <v>Not within 5 years</v>
      </c>
    </row>
    <row r="92" spans="1:21" ht="19.5" customHeight="1" x14ac:dyDescent="0.25">
      <c r="A92" s="566" t="s">
        <v>358</v>
      </c>
      <c r="B92" s="566"/>
      <c r="C92" s="566"/>
      <c r="D92" s="566"/>
      <c r="E92" s="566"/>
      <c r="F92" s="566"/>
      <c r="G92" s="566"/>
      <c r="H92" s="566"/>
      <c r="I92" s="566"/>
      <c r="J92" s="566"/>
      <c r="K92" s="566"/>
      <c r="L92" s="566"/>
      <c r="M92" s="566"/>
      <c r="N92" s="566"/>
      <c r="O92" s="566"/>
      <c r="P92" s="566"/>
      <c r="Q92" s="566"/>
      <c r="R92" s="566"/>
      <c r="S92" s="566"/>
      <c r="T92" s="566"/>
      <c r="U92" s="566"/>
    </row>
    <row r="93" spans="1:21" ht="15" customHeight="1" x14ac:dyDescent="0.25">
      <c r="A93" s="564" t="s">
        <v>359</v>
      </c>
      <c r="B93" s="564"/>
      <c r="C93" s="564"/>
      <c r="D93" s="564"/>
      <c r="E93" s="564"/>
      <c r="F93" s="564"/>
      <c r="G93" s="564"/>
      <c r="H93" s="564"/>
      <c r="I93" s="564"/>
      <c r="J93" s="564"/>
      <c r="K93" s="564"/>
      <c r="L93" s="564"/>
      <c r="M93" s="564"/>
      <c r="N93" s="564"/>
      <c r="O93" s="564"/>
      <c r="P93" s="564"/>
      <c r="Q93" s="564"/>
      <c r="R93" s="564"/>
      <c r="S93" s="564"/>
      <c r="T93" s="564"/>
      <c r="U93" s="564"/>
    </row>
    <row r="94" spans="1:21" ht="15" customHeight="1" x14ac:dyDescent="0.25">
      <c r="D94" s="422">
        <v>680</v>
      </c>
      <c r="E94" s="423">
        <v>0.8</v>
      </c>
    </row>
    <row r="95" spans="1:21" ht="27.75" customHeight="1" x14ac:dyDescent="0.25">
      <c r="D95" s="424" t="s">
        <v>360</v>
      </c>
      <c r="E95" s="425" t="s">
        <v>361</v>
      </c>
      <c r="F95" s="425" t="s">
        <v>362</v>
      </c>
      <c r="G95" s="426" t="s">
        <v>363</v>
      </c>
      <c r="H95" s="425" t="s">
        <v>364</v>
      </c>
      <c r="I95" s="425" t="s">
        <v>365</v>
      </c>
    </row>
    <row r="96" spans="1:21" ht="24" customHeight="1" x14ac:dyDescent="0.25">
      <c r="D96" s="427" t="s">
        <v>366</v>
      </c>
      <c r="E96" s="428" t="str">
        <f>IFERROR(XIRR(C19:C78,B19:B78,0.15)*(544/680)*(0.6/0.8),"N/A")</f>
        <v>N/A</v>
      </c>
      <c r="F96" s="428" t="str">
        <f>IFERROR(XIRR(C19:C78,B19:B78,0.15)*(544/680)*(0.7/0.8),"N/A")</f>
        <v>N/A</v>
      </c>
      <c r="G96" s="428" t="str">
        <f>IFERROR(XIRR(C19:C78,B19:B78,0.15)*(544/680)*(0.8/0.8),"N/A")</f>
        <v>N/A</v>
      </c>
      <c r="H96" s="428" t="str">
        <f>IFERROR(XIRR(C19:C78,B19:B78,0.15)*(544/680)*(0.9/0.8),"N/A")</f>
        <v>N/A</v>
      </c>
      <c r="I96" s="428" t="str">
        <f>IFERROR(XIRR(C19:C78,B19:B78,0.15)*(544/680)*(1/0.8),"N/A")</f>
        <v>N/A</v>
      </c>
    </row>
    <row r="97" spans="1:21" ht="24" customHeight="1" x14ac:dyDescent="0.25">
      <c r="D97" s="427" t="s">
        <v>367</v>
      </c>
      <c r="E97" s="428" t="str">
        <f>IFERROR(XIRR(C19:C78,B19:B78,0.15)*(612/680)*(0.6/0.8),"N/A")</f>
        <v>N/A</v>
      </c>
      <c r="F97" s="428" t="str">
        <f>IFERROR(XIRR(C19:C78,B19:B78,0.15)*(612/680)*(0.7/0.8),"N/A")</f>
        <v>N/A</v>
      </c>
      <c r="G97" s="428" t="str">
        <f>IFERROR(XIRR(C19:C78,B19:B78,0.15)*(612/680)*(0.8/0.8),"N/A")</f>
        <v>N/A</v>
      </c>
      <c r="H97" s="428" t="str">
        <f>IFERROR(XIRR(C19:C78,B19:B78,0.15)*(612/680)*(0.9/0.8),"N/A")</f>
        <v>N/A</v>
      </c>
      <c r="I97" s="428" t="str">
        <f>IFERROR(XIRR(C19:C78,B19:B78,0.15)*(612/680)*(1/0.8),"N/A")</f>
        <v>N/A</v>
      </c>
    </row>
    <row r="98" spans="1:21" ht="24" customHeight="1" x14ac:dyDescent="0.25">
      <c r="D98" s="429" t="s">
        <v>368</v>
      </c>
      <c r="E98" s="428" t="str">
        <f>IFERROR(XIRR(C19:C78,B19:B78,0.15)*(680/680)*(0.6/0.8),"N/A")</f>
        <v>N/A</v>
      </c>
      <c r="F98" s="428" t="str">
        <f>IFERROR(XIRR(C19:C78,B19:B78,0.15)*(680/680)*(0.7/0.8),"N/A")</f>
        <v>N/A</v>
      </c>
      <c r="G98" s="430" t="str">
        <f>IFERROR(XIRR(C19:C78,B19:B78,0.15)*(680/680)*(0.8/0.8),"N/A")</f>
        <v>N/A</v>
      </c>
      <c r="H98" s="428" t="str">
        <f>IFERROR(XIRR(C19:C78,B19:B78,0.15)*(680/680)*(0.9/0.8),"N/A")</f>
        <v>N/A</v>
      </c>
      <c r="I98" s="428" t="str">
        <f>IFERROR(XIRR(C19:C78,B19:B78,0.15)*(680/680)*(1/0.8),"N/A")</f>
        <v>N/A</v>
      </c>
    </row>
    <row r="99" spans="1:21" ht="24" customHeight="1" x14ac:dyDescent="0.25">
      <c r="D99" s="427" t="s">
        <v>369</v>
      </c>
      <c r="E99" s="428" t="str">
        <f>IFERROR(XIRR(C19:C78,B19:B78,0.15)*(748/680)*(0.6/0.8),"N/A")</f>
        <v>N/A</v>
      </c>
      <c r="F99" s="428" t="str">
        <f>IFERROR(XIRR(C19:C78,B19:B78,0.15)*(748/680)*(0.7/0.8),"N/A")</f>
        <v>N/A</v>
      </c>
      <c r="G99" s="428" t="str">
        <f>IFERROR(XIRR(C19:C78,B19:B78,0.15)*(748/680)*(0.8/0.8),"N/A")</f>
        <v>N/A</v>
      </c>
      <c r="H99" s="428" t="str">
        <f>IFERROR(XIRR(C19:C78,B19:B78,0.15)*(748/680)*(0.9/0.8),"N/A")</f>
        <v>N/A</v>
      </c>
      <c r="I99" s="428" t="str">
        <f>IFERROR(XIRR(C19:C78,B19:B78,0.15)*(748/680)*(1/0.8),"N/A")</f>
        <v>N/A</v>
      </c>
    </row>
    <row r="100" spans="1:21" ht="24" customHeight="1" x14ac:dyDescent="0.25">
      <c r="D100" s="427" t="s">
        <v>370</v>
      </c>
      <c r="E100" s="428" t="str">
        <f>IFERROR(XIRR(C19:C78,B19:B78,0.15)*(816/680)*(0.6/0.8),"N/A")</f>
        <v>N/A</v>
      </c>
      <c r="F100" s="428" t="str">
        <f>IFERROR(XIRR(C19:C78,B19:B78,0.15)*(816/680)*(0.7/0.8),"N/A")</f>
        <v>N/A</v>
      </c>
      <c r="G100" s="428" t="str">
        <f>IFERROR(XIRR(C19:C78,B19:B78,0.15)*(816/680)*(0.8/0.8),"N/A")</f>
        <v>N/A</v>
      </c>
      <c r="H100" s="428" t="str">
        <f>IFERROR(XIRR(C19:C78,B19:B78,0.15)*(816/680)*(0.9/0.8),"N/A")</f>
        <v>N/A</v>
      </c>
      <c r="I100" s="428" t="str">
        <f>IFERROR(XIRR(C19:C78,B19:B78,0.15)*(816/680)*(1/0.8),"N/A")</f>
        <v>N/A</v>
      </c>
    </row>
    <row r="102" spans="1:21" ht="15" customHeight="1" x14ac:dyDescent="0.25">
      <c r="D102" s="431" t="s">
        <v>371</v>
      </c>
      <c r="E102" s="432" t="s">
        <v>372</v>
      </c>
      <c r="F102" s="433" t="s">
        <v>373</v>
      </c>
      <c r="G102" s="434" t="s">
        <v>374</v>
      </c>
    </row>
    <row r="103" spans="1:21" ht="15" customHeight="1" x14ac:dyDescent="0.25"/>
    <row r="104" spans="1:21" ht="19.5" customHeight="1" x14ac:dyDescent="0.25">
      <c r="A104" s="568" t="s">
        <v>375</v>
      </c>
      <c r="B104" s="568"/>
      <c r="C104" s="568"/>
      <c r="D104" s="568"/>
      <c r="E104" s="568"/>
      <c r="F104" s="568"/>
      <c r="G104" s="568"/>
      <c r="H104" s="568"/>
      <c r="I104" s="568"/>
      <c r="J104" s="568"/>
      <c r="K104" s="568"/>
      <c r="L104" s="568"/>
      <c r="M104" s="568"/>
      <c r="N104" s="568"/>
      <c r="O104" s="568"/>
      <c r="P104" s="568"/>
      <c r="Q104" s="568"/>
      <c r="R104" s="568"/>
      <c r="S104" s="568"/>
      <c r="T104" s="568"/>
      <c r="U104" s="568"/>
    </row>
    <row r="105" spans="1:21" ht="15" customHeight="1" x14ac:dyDescent="0.25">
      <c r="A105" s="564" t="s">
        <v>376</v>
      </c>
      <c r="B105" s="564"/>
      <c r="C105" s="564"/>
      <c r="D105" s="564"/>
      <c r="E105" s="564"/>
      <c r="F105" s="564"/>
      <c r="G105" s="564"/>
      <c r="H105" s="564"/>
      <c r="I105" s="564"/>
      <c r="J105" s="564"/>
      <c r="K105" s="564"/>
      <c r="L105" s="564"/>
      <c r="M105" s="564"/>
      <c r="N105" s="564"/>
      <c r="O105" s="564"/>
      <c r="P105" s="564"/>
      <c r="Q105" s="564"/>
      <c r="R105" s="564"/>
      <c r="S105" s="564"/>
      <c r="T105" s="564"/>
      <c r="U105" s="564"/>
    </row>
    <row r="106" spans="1:21" ht="15" customHeight="1" x14ac:dyDescent="0.25">
      <c r="D106" s="422">
        <v>680</v>
      </c>
      <c r="E106" s="435">
        <f>IFERROR(B81*0.8*0.75,0)</f>
        <v>0</v>
      </c>
      <c r="F106" s="436">
        <f>IFERROR(B81*0.8*0.875,0)</f>
        <v>0</v>
      </c>
      <c r="G106" s="436">
        <f>IFERROR(B81*0.8*1,0)</f>
        <v>0</v>
      </c>
      <c r="H106" s="436">
        <f>IFERROR(B81*0.8*1.125,0)</f>
        <v>0</v>
      </c>
      <c r="I106" s="436">
        <f>IFERROR(B81*0.8*1.25,0)</f>
        <v>0</v>
      </c>
    </row>
    <row r="107" spans="1:21" ht="27.75" customHeight="1" x14ac:dyDescent="0.25">
      <c r="D107" s="437" t="s">
        <v>360</v>
      </c>
      <c r="E107" s="438">
        <f>IFERROR(B81*0.9*0.75,0)</f>
        <v>0</v>
      </c>
      <c r="F107" s="438">
        <f>IFERROR(B81*0.9*0.875,0)</f>
        <v>0</v>
      </c>
      <c r="G107" s="439">
        <f>IFERROR(B81*0.9*1,0)</f>
        <v>0</v>
      </c>
      <c r="H107" s="438">
        <f>IFERROR(B81*0.9*1.125,0)</f>
        <v>0</v>
      </c>
      <c r="I107" s="438">
        <f>IFERROR(B81*0.9*1.25,0)</f>
        <v>0</v>
      </c>
    </row>
    <row r="108" spans="1:21" ht="24" customHeight="1" x14ac:dyDescent="0.25">
      <c r="D108" s="440" t="s">
        <v>366</v>
      </c>
      <c r="E108" s="441">
        <f>IFERROR(B81*1*0.75,0)</f>
        <v>0</v>
      </c>
      <c r="F108" s="441">
        <f>IFERROR(B81*1*0.875,0)</f>
        <v>0</v>
      </c>
      <c r="G108" s="441">
        <f>IFERROR(B81*1*1,0)</f>
        <v>0</v>
      </c>
      <c r="H108" s="441">
        <f>IFERROR(B81*1*1.125,0)</f>
        <v>0</v>
      </c>
      <c r="I108" s="441">
        <f>IFERROR(B81*1*1.25,0)</f>
        <v>0</v>
      </c>
    </row>
    <row r="109" spans="1:21" ht="24" customHeight="1" x14ac:dyDescent="0.25">
      <c r="D109" s="440" t="s">
        <v>367</v>
      </c>
      <c r="E109" s="441">
        <f>IFERROR(B81*1.1*0.75,0)</f>
        <v>0</v>
      </c>
      <c r="F109" s="441">
        <f>IFERROR(B81*1.1*0.875,0)</f>
        <v>0</v>
      </c>
      <c r="G109" s="441">
        <f>IFERROR(B81*1.1*1,0)</f>
        <v>0</v>
      </c>
      <c r="H109" s="441">
        <f>IFERROR(B81*1.1*1.125,0)</f>
        <v>0</v>
      </c>
      <c r="I109" s="441">
        <f>IFERROR(B81*1.1*1.25,0)</f>
        <v>0</v>
      </c>
    </row>
    <row r="110" spans="1:21" ht="24" customHeight="1" x14ac:dyDescent="0.25">
      <c r="D110" s="429" t="s">
        <v>368</v>
      </c>
      <c r="E110" s="441">
        <f>IFERROR(B81*1.2*0.75,0)</f>
        <v>0</v>
      </c>
      <c r="F110" s="441">
        <f>IFERROR(B81*1.2*0.875,0)</f>
        <v>0</v>
      </c>
      <c r="G110" s="442">
        <f>IFERROR(B81*1.2*1,0)</f>
        <v>0</v>
      </c>
      <c r="H110" s="441">
        <f>IFERROR(B81*1.2*1.125,0)</f>
        <v>0</v>
      </c>
      <c r="I110" s="441">
        <f>IFERROR(B81*1.2*1.25,0)</f>
        <v>0</v>
      </c>
    </row>
    <row r="111" spans="1:21" ht="24" customHeight="1" x14ac:dyDescent="0.25">
      <c r="D111" s="440" t="s">
        <v>369</v>
      </c>
      <c r="E111" s="443">
        <f>IFERROR((B6*(748/680)*(0.6/0.8)-B7)/(B6*(748/680)*(0.6/0.8)),0)</f>
        <v>0</v>
      </c>
      <c r="F111" s="443">
        <f>IFERROR((B6*(748/680)*(0.7/0.8)-B7)/(B6*(748/680)*(0.7/0.8)),0)</f>
        <v>0</v>
      </c>
      <c r="G111" s="443">
        <f>IFERROR((B6*(748/680)*(0.8/0.8)-B7)/(B6*(748/680)*(0.8/0.8)),0)</f>
        <v>0</v>
      </c>
      <c r="H111" s="443">
        <f>IFERROR((B6*(748/680)*(0.9/0.8)-B7)/(B6*(748/680)*(0.9/0.8)),0)</f>
        <v>0</v>
      </c>
      <c r="I111" s="443">
        <f>IFERROR((B6*(748/680)*(1/0.8)-B7)/(B6*(748/680)*(1/0.8)),0)</f>
        <v>0</v>
      </c>
    </row>
    <row r="112" spans="1:21" ht="24" customHeight="1" x14ac:dyDescent="0.25">
      <c r="D112" s="440" t="s">
        <v>370</v>
      </c>
      <c r="E112" s="443">
        <f>IFERROR((B6*(816/680)*(0.6/0.8)-B7)/(B6*(816/680)*(0.6/0.8)),0)</f>
        <v>0</v>
      </c>
      <c r="F112" s="443">
        <f>IFERROR((B6*(816/680)*(0.7/0.8)-B7)/(B6*(816/680)*(0.7/0.8)),0)</f>
        <v>0</v>
      </c>
      <c r="G112" s="443">
        <f>IFERROR((B6*(816/680)*(0.8/0.8)-B7)/(B6*(816/680)*(0.8/0.8)),0)</f>
        <v>0</v>
      </c>
      <c r="H112" s="443">
        <f>IFERROR((B6*(816/680)*(0.9/0.8)-B7)/(B6*(816/680)*(0.9/0.8)),0)</f>
        <v>0</v>
      </c>
      <c r="I112" s="443">
        <f>IFERROR((B6*(816/680)*(1/0.8)-B7)/(B6*(816/680)*(1/0.8)),0)</f>
        <v>0</v>
      </c>
    </row>
    <row r="113" spans="1:21" ht="15" customHeight="1" x14ac:dyDescent="0.25"/>
    <row r="114" spans="1:21" ht="15" customHeight="1" x14ac:dyDescent="0.25">
      <c r="D114" s="431" t="s">
        <v>371</v>
      </c>
      <c r="E114" s="432" t="s">
        <v>377</v>
      </c>
      <c r="F114" s="433" t="s">
        <v>378</v>
      </c>
      <c r="G114" s="434" t="s">
        <v>379</v>
      </c>
    </row>
    <row r="115" spans="1:21" ht="74.25" customHeight="1" x14ac:dyDescent="0.25"/>
    <row r="116" spans="1:21" ht="19.5" customHeight="1" x14ac:dyDescent="0.25">
      <c r="A116" s="566" t="s">
        <v>380</v>
      </c>
      <c r="B116" s="566"/>
      <c r="C116" s="566"/>
      <c r="D116" s="566"/>
      <c r="E116" s="566"/>
      <c r="F116" s="566"/>
      <c r="G116" s="566"/>
      <c r="H116" s="566"/>
      <c r="I116" s="566"/>
      <c r="J116" s="566"/>
      <c r="K116" s="566"/>
      <c r="L116" s="566"/>
      <c r="M116" s="566"/>
      <c r="N116" s="566"/>
      <c r="O116" s="566"/>
      <c r="P116" s="566"/>
      <c r="Q116" s="566"/>
      <c r="R116" s="566"/>
      <c r="S116" s="566"/>
      <c r="T116" s="566"/>
      <c r="U116" s="566"/>
    </row>
    <row r="117" spans="1:21" ht="15" customHeight="1" x14ac:dyDescent="0.25">
      <c r="A117" s="564" t="s">
        <v>381</v>
      </c>
      <c r="B117" s="564"/>
      <c r="C117" s="564"/>
      <c r="D117" s="564"/>
      <c r="E117" s="564"/>
      <c r="F117" s="564"/>
      <c r="G117" s="564"/>
      <c r="H117" s="564"/>
      <c r="I117" s="564"/>
      <c r="J117" s="564"/>
      <c r="K117" s="564"/>
      <c r="L117" s="564"/>
      <c r="M117" s="564"/>
      <c r="N117" s="564"/>
      <c r="O117" s="564"/>
      <c r="P117" s="564"/>
      <c r="Q117" s="564"/>
      <c r="R117" s="564"/>
      <c r="S117" s="564"/>
      <c r="T117" s="564"/>
      <c r="U117" s="564"/>
    </row>
    <row r="118" spans="1:21" ht="27.75" customHeight="1" x14ac:dyDescent="0.25">
      <c r="D118" s="424" t="s">
        <v>382</v>
      </c>
      <c r="E118" s="425" t="s">
        <v>361</v>
      </c>
      <c r="F118" s="425" t="s">
        <v>362</v>
      </c>
      <c r="G118" s="426" t="s">
        <v>363</v>
      </c>
      <c r="H118" s="425" t="s">
        <v>364</v>
      </c>
      <c r="I118" s="425" t="s">
        <v>365</v>
      </c>
    </row>
    <row r="119" spans="1:21" ht="21.75" customHeight="1" x14ac:dyDescent="0.25">
      <c r="D119" s="444" t="s">
        <v>383</v>
      </c>
      <c r="E119" s="445" t="str">
        <f>IFERROR(NPV(0.1/12,C19:C78)*(0.6/0.8),"N/A")</f>
        <v>N/A</v>
      </c>
      <c r="F119" s="445" t="str">
        <f>IFERROR(NPV(0.1/12,C19:C78)*(0.7/0.8),"N/A")</f>
        <v>N/A</v>
      </c>
      <c r="G119" s="445" t="str">
        <f>IFERROR(NPV(0.1/12,C19:C78)*(0.8/0.8),"N/A")</f>
        <v>N/A</v>
      </c>
      <c r="H119" s="445" t="str">
        <f>IFERROR(NPV(0.1/12,C19:C78)*(0.9/0.8),"N/A")</f>
        <v>N/A</v>
      </c>
      <c r="I119" s="445" t="str">
        <f>IFERROR(NPV(0.1/12,C19:C78)*(1/0.8),"N/A")</f>
        <v>N/A</v>
      </c>
    </row>
    <row r="120" spans="1:21" ht="21.75" customHeight="1" x14ac:dyDescent="0.25">
      <c r="D120" s="444" t="s">
        <v>384</v>
      </c>
      <c r="E120" s="445" t="str">
        <f>IFERROR(NPV(0.12/12,C19:C78)*(0.6/0.8),"N/A")</f>
        <v>N/A</v>
      </c>
      <c r="F120" s="445" t="str">
        <f>IFERROR(NPV(0.12/12,C19:C78)*(0.7/0.8),"N/A")</f>
        <v>N/A</v>
      </c>
      <c r="G120" s="445" t="str">
        <f>IFERROR(NPV(0.12/12,C19:C78)*(0.8/0.8),"N/A")</f>
        <v>N/A</v>
      </c>
      <c r="H120" s="445" t="str">
        <f>IFERROR(NPV(0.12/12,C19:C78)*(0.9/0.8),"N/A")</f>
        <v>N/A</v>
      </c>
      <c r="I120" s="445" t="str">
        <f>IFERROR(NPV(0.12/12,C19:C78)*(1/0.8),"N/A")</f>
        <v>N/A</v>
      </c>
    </row>
    <row r="121" spans="1:21" ht="21.75" customHeight="1" x14ac:dyDescent="0.25">
      <c r="D121" s="446" t="s">
        <v>385</v>
      </c>
      <c r="E121" s="445" t="str">
        <f>IFERROR(NPV(0.15/12,C19:C78)*(0.6/0.8),"N/A")</f>
        <v>N/A</v>
      </c>
      <c r="F121" s="445" t="str">
        <f>IFERROR(NPV(0.15/12,C19:C78)*(0.7/0.8),"N/A")</f>
        <v>N/A</v>
      </c>
      <c r="G121" s="447" t="str">
        <f>IFERROR(NPV(0.15/12,C19:C78)*(0.8/0.8),"N/A")</f>
        <v>N/A</v>
      </c>
      <c r="H121" s="445" t="str">
        <f>IFERROR(NPV(0.15/12,C19:C78)*(0.9/0.8),"N/A")</f>
        <v>N/A</v>
      </c>
      <c r="I121" s="445" t="str">
        <f>IFERROR(NPV(0.15/12,C19:C78)*(1/0.8),"N/A")</f>
        <v>N/A</v>
      </c>
    </row>
    <row r="122" spans="1:21" ht="21.75" customHeight="1" x14ac:dyDescent="0.25">
      <c r="D122" s="444" t="s">
        <v>386</v>
      </c>
      <c r="E122" s="445" t="str">
        <f>IFERROR(NPV(0.18/12,C19:C78)*(0.6/0.8),"N/A")</f>
        <v>N/A</v>
      </c>
      <c r="F122" s="445" t="str">
        <f>IFERROR(NPV(0.18/12,C19:C78)*(0.7/0.8),"N/A")</f>
        <v>N/A</v>
      </c>
      <c r="G122" s="445" t="str">
        <f>IFERROR(NPV(0.18/12,C19:C78)*(0.8/0.8),"N/A")</f>
        <v>N/A</v>
      </c>
      <c r="H122" s="445" t="str">
        <f>IFERROR(NPV(0.18/12,C19:C78)*(0.9/0.8),"N/A")</f>
        <v>N/A</v>
      </c>
      <c r="I122" s="445" t="str">
        <f>IFERROR(NPV(0.18/12,C19:C78)*(1/0.8),"N/A")</f>
        <v>N/A</v>
      </c>
    </row>
    <row r="123" spans="1:21" ht="21.75" customHeight="1" x14ac:dyDescent="0.25">
      <c r="D123" s="444" t="s">
        <v>387</v>
      </c>
      <c r="E123" s="445" t="str">
        <f>IFERROR(NPV(0.2/12,C19:C78)*(0.6/0.8),"N/A")</f>
        <v>N/A</v>
      </c>
      <c r="F123" s="445" t="str">
        <f>IFERROR(NPV(0.2/12,C19:C78)*(0.7/0.8),"N/A")</f>
        <v>N/A</v>
      </c>
      <c r="G123" s="445" t="str">
        <f>IFERROR(NPV(0.2/12,C19:C78)*(0.8/0.8),"N/A")</f>
        <v>N/A</v>
      </c>
      <c r="H123" s="445" t="str">
        <f>IFERROR(NPV(0.2/12,C19:C78)*(0.9/0.8),"N/A")</f>
        <v>N/A</v>
      </c>
      <c r="I123" s="445" t="str">
        <f>IFERROR(NPV(0.2/12,C19:C78)*(1/0.8),"N/A")</f>
        <v>N/A</v>
      </c>
    </row>
    <row r="124" spans="1:21" ht="15" customHeight="1" x14ac:dyDescent="0.25"/>
    <row r="125" spans="1:21" ht="15" customHeight="1" x14ac:dyDescent="0.25"/>
    <row r="126" spans="1:21" ht="19.5" customHeight="1" x14ac:dyDescent="0.25">
      <c r="A126" s="569" t="s">
        <v>388</v>
      </c>
      <c r="B126" s="569"/>
      <c r="C126" s="569"/>
      <c r="D126" s="569"/>
      <c r="E126" s="569"/>
      <c r="F126" s="569"/>
      <c r="G126" s="569"/>
      <c r="H126" s="569"/>
      <c r="I126" s="569"/>
      <c r="J126" s="569"/>
      <c r="K126" s="569"/>
      <c r="L126" s="569"/>
      <c r="M126" s="569"/>
      <c r="N126" s="569"/>
      <c r="O126" s="569"/>
      <c r="P126" s="569"/>
      <c r="Q126" s="569"/>
      <c r="R126" s="569"/>
      <c r="S126" s="569"/>
      <c r="T126" s="569"/>
      <c r="U126" s="569"/>
    </row>
    <row r="127" spans="1:21" ht="15" customHeight="1" x14ac:dyDescent="0.25">
      <c r="A127" s="564" t="s">
        <v>389</v>
      </c>
      <c r="B127" s="564"/>
      <c r="C127" s="564"/>
      <c r="D127" s="564"/>
      <c r="E127" s="564"/>
      <c r="F127" s="564"/>
      <c r="G127" s="564"/>
      <c r="H127" s="564"/>
      <c r="I127" s="564"/>
      <c r="J127" s="564"/>
      <c r="K127" s="564"/>
      <c r="L127" s="564"/>
      <c r="M127" s="564"/>
      <c r="N127" s="564"/>
      <c r="O127" s="564"/>
      <c r="P127" s="564"/>
      <c r="Q127" s="564"/>
      <c r="R127" s="564"/>
      <c r="S127" s="564"/>
      <c r="T127" s="564"/>
      <c r="U127" s="564"/>
    </row>
    <row r="128" spans="1:21" ht="31.5" customHeight="1" x14ac:dyDescent="0.25">
      <c r="D128" s="448" t="s">
        <v>390</v>
      </c>
      <c r="E128" s="448" t="s">
        <v>391</v>
      </c>
      <c r="F128" s="448" t="s">
        <v>392</v>
      </c>
      <c r="G128" s="448" t="s">
        <v>393</v>
      </c>
      <c r="H128" s="448" t="s">
        <v>394</v>
      </c>
      <c r="I128" s="448" t="s">
        <v>395</v>
      </c>
      <c r="J128" s="448" t="s">
        <v>396</v>
      </c>
      <c r="K128" s="448" t="s">
        <v>397</v>
      </c>
    </row>
    <row r="129" spans="1:21" ht="19.5" customHeight="1" x14ac:dyDescent="0.25">
      <c r="D129" s="449" t="s">
        <v>398</v>
      </c>
      <c r="E129" s="450" t="e">
        <f>B6</f>
        <v>#REF!</v>
      </c>
      <c r="F129" s="451" t="e">
        <f>B6*0.8</f>
        <v>#REF!</v>
      </c>
      <c r="G129" s="451" t="e">
        <f>B7-B10</f>
        <v>#REF!</v>
      </c>
      <c r="H129" s="451" t="e">
        <f>MAX(0,B6*0.8*0.75-(B7-B10))</f>
        <v>#REF!</v>
      </c>
      <c r="I129" s="451">
        <f>IFERROR(MAX(0,B6*0.8*0.75-(B7-B10))*1000/('Feasibility Study'!#REF!*43560),0)</f>
        <v>0</v>
      </c>
      <c r="J129" s="452">
        <f>IFERROR(MAX(0,B6*0.8*0.75-(B7-B10))/B10-1,0)</f>
        <v>0</v>
      </c>
      <c r="K129" s="453" t="e">
        <f>IF(MAX(0,B6*0.8*0.75-(B7-B10))&gt;B10,"✔ Viable — land priced below max",IF(MAX(0,B6*0.8*0.75-(B7-B10))&gt;B10*0.9,"△ Tight — within 10% of max","✗ Unviable at this ASP"))</f>
        <v>#REF!</v>
      </c>
    </row>
    <row r="130" spans="1:21" ht="19.5" customHeight="1" x14ac:dyDescent="0.25">
      <c r="B130" s="454">
        <f>IFERROR(B81*0.8*0.75,0)</f>
        <v>0</v>
      </c>
      <c r="C130" s="454" t="str">
        <f>B81</f>
        <v>Inputs needed</v>
      </c>
      <c r="D130" s="455">
        <f>IFERROR(B81*1.15,0)</f>
        <v>0</v>
      </c>
      <c r="E130" s="456" t="e">
        <f>B6</f>
        <v>#REF!</v>
      </c>
      <c r="F130" s="457" t="e">
        <f>B6*0.9</f>
        <v>#REF!</v>
      </c>
      <c r="G130" s="457" t="e">
        <f>B7-B10</f>
        <v>#REF!</v>
      </c>
      <c r="H130" s="457" t="e">
        <f>MAX(0,B6*0.9*0.75-(B7-B10))</f>
        <v>#REF!</v>
      </c>
      <c r="I130" s="457">
        <f>IFERROR(MAX(0,B6*0.9*0.75-(B7-B10))*1000/('Feasibility Study'!#REF!*43560),0)</f>
        <v>0</v>
      </c>
      <c r="J130" s="458">
        <f>IFERROR(MAX(0,B6*0.9*0.75-(B7-B10))/B10-1,0)</f>
        <v>0</v>
      </c>
      <c r="K130" s="459" t="e">
        <f>IF(MAX(0,B6*0.9*0.75-(B7-B10))&gt;B10,"✔ Viable — land priced below max",IF(MAX(0,B6*0.9*0.75-(B7-B10))&gt;B10*0.9,"△ Tight — within 10% of max","✗ Unviable at this ASP"))</f>
        <v>#REF!</v>
      </c>
    </row>
    <row r="131" spans="1:21" ht="19.5" customHeight="1" x14ac:dyDescent="0.25">
      <c r="D131" s="460" t="s">
        <v>399</v>
      </c>
      <c r="E131" s="461" t="e">
        <f>B6</f>
        <v>#REF!</v>
      </c>
      <c r="F131" s="462" t="e">
        <f>B6*1</f>
        <v>#REF!</v>
      </c>
      <c r="G131" s="463" t="e">
        <f>B7-B10</f>
        <v>#REF!</v>
      </c>
      <c r="H131" s="464" t="e">
        <f>MAX(0,B6*1*0.75-(B7-B10))</f>
        <v>#REF!</v>
      </c>
      <c r="I131" s="463">
        <f>IFERROR(MAX(0,B6*1*0.75-(B7-B10))*1000/('Feasibility Study'!#REF!*43560),0)</f>
        <v>0</v>
      </c>
      <c r="J131" s="465">
        <f>IFERROR(MAX(0,B6*1*0.75-(B7-B10))/B10-1,0)</f>
        <v>0</v>
      </c>
      <c r="K131" s="466" t="e">
        <f>IF(MAX(0,B6*1*0.75-(B7-B10))&gt;B10,"✔ Viable — land priced below max",IF(MAX(0,B6*1*0.75-(B7-B10))&gt;B10*0.9,"△ Tight — within 10% of max","✗ Unviable at this ASP"))</f>
        <v>#REF!</v>
      </c>
    </row>
    <row r="132" spans="1:21" ht="19.5" customHeight="1" x14ac:dyDescent="0.25">
      <c r="D132" s="467" t="s">
        <v>400</v>
      </c>
      <c r="E132" s="456" t="e">
        <f>B6</f>
        <v>#REF!</v>
      </c>
      <c r="F132" s="457" t="e">
        <f>B6*1.1</f>
        <v>#REF!</v>
      </c>
      <c r="G132" s="457" t="e">
        <f>B7-B10</f>
        <v>#REF!</v>
      </c>
      <c r="H132" s="457" t="e">
        <f>MAX(0,B6*1.1*0.75-(B7-B10))</f>
        <v>#REF!</v>
      </c>
      <c r="I132" s="457">
        <f>IFERROR(MAX(0,B6*1.1*0.75-(B7-B10))*1000/('Feasibility Study'!#REF!*43560),0)</f>
        <v>0</v>
      </c>
      <c r="J132" s="458">
        <f>IFERROR(MAX(0,B6*1.1*0.75-(B7-B10))/B10-1,0)</f>
        <v>0</v>
      </c>
      <c r="K132" s="459" t="e">
        <f>IF(MAX(0,B6*1.1*0.75-(B7-B10))&gt;B10,"✔ Viable — land priced below max",IF(MAX(0,B6*1.1*0.75-(B7-B10))&gt;B10*0.9,"△ Tight — within 10% of max","✗ Unviable at this ASP"))</f>
        <v>#REF!</v>
      </c>
    </row>
    <row r="133" spans="1:21" ht="19.5" customHeight="1" x14ac:dyDescent="0.25">
      <c r="D133" s="449" t="s">
        <v>401</v>
      </c>
      <c r="E133" s="450" t="e">
        <f>B6</f>
        <v>#REF!</v>
      </c>
      <c r="F133" s="451" t="e">
        <f>B6*1.2</f>
        <v>#REF!</v>
      </c>
      <c r="G133" s="451" t="e">
        <f>B7-B10</f>
        <v>#REF!</v>
      </c>
      <c r="H133" s="451" t="e">
        <f>MAX(0,B6*1.2*0.75-(B7-B10))</f>
        <v>#REF!</v>
      </c>
      <c r="I133" s="451">
        <f>IFERROR(MAX(0,B6*1.2*0.75-(B7-B10))*1000/('Feasibility Study'!#REF!*43560),0)</f>
        <v>0</v>
      </c>
      <c r="J133" s="452">
        <f>IFERROR(MAX(0,B6*1.2*0.75-(B7-B10))/B10-1,0)</f>
        <v>0</v>
      </c>
      <c r="K133" s="453" t="e">
        <f>IF(MAX(0,B6*1.2*0.75-(B7-B10))&gt;B10,"✔ Viable — land priced below max",IF(MAX(0,B6*1.2*0.75-(B7-B10))&gt;B10*0.9,"△ Tight — within 10% of max","✗ Unviable at this ASP"))</f>
        <v>#REF!</v>
      </c>
    </row>
    <row r="136" spans="1:21" ht="19.5" customHeight="1" x14ac:dyDescent="0.25">
      <c r="A136" s="573" t="s">
        <v>402</v>
      </c>
      <c r="B136" s="573"/>
      <c r="C136" s="573"/>
      <c r="D136" s="573"/>
      <c r="E136" s="573"/>
      <c r="F136" s="573"/>
      <c r="G136" s="573"/>
      <c r="H136" s="573"/>
      <c r="I136" s="573"/>
      <c r="J136" s="573"/>
      <c r="K136" s="573"/>
      <c r="L136" s="573"/>
      <c r="M136" s="573"/>
      <c r="N136" s="573"/>
      <c r="O136" s="573"/>
      <c r="P136" s="573"/>
      <c r="Q136" s="573"/>
      <c r="R136" s="573"/>
      <c r="S136" s="573"/>
      <c r="T136" s="573"/>
      <c r="U136" s="573"/>
    </row>
    <row r="137" spans="1:21" ht="15" customHeight="1" x14ac:dyDescent="0.25">
      <c r="A137" s="564" t="s">
        <v>403</v>
      </c>
      <c r="B137" s="564"/>
      <c r="C137" s="564"/>
      <c r="D137" s="564"/>
      <c r="E137" s="564"/>
      <c r="F137" s="564"/>
      <c r="G137" s="564"/>
      <c r="H137" s="564"/>
      <c r="I137" s="564"/>
      <c r="J137" s="564"/>
      <c r="K137" s="564"/>
      <c r="L137" s="564"/>
      <c r="M137" s="564"/>
      <c r="N137" s="564"/>
      <c r="O137" s="564"/>
      <c r="P137" s="564"/>
      <c r="Q137" s="564"/>
      <c r="R137" s="564"/>
      <c r="S137" s="564"/>
      <c r="T137" s="564"/>
      <c r="U137" s="564"/>
    </row>
    <row r="138" spans="1:21" ht="21.75" customHeight="1" x14ac:dyDescent="0.25">
      <c r="D138" s="468" t="s">
        <v>404</v>
      </c>
      <c r="E138" s="469" t="s">
        <v>405</v>
      </c>
      <c r="F138" s="470" t="s">
        <v>406</v>
      </c>
      <c r="G138" s="468" t="s">
        <v>407</v>
      </c>
    </row>
    <row r="139" spans="1:21" ht="19.5" customHeight="1" x14ac:dyDescent="0.25">
      <c r="D139" s="471" t="s">
        <v>390</v>
      </c>
      <c r="E139" s="472" t="s">
        <v>398</v>
      </c>
      <c r="F139" s="473" t="s">
        <v>399</v>
      </c>
      <c r="G139" s="474" t="s">
        <v>408</v>
      </c>
    </row>
    <row r="140" spans="1:21" ht="19.5" customHeight="1" x14ac:dyDescent="0.25">
      <c r="D140" s="475" t="s">
        <v>409</v>
      </c>
      <c r="E140" s="472" t="s">
        <v>361</v>
      </c>
      <c r="F140" s="473" t="s">
        <v>410</v>
      </c>
      <c r="G140" s="474" t="s">
        <v>365</v>
      </c>
    </row>
    <row r="141" spans="1:21" ht="19.5" customHeight="1" x14ac:dyDescent="0.25">
      <c r="D141" s="471" t="s">
        <v>411</v>
      </c>
      <c r="E141" s="476" t="e">
        <f>B6*0.8*0.75</f>
        <v>#REF!</v>
      </c>
      <c r="F141" s="462" t="e">
        <f>B6</f>
        <v>#REF!</v>
      </c>
      <c r="G141" s="477" t="e">
        <f>B6*1.15</f>
        <v>#REF!</v>
      </c>
    </row>
    <row r="142" spans="1:21" ht="19.5" customHeight="1" x14ac:dyDescent="0.25">
      <c r="D142" s="475" t="s">
        <v>412</v>
      </c>
      <c r="E142" s="476" t="e">
        <f>B7</f>
        <v>#REF!</v>
      </c>
      <c r="F142" s="462" t="e">
        <f>B7</f>
        <v>#REF!</v>
      </c>
      <c r="G142" s="477" t="e">
        <f>B7</f>
        <v>#REF!</v>
      </c>
    </row>
    <row r="143" spans="1:21" ht="19.5" customHeight="1" x14ac:dyDescent="0.25">
      <c r="D143" s="471" t="s">
        <v>413</v>
      </c>
      <c r="E143" s="476" t="e">
        <f>E141-E142</f>
        <v>#REF!</v>
      </c>
      <c r="F143" s="462" t="e">
        <f>B8</f>
        <v>#REF!</v>
      </c>
      <c r="G143" s="477" t="e">
        <f>G141-G142</f>
        <v>#REF!</v>
      </c>
    </row>
    <row r="144" spans="1:21" ht="19.5" customHeight="1" x14ac:dyDescent="0.25">
      <c r="D144" s="475" t="s">
        <v>414</v>
      </c>
      <c r="E144" s="478">
        <f>IFERROR(E143/E141,0)</f>
        <v>0</v>
      </c>
      <c r="F144" s="479">
        <f>IFERROR(B8/B6,0)</f>
        <v>0</v>
      </c>
      <c r="G144" s="480">
        <f>IFERROR(G143/G141,0)</f>
        <v>0</v>
      </c>
    </row>
    <row r="145" spans="1:21" ht="19.5" customHeight="1" x14ac:dyDescent="0.25">
      <c r="D145" s="471" t="s">
        <v>415</v>
      </c>
      <c r="E145" s="481">
        <f>IFERROR(B81*0.8*0.75,0)</f>
        <v>0</v>
      </c>
      <c r="F145" s="482" t="str">
        <f>B81</f>
        <v>Inputs needed</v>
      </c>
      <c r="G145" s="483">
        <f>IFERROR(B81*1.15,0)</f>
        <v>0</v>
      </c>
    </row>
    <row r="146" spans="1:21" ht="19.5" customHeight="1" x14ac:dyDescent="0.25">
      <c r="D146" s="475" t="s">
        <v>416</v>
      </c>
      <c r="E146" s="484">
        <f>IFERROR(E143/ABS(B12),0)</f>
        <v>0</v>
      </c>
      <c r="F146" s="485">
        <f>IFERROR(B8/ABS(B12),0)</f>
        <v>0</v>
      </c>
      <c r="G146" s="486">
        <f>IFERROR(G143/ABS(B12),0)</f>
        <v>0</v>
      </c>
    </row>
    <row r="149" spans="1:21" ht="19.5" customHeight="1" x14ac:dyDescent="0.25">
      <c r="A149" s="574" t="s">
        <v>417</v>
      </c>
      <c r="B149" s="574"/>
      <c r="C149" s="574"/>
      <c r="D149" s="574"/>
      <c r="E149" s="574"/>
      <c r="F149" s="574"/>
      <c r="G149" s="574"/>
      <c r="H149" s="574"/>
      <c r="I149" s="574"/>
      <c r="J149" s="574"/>
      <c r="K149" s="574"/>
      <c r="L149" s="574"/>
      <c r="M149" s="574"/>
      <c r="N149" s="574"/>
      <c r="O149" s="574"/>
      <c r="P149" s="574"/>
      <c r="Q149" s="574"/>
      <c r="R149" s="574"/>
      <c r="S149" s="574"/>
      <c r="T149" s="574"/>
      <c r="U149" s="574"/>
    </row>
    <row r="150" spans="1:21" ht="15" customHeight="1" x14ac:dyDescent="0.25">
      <c r="A150" s="564" t="s">
        <v>418</v>
      </c>
      <c r="B150" s="564"/>
      <c r="C150" s="564"/>
      <c r="D150" s="564"/>
      <c r="E150" s="564"/>
      <c r="F150" s="564"/>
      <c r="G150" s="564"/>
      <c r="H150" s="564"/>
      <c r="I150" s="564"/>
      <c r="J150" s="564"/>
      <c r="K150" s="564"/>
      <c r="L150" s="564"/>
      <c r="M150" s="564"/>
      <c r="N150" s="564"/>
      <c r="O150" s="564"/>
      <c r="P150" s="564"/>
      <c r="Q150" s="564"/>
      <c r="R150" s="564"/>
      <c r="S150" s="564"/>
      <c r="T150" s="564"/>
      <c r="U150" s="564"/>
    </row>
    <row r="151" spans="1:21" ht="27.75" customHeight="1" x14ac:dyDescent="0.25">
      <c r="D151" s="487" t="s">
        <v>419</v>
      </c>
      <c r="E151" s="487" t="s">
        <v>420</v>
      </c>
      <c r="F151" s="487" t="s">
        <v>421</v>
      </c>
      <c r="G151" s="429" t="s">
        <v>422</v>
      </c>
      <c r="H151" s="487" t="s">
        <v>423</v>
      </c>
      <c r="I151" s="487" t="s">
        <v>424</v>
      </c>
    </row>
    <row r="152" spans="1:21" ht="21.75" customHeight="1" x14ac:dyDescent="0.25">
      <c r="D152" s="488" t="s">
        <v>425</v>
      </c>
      <c r="E152" s="443">
        <f>IFERROR(((B6*0.8)-((B7+B11*-0.2)))/(B6*0.8),0)</f>
        <v>0</v>
      </c>
      <c r="F152" s="443">
        <f>IFERROR(((B6*0.9)-((B7+B11*-0.2)))/(B6*0.9),0)</f>
        <v>0</v>
      </c>
      <c r="G152" s="443">
        <f>IFERROR(((B6*1)-((B7+B11*-0.2)))/(B6*1),0)</f>
        <v>0</v>
      </c>
      <c r="H152" s="443">
        <f>IFERROR(((B6*1.1)-((B7+B11*-0.2)))/(B6*1.1),0)</f>
        <v>0</v>
      </c>
      <c r="I152" s="443">
        <f>IFERROR(((B6*1.2)-((B7+B11*-0.2)))/(B6*1.2),0)</f>
        <v>0</v>
      </c>
    </row>
    <row r="153" spans="1:21" ht="21.75" customHeight="1" x14ac:dyDescent="0.25">
      <c r="D153" s="488" t="s">
        <v>426</v>
      </c>
      <c r="E153" s="443">
        <f>IFERROR(((B6*0.8)-((B7+B11*-0.1)))/(B6*0.8),0)</f>
        <v>0</v>
      </c>
      <c r="F153" s="443">
        <f>IFERROR(((B6*0.9)-((B7+B11*-0.1)))/(B6*0.9),0)</f>
        <v>0</v>
      </c>
      <c r="G153" s="443">
        <f>IFERROR(((B6*1)-((B7+B11*-0.1)))/(B6*1),0)</f>
        <v>0</v>
      </c>
      <c r="H153" s="443">
        <f>IFERROR(((B6*1.1)-((B7+B11*-0.1)))/(B6*1.1),0)</f>
        <v>0</v>
      </c>
      <c r="I153" s="443">
        <f>IFERROR(((B6*1.2)-((B7+B11*-0.1)))/(B6*1.2),0)</f>
        <v>0</v>
      </c>
    </row>
    <row r="154" spans="1:21" ht="21.75" customHeight="1" x14ac:dyDescent="0.25">
      <c r="D154" s="446" t="s">
        <v>427</v>
      </c>
      <c r="E154" s="443">
        <f>IFERROR(((B6*0.8)-((B7+B11*0)))/(B6*0.8),0)</f>
        <v>0</v>
      </c>
      <c r="F154" s="443">
        <f>IFERROR(((B6*0.9)-((B7+B11*0)))/(B6*0.9),0)</f>
        <v>0</v>
      </c>
      <c r="G154" s="489">
        <f>IFERROR(((B6*1)-((B7+B11*0)))/(B6*1),0)</f>
        <v>0</v>
      </c>
      <c r="H154" s="443">
        <f>IFERROR(((B6*1.1)-((B7+B11*0)))/(B6*1.1),0)</f>
        <v>0</v>
      </c>
      <c r="I154" s="443">
        <f>IFERROR(((B6*1.2)-((B7+B11*0)))/(B6*1.2),0)</f>
        <v>0</v>
      </c>
    </row>
    <row r="155" spans="1:21" ht="21.75" customHeight="1" x14ac:dyDescent="0.25">
      <c r="D155" s="488" t="s">
        <v>428</v>
      </c>
      <c r="E155" s="443">
        <f>IFERROR(((B6*0.8)-((B7+B11*0.1)))/(B6*0.8),0)</f>
        <v>0</v>
      </c>
      <c r="F155" s="443">
        <f>IFERROR(((B6*0.9)-((B7+B11*0.1)))/(B6*0.9),0)</f>
        <v>0</v>
      </c>
      <c r="G155" s="443">
        <f>IFERROR(((B6*1)-((B7+B11*0.1)))/(B6*1),0)</f>
        <v>0</v>
      </c>
      <c r="H155" s="443">
        <f>IFERROR(((B6*1.1)-((B7+B11*0.1)))/(B6*1.1),0)</f>
        <v>0</v>
      </c>
      <c r="I155" s="443">
        <f>IFERROR(((B6*1.2)-((B7+B11*0.1)))/(B6*1.2),0)</f>
        <v>0</v>
      </c>
    </row>
    <row r="156" spans="1:21" ht="21.75" customHeight="1" x14ac:dyDescent="0.25">
      <c r="D156" s="488" t="s">
        <v>429</v>
      </c>
      <c r="E156" s="443">
        <f>IFERROR(((B6*0.8)-((B7+B11*0.2)))/(B6*0.8),0)</f>
        <v>0</v>
      </c>
      <c r="F156" s="443">
        <f>IFERROR(((B6*0.9)-((B7+B11*0.2)))/(B6*0.9),0)</f>
        <v>0</v>
      </c>
      <c r="G156" s="443">
        <f>IFERROR(((B6*1)-((B7+B11*0.2)))/(B6*1),0)</f>
        <v>0</v>
      </c>
      <c r="H156" s="443">
        <f>IFERROR(((B6*1.1)-((B7+B11*0.2)))/(B6*1.1),0)</f>
        <v>0</v>
      </c>
      <c r="I156" s="443">
        <f>IFERROR(((B6*1.2)-((B7+B11*0.2)))/(B6*1.2),0)</f>
        <v>0</v>
      </c>
    </row>
    <row r="159" spans="1:21" ht="39.75" customHeight="1" x14ac:dyDescent="0.25">
      <c r="A159" s="572" t="s">
        <v>430</v>
      </c>
      <c r="B159" s="572"/>
      <c r="C159" s="572"/>
      <c r="D159" s="572"/>
      <c r="E159" s="572"/>
      <c r="F159" s="572"/>
      <c r="G159" s="572"/>
      <c r="H159" s="572"/>
      <c r="I159" s="572"/>
      <c r="J159" s="572"/>
      <c r="K159" s="572"/>
      <c r="L159" s="572"/>
      <c r="M159" s="572"/>
      <c r="N159" s="572"/>
      <c r="O159" s="572"/>
      <c r="P159" s="572"/>
      <c r="Q159" s="572"/>
      <c r="R159" s="572"/>
      <c r="S159" s="572"/>
      <c r="T159" s="572"/>
      <c r="U159" s="572"/>
    </row>
  </sheetData>
  <mergeCells count="27">
    <mergeCell ref="A150:U150"/>
    <mergeCell ref="A159:U159"/>
    <mergeCell ref="A126:U126"/>
    <mergeCell ref="A127:U127"/>
    <mergeCell ref="A136:U136"/>
    <mergeCell ref="A137:U137"/>
    <mergeCell ref="A149:U149"/>
    <mergeCell ref="A93:U93"/>
    <mergeCell ref="A104:U104"/>
    <mergeCell ref="A105:U105"/>
    <mergeCell ref="A116:U116"/>
    <mergeCell ref="A117:U117"/>
    <mergeCell ref="A73:J73"/>
    <mergeCell ref="A74:J74"/>
    <mergeCell ref="A79:U79"/>
    <mergeCell ref="A80:U80"/>
    <mergeCell ref="A92:U92"/>
    <mergeCell ref="A40:J40"/>
    <mergeCell ref="A53:J53"/>
    <mergeCell ref="A54:J54"/>
    <mergeCell ref="A63:J63"/>
    <mergeCell ref="A64:J64"/>
    <mergeCell ref="A1:O1"/>
    <mergeCell ref="A2:O2"/>
    <mergeCell ref="A4:J4"/>
    <mergeCell ref="A16:J16"/>
    <mergeCell ref="A17:J1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  <pageSetUpPr fitToPage="1"/>
  </sheetPr>
  <dimension ref="A1:T32"/>
  <sheetViews>
    <sheetView topLeftCell="B1" zoomScaleNormal="100" workbookViewId="0">
      <pane ySplit="3" topLeftCell="A9" activePane="bottomLeft" state="frozen"/>
      <selection pane="bottomLeft" activeCell="E16" sqref="E16"/>
    </sheetView>
  </sheetViews>
  <sheetFormatPr defaultColWidth="8.6640625" defaultRowHeight="13.2" x14ac:dyDescent="0.25"/>
  <cols>
    <col min="1" max="1" width="40" customWidth="1"/>
    <col min="2" max="2" width="17" customWidth="1"/>
    <col min="3" max="3" width="3" customWidth="1"/>
    <col min="4" max="4" width="14" customWidth="1"/>
    <col min="5" max="11" width="11" customWidth="1"/>
    <col min="12" max="12" width="3" customWidth="1"/>
    <col min="13" max="13" width="14" customWidth="1"/>
    <col min="14" max="20" width="11" customWidth="1"/>
  </cols>
  <sheetData>
    <row r="1" spans="1:20" ht="30" customHeight="1" x14ac:dyDescent="0.25">
      <c r="A1" s="563" t="s">
        <v>431</v>
      </c>
      <c r="B1" s="563"/>
      <c r="C1" s="563"/>
      <c r="D1" s="563"/>
      <c r="E1" s="563"/>
      <c r="F1" s="563"/>
      <c r="G1" s="563"/>
      <c r="H1" s="563"/>
      <c r="I1" s="563"/>
      <c r="J1" s="563"/>
      <c r="K1" s="563"/>
      <c r="L1" s="563"/>
      <c r="M1" s="563"/>
      <c r="N1" s="563"/>
      <c r="O1" s="563"/>
      <c r="P1" s="563"/>
      <c r="Q1" s="563"/>
      <c r="R1" s="563"/>
      <c r="S1" s="563"/>
      <c r="T1" s="563"/>
    </row>
    <row r="2" spans="1:20" ht="15" customHeight="1" x14ac:dyDescent="0.25">
      <c r="A2" s="564" t="s">
        <v>432</v>
      </c>
      <c r="B2" s="564"/>
      <c r="C2" s="564"/>
      <c r="D2" s="564"/>
      <c r="E2" s="564"/>
      <c r="F2" s="564"/>
      <c r="G2" s="564"/>
      <c r="H2" s="564"/>
      <c r="I2" s="564"/>
      <c r="J2" s="564"/>
      <c r="K2" s="564"/>
      <c r="L2" s="564"/>
      <c r="M2" s="564"/>
      <c r="N2" s="564"/>
      <c r="O2" s="564"/>
      <c r="P2" s="564"/>
      <c r="Q2" s="564"/>
      <c r="R2" s="564"/>
      <c r="S2" s="564"/>
      <c r="T2" s="564"/>
    </row>
    <row r="4" spans="1:20" ht="21.75" customHeight="1" x14ac:dyDescent="0.25">
      <c r="A4" s="575" t="s">
        <v>433</v>
      </c>
      <c r="B4" s="575"/>
      <c r="D4" s="576" t="s">
        <v>434</v>
      </c>
      <c r="E4" s="576"/>
      <c r="F4" s="576"/>
      <c r="G4" s="576"/>
      <c r="H4" s="576"/>
      <c r="I4" s="576"/>
      <c r="J4" s="576"/>
      <c r="K4" s="576"/>
      <c r="M4" s="577" t="s">
        <v>435</v>
      </c>
      <c r="N4" s="577"/>
      <c r="O4" s="577"/>
      <c r="P4" s="577"/>
      <c r="Q4" s="577"/>
      <c r="R4" s="577"/>
      <c r="S4" s="577"/>
      <c r="T4" s="577"/>
    </row>
    <row r="5" spans="1:20" ht="18" customHeight="1" x14ac:dyDescent="0.25">
      <c r="A5" s="490" t="s">
        <v>436</v>
      </c>
      <c r="B5" s="491">
        <v>680</v>
      </c>
      <c r="D5" s="578" t="s">
        <v>437</v>
      </c>
      <c r="E5" s="578"/>
      <c r="F5" s="578"/>
      <c r="G5" s="578"/>
      <c r="H5" s="578"/>
      <c r="I5" s="578"/>
      <c r="J5" s="578"/>
      <c r="K5" s="578"/>
      <c r="M5" s="578" t="s">
        <v>438</v>
      </c>
      <c r="N5" s="578"/>
      <c r="O5" s="578"/>
      <c r="P5" s="578"/>
      <c r="Q5" s="578"/>
      <c r="R5" s="578"/>
      <c r="S5" s="578"/>
      <c r="T5" s="578"/>
    </row>
    <row r="6" spans="1:20" ht="36" customHeight="1" x14ac:dyDescent="0.25">
      <c r="A6" s="492" t="s">
        <v>439</v>
      </c>
      <c r="B6" s="493">
        <v>0.8</v>
      </c>
      <c r="D6" s="494" t="s">
        <v>440</v>
      </c>
      <c r="E6" s="495" t="s">
        <v>441</v>
      </c>
      <c r="F6" s="495" t="s">
        <v>442</v>
      </c>
      <c r="G6" s="495" t="s">
        <v>443</v>
      </c>
      <c r="H6" s="496" t="s">
        <v>444</v>
      </c>
      <c r="I6" s="495" t="s">
        <v>445</v>
      </c>
      <c r="J6" s="495" t="s">
        <v>446</v>
      </c>
      <c r="K6" s="495" t="s">
        <v>447</v>
      </c>
      <c r="M6" s="497" t="s">
        <v>448</v>
      </c>
      <c r="N6" s="498" t="s">
        <v>441</v>
      </c>
      <c r="O6" s="498" t="s">
        <v>442</v>
      </c>
      <c r="P6" s="498" t="s">
        <v>443</v>
      </c>
      <c r="Q6" s="499" t="s">
        <v>444</v>
      </c>
      <c r="R6" s="498" t="s">
        <v>445</v>
      </c>
      <c r="S6" s="498" t="s">
        <v>446</v>
      </c>
      <c r="T6" s="498" t="s">
        <v>447</v>
      </c>
    </row>
    <row r="7" spans="1:20" ht="19.5" customHeight="1" x14ac:dyDescent="0.25">
      <c r="A7" s="490" t="s">
        <v>449</v>
      </c>
      <c r="B7" s="491">
        <v>280</v>
      </c>
      <c r="D7" s="500" t="s">
        <v>450</v>
      </c>
      <c r="E7" s="501">
        <f>IFERROR(Returns!B81*0.7*0.625,0)</f>
        <v>0</v>
      </c>
      <c r="F7" s="501">
        <f>IFERROR(Returns!B81*0.8*0.625,0)</f>
        <v>0</v>
      </c>
      <c r="G7" s="501">
        <f>IFERROR(Returns!B81*0.9*0.625,0)</f>
        <v>0</v>
      </c>
      <c r="H7" s="501">
        <f>IFERROR(Returns!B81*1*0.625,0)</f>
        <v>0</v>
      </c>
      <c r="I7" s="501">
        <f>IFERROR(Returns!B81*1.1*0.625,0)</f>
        <v>0</v>
      </c>
      <c r="J7" s="501">
        <f>IFERROR(Returns!B81*1.2*0.625,0)</f>
        <v>0</v>
      </c>
      <c r="K7" s="501">
        <f>IFERROR(Returns!B81*1.3*0.625,0)</f>
        <v>0</v>
      </c>
      <c r="M7" s="502" t="s">
        <v>451</v>
      </c>
      <c r="N7" s="501">
        <f>IFERROR(Returns!B81*0.7/0.82,0)</f>
        <v>0</v>
      </c>
      <c r="O7" s="501">
        <f>IFERROR(Returns!B81*0.8/0.82,0)</f>
        <v>0</v>
      </c>
      <c r="P7" s="501">
        <f>IFERROR(Returns!B81*0.9/0.82,0)</f>
        <v>0</v>
      </c>
      <c r="Q7" s="501">
        <f>IFERROR(Returns!B81*1/0.82,0)</f>
        <v>0</v>
      </c>
      <c r="R7" s="501">
        <f>IFERROR(Returns!B81*1.1/0.82,0)</f>
        <v>0</v>
      </c>
      <c r="S7" s="501">
        <f>IFERROR(Returns!B81*1.2/0.82,0)</f>
        <v>0</v>
      </c>
      <c r="T7" s="501">
        <f>IFERROR(Returns!B81*1.3/0.82,0)</f>
        <v>0</v>
      </c>
    </row>
    <row r="8" spans="1:20" ht="19.5" customHeight="1" x14ac:dyDescent="0.25">
      <c r="A8" s="492" t="s">
        <v>452</v>
      </c>
      <c r="B8" s="503">
        <f>Cashflow!B18</f>
        <v>0.16</v>
      </c>
      <c r="D8" s="500" t="s">
        <v>453</v>
      </c>
      <c r="E8" s="501">
        <f>IFERROR(Returns!B81*0.7*0.8125,0)</f>
        <v>0</v>
      </c>
      <c r="F8" s="501">
        <f>IFERROR(Returns!B81*0.8*0.8125,0)</f>
        <v>0</v>
      </c>
      <c r="G8" s="501">
        <f>IFERROR(Returns!B81*0.9*0.8125,0)</f>
        <v>0</v>
      </c>
      <c r="H8" s="501">
        <f>IFERROR(Returns!B81*1*0.8125,0)</f>
        <v>0</v>
      </c>
      <c r="I8" s="501">
        <f>IFERROR(Returns!B81*1.1*0.8125,0)</f>
        <v>0</v>
      </c>
      <c r="J8" s="501">
        <f>IFERROR(Returns!B81*1.2*0.8125,0)</f>
        <v>0</v>
      </c>
      <c r="K8" s="501">
        <f>IFERROR(Returns!B81*1.3*0.8125,0)</f>
        <v>0</v>
      </c>
      <c r="M8" s="502" t="s">
        <v>454</v>
      </c>
      <c r="N8" s="501">
        <f>IFERROR(Returns!B81*0.7/0.88,0)</f>
        <v>0</v>
      </c>
      <c r="O8" s="501">
        <f>IFERROR(Returns!B81*0.8/0.88,0)</f>
        <v>0</v>
      </c>
      <c r="P8" s="501">
        <f>IFERROR(Returns!B81*0.9/0.88,0)</f>
        <v>0</v>
      </c>
      <c r="Q8" s="501">
        <f>IFERROR(Returns!B81*1/0.88,0)</f>
        <v>0</v>
      </c>
      <c r="R8" s="501">
        <f>IFERROR(Returns!B81*1.1/0.88,0)</f>
        <v>0</v>
      </c>
      <c r="S8" s="501">
        <f>IFERROR(Returns!B81*1.2/0.88,0)</f>
        <v>0</v>
      </c>
      <c r="T8" s="501">
        <f>IFERROR(Returns!B81*1.3/0.88,0)</f>
        <v>0</v>
      </c>
    </row>
    <row r="9" spans="1:20" ht="19.5" customHeight="1" x14ac:dyDescent="0.25">
      <c r="A9" s="490" t="s">
        <v>199</v>
      </c>
      <c r="B9" s="504">
        <f>Cashflow!B17</f>
        <v>4.5499999999999999E-2</v>
      </c>
      <c r="D9" s="505" t="s">
        <v>455</v>
      </c>
      <c r="E9" s="501">
        <f>IFERROR(Returns!B81*0.7*1,0)</f>
        <v>0</v>
      </c>
      <c r="F9" s="501">
        <f>IFERROR(Returns!B81*0.8*1,0)</f>
        <v>0</v>
      </c>
      <c r="G9" s="501">
        <f>IFERROR(Returns!B81*0.9*1,0)</f>
        <v>0</v>
      </c>
      <c r="H9" s="506">
        <f>IFERROR(Returns!B81*1*1,0)</f>
        <v>0</v>
      </c>
      <c r="I9" s="501">
        <f>IFERROR(Returns!B81*1.1*1,0)</f>
        <v>0</v>
      </c>
      <c r="J9" s="501">
        <f>IFERROR(Returns!B81*1.2*1,0)</f>
        <v>0</v>
      </c>
      <c r="K9" s="501">
        <f>IFERROR(Returns!B81*1.3*1,0)</f>
        <v>0</v>
      </c>
      <c r="M9" s="502" t="s">
        <v>456</v>
      </c>
      <c r="N9" s="501">
        <f>IFERROR(Returns!B81*0.7/0.94,0)</f>
        <v>0</v>
      </c>
      <c r="O9" s="501">
        <f>IFERROR(Returns!B81*0.8/0.94,0)</f>
        <v>0</v>
      </c>
      <c r="P9" s="501">
        <f>IFERROR(Returns!B81*0.9/0.94,0)</f>
        <v>0</v>
      </c>
      <c r="Q9" s="501">
        <f>IFERROR(Returns!B81*1/0.94,0)</f>
        <v>0</v>
      </c>
      <c r="R9" s="501">
        <f>IFERROR(Returns!B81*1.1/0.94,0)</f>
        <v>0</v>
      </c>
      <c r="S9" s="501">
        <f>IFERROR(Returns!B81*1.2/0.94,0)</f>
        <v>0</v>
      </c>
      <c r="T9" s="501">
        <f>IFERROR(Returns!B81*1.3/0.94,0)</f>
        <v>0</v>
      </c>
    </row>
    <row r="10" spans="1:20" ht="19.5" customHeight="1" x14ac:dyDescent="0.25">
      <c r="D10" s="500" t="s">
        <v>457</v>
      </c>
      <c r="E10" s="501">
        <f>IFERROR(Returns!B81*0.7*1.1875,0)</f>
        <v>0</v>
      </c>
      <c r="F10" s="501">
        <f>IFERROR(Returns!B81*0.8*1.1875,0)</f>
        <v>0</v>
      </c>
      <c r="G10" s="501">
        <f>IFERROR(Returns!B81*0.9*1.1875,0)</f>
        <v>0</v>
      </c>
      <c r="H10" s="501">
        <f>IFERROR(Returns!B81*1*1.1875,0)</f>
        <v>0</v>
      </c>
      <c r="I10" s="501">
        <f>IFERROR(Returns!B81*1.1*1.1875,0)</f>
        <v>0</v>
      </c>
      <c r="J10" s="501">
        <f>IFERROR(Returns!B81*1.2*1.1875,0)</f>
        <v>0</v>
      </c>
      <c r="K10" s="501">
        <f>IFERROR(Returns!B81*1.3*1.1875,0)</f>
        <v>0</v>
      </c>
      <c r="M10" s="507" t="s">
        <v>458</v>
      </c>
      <c r="N10" s="501">
        <f>IFERROR(Returns!B81*0.7/1,0)</f>
        <v>0</v>
      </c>
      <c r="O10" s="501">
        <f>IFERROR(Returns!B81*0.8/1,0)</f>
        <v>0</v>
      </c>
      <c r="P10" s="501">
        <f>IFERROR(Returns!B81*0.9/1,0)</f>
        <v>0</v>
      </c>
      <c r="Q10" s="506">
        <f>IFERROR(Returns!B81*1/1,0)</f>
        <v>0</v>
      </c>
      <c r="R10" s="501">
        <f>IFERROR(Returns!B81*1.1/1,0)</f>
        <v>0</v>
      </c>
      <c r="S10" s="501">
        <f>IFERROR(Returns!B81*1.2/1,0)</f>
        <v>0</v>
      </c>
      <c r="T10" s="501">
        <f>IFERROR(Returns!B81*1.3/1,0)</f>
        <v>0</v>
      </c>
    </row>
    <row r="11" spans="1:20" ht="19.5" customHeight="1" x14ac:dyDescent="0.25">
      <c r="A11" s="490" t="s">
        <v>193</v>
      </c>
      <c r="B11" s="450" t="e">
        <f>Returns!B5</f>
        <v>#REF!</v>
      </c>
      <c r="D11" s="500" t="s">
        <v>459</v>
      </c>
      <c r="E11" s="501">
        <f>IFERROR(Returns!B81*0.7*1.375,0)</f>
        <v>0</v>
      </c>
      <c r="F11" s="501">
        <f>IFERROR(Returns!B81*0.8*1.375,0)</f>
        <v>0</v>
      </c>
      <c r="G11" s="501">
        <f>IFERROR(Returns!B81*0.9*1.375,0)</f>
        <v>0</v>
      </c>
      <c r="H11" s="501">
        <f>IFERROR(Returns!B81*1*1.375,0)</f>
        <v>0</v>
      </c>
      <c r="I11" s="501">
        <f>IFERROR(Returns!B81*1.1*1.375,0)</f>
        <v>0</v>
      </c>
      <c r="J11" s="501">
        <f>IFERROR(Returns!B81*1.2*1.375,0)</f>
        <v>0</v>
      </c>
      <c r="K11" s="501">
        <f>IFERROR(Returns!B81*1.3*1.375,0)</f>
        <v>0</v>
      </c>
      <c r="M11" s="502" t="s">
        <v>460</v>
      </c>
      <c r="N11" s="501">
        <f>IFERROR(Returns!B81*0.7/1.06,0)</f>
        <v>0</v>
      </c>
      <c r="O11" s="501">
        <f>IFERROR(Returns!B81*0.8/1.06,0)</f>
        <v>0</v>
      </c>
      <c r="P11" s="501">
        <f>IFERROR(Returns!B81*0.9/1.06,0)</f>
        <v>0</v>
      </c>
      <c r="Q11" s="501">
        <f>IFERROR(Returns!B81*1/1.06,0)</f>
        <v>0</v>
      </c>
      <c r="R11" s="501">
        <f>IFERROR(Returns!B81*1.1/1.06,0)</f>
        <v>0</v>
      </c>
      <c r="S11" s="501">
        <f>IFERROR(Returns!B81*1.2/1.06,0)</f>
        <v>0</v>
      </c>
      <c r="T11" s="501">
        <f>IFERROR(Returns!B81*1.3/1.06,0)</f>
        <v>0</v>
      </c>
    </row>
    <row r="12" spans="1:20" ht="19.5" customHeight="1" x14ac:dyDescent="0.25">
      <c r="A12" s="492" t="s">
        <v>194</v>
      </c>
      <c r="B12" s="450" t="e">
        <f>Returns!B6</f>
        <v>#REF!</v>
      </c>
      <c r="M12" s="502" t="s">
        <v>461</v>
      </c>
      <c r="N12" s="501">
        <f>IFERROR(Returns!B81*0.7/1.12,0)</f>
        <v>0</v>
      </c>
      <c r="O12" s="501">
        <f>IFERROR(Returns!B81*0.8/1.12,0)</f>
        <v>0</v>
      </c>
      <c r="P12" s="501">
        <f>IFERROR(Returns!B81*0.9/1.12,0)</f>
        <v>0</v>
      </c>
      <c r="Q12" s="501">
        <f>IFERROR(Returns!B81*1/1.12,0)</f>
        <v>0</v>
      </c>
      <c r="R12" s="501">
        <f>IFERROR(Returns!B81*1.1/1.12,0)</f>
        <v>0</v>
      </c>
      <c r="S12" s="501">
        <f>IFERROR(Returns!B81*1.2/1.12,0)</f>
        <v>0</v>
      </c>
      <c r="T12" s="501">
        <f>IFERROR(Returns!B81*1.3/1.12,0)</f>
        <v>0</v>
      </c>
    </row>
    <row r="13" spans="1:20" ht="19.5" customHeight="1" x14ac:dyDescent="0.25">
      <c r="A13" s="490" t="s">
        <v>195</v>
      </c>
      <c r="B13" s="450" t="e">
        <f>Returns!B7</f>
        <v>#REF!</v>
      </c>
      <c r="D13" s="579" t="s">
        <v>462</v>
      </c>
      <c r="E13" s="579"/>
      <c r="F13" s="579"/>
      <c r="G13" s="579"/>
      <c r="H13" s="579"/>
      <c r="I13" s="579"/>
      <c r="J13" s="579"/>
      <c r="K13" s="579"/>
      <c r="M13" s="502" t="s">
        <v>463</v>
      </c>
      <c r="N13" s="501">
        <f>IFERROR(Returns!B81*0.7/1.18,0)</f>
        <v>0</v>
      </c>
      <c r="O13" s="501">
        <f>IFERROR(Returns!B81*0.8/1.18,0)</f>
        <v>0</v>
      </c>
      <c r="P13" s="501">
        <f>IFERROR(Returns!B81*0.9/1.18,0)</f>
        <v>0</v>
      </c>
      <c r="Q13" s="501">
        <f>IFERROR(Returns!B81*1/1.18,0)</f>
        <v>0</v>
      </c>
      <c r="R13" s="501">
        <f>IFERROR(Returns!B81*1.1/1.18,0)</f>
        <v>0</v>
      </c>
      <c r="S13" s="501">
        <f>IFERROR(Returns!B81*1.2/1.18,0)</f>
        <v>0</v>
      </c>
      <c r="T13" s="501">
        <f>IFERROR(Returns!B81*1.3/1.18,0)</f>
        <v>0</v>
      </c>
    </row>
    <row r="14" spans="1:20" ht="18" customHeight="1" x14ac:dyDescent="0.25">
      <c r="A14" s="492" t="s">
        <v>196</v>
      </c>
      <c r="B14" s="450" t="e">
        <f>Returns!B8</f>
        <v>#REF!</v>
      </c>
      <c r="D14" s="578" t="s">
        <v>464</v>
      </c>
      <c r="E14" s="578"/>
      <c r="F14" s="578"/>
      <c r="G14" s="578"/>
      <c r="H14" s="578"/>
      <c r="I14" s="578"/>
      <c r="J14" s="578"/>
      <c r="K14" s="578"/>
    </row>
    <row r="15" spans="1:20" ht="21.75" customHeight="1" x14ac:dyDescent="0.25">
      <c r="A15" s="490" t="s">
        <v>197</v>
      </c>
      <c r="B15" s="450">
        <f>Cashflow!B15</f>
        <v>12797.928000000002</v>
      </c>
      <c r="D15" s="508" t="s">
        <v>440</v>
      </c>
      <c r="E15" s="509" t="s">
        <v>441</v>
      </c>
      <c r="F15" s="509" t="s">
        <v>442</v>
      </c>
      <c r="G15" s="509" t="s">
        <v>443</v>
      </c>
      <c r="H15" s="510" t="s">
        <v>444</v>
      </c>
      <c r="I15" s="509" t="s">
        <v>445</v>
      </c>
      <c r="J15" s="509" t="s">
        <v>446</v>
      </c>
      <c r="K15" s="509" t="s">
        <v>447</v>
      </c>
      <c r="M15" s="580" t="s">
        <v>465</v>
      </c>
      <c r="N15" s="580"/>
      <c r="O15" s="580"/>
      <c r="P15" s="580"/>
      <c r="Q15" s="580"/>
      <c r="R15" s="580"/>
      <c r="S15" s="580"/>
      <c r="T15" s="580"/>
    </row>
    <row r="16" spans="1:20" ht="19.5" customHeight="1" x14ac:dyDescent="0.25">
      <c r="A16" s="492" t="s">
        <v>198</v>
      </c>
      <c r="B16" s="450" t="e">
        <f>Cashflow!B16</f>
        <v>#REF!</v>
      </c>
      <c r="D16" s="511" t="s">
        <v>450</v>
      </c>
      <c r="E16" s="501">
        <f>IFERROR(((Returns!B6*0.7*0.625)-Returns!B7)/(Returns!B6*0.7*0.625),0)</f>
        <v>0</v>
      </c>
      <c r="F16" s="501">
        <f>IFERROR(((Returns!B6*0.8*0.625)-Returns!B7)/(Returns!B6*0.8*0.625),0)</f>
        <v>0</v>
      </c>
      <c r="G16" s="501">
        <f>IFERROR(((Returns!B6*0.9*0.625)-Returns!B7)/(Returns!B6*0.9*0.625),0)</f>
        <v>0</v>
      </c>
      <c r="H16" s="501">
        <f>IFERROR(((Returns!B6*1*0.625)-Returns!B7)/(Returns!B6*1*0.625),0)</f>
        <v>0</v>
      </c>
      <c r="I16" s="501">
        <f>IFERROR(((Returns!B6*1.1*0.625)-Returns!B7)/(Returns!B6*1.1*0.625),0)</f>
        <v>0</v>
      </c>
      <c r="J16" s="501">
        <f>IFERROR(((Returns!B6*1.2*0.625)-Returns!B7)/(Returns!B6*1.2*0.625),0)</f>
        <v>0</v>
      </c>
      <c r="K16" s="501">
        <f>IFERROR(((Returns!B6*1.3*0.625)-Returns!B7)/(Returns!B6*1.3*0.625),0)</f>
        <v>0</v>
      </c>
      <c r="M16" s="578" t="s">
        <v>466</v>
      </c>
      <c r="N16" s="578"/>
      <c r="O16" s="578"/>
      <c r="P16" s="578"/>
      <c r="Q16" s="578"/>
      <c r="R16" s="578"/>
      <c r="S16" s="578"/>
      <c r="T16" s="578"/>
    </row>
    <row r="17" spans="1:20" ht="27.75" customHeight="1" x14ac:dyDescent="0.25">
      <c r="A17" s="490" t="s">
        <v>280</v>
      </c>
      <c r="B17" s="450" t="e">
        <f>Returns!B12</f>
        <v>#REF!</v>
      </c>
      <c r="D17" s="511" t="s">
        <v>453</v>
      </c>
      <c r="E17" s="501">
        <f>IFERROR(((Returns!B6*0.7*0.8125)-Returns!B7)/(Returns!B6*0.7*0.8125),0)</f>
        <v>0</v>
      </c>
      <c r="F17" s="501">
        <f>IFERROR(((Returns!B6*0.8*0.8125)-Returns!B7)/(Returns!B6*0.8*0.8125),0)</f>
        <v>0</v>
      </c>
      <c r="G17" s="501">
        <f>IFERROR(((Returns!B6*0.9*0.8125)-Returns!B7)/(Returns!B6*0.9*0.8125),0)</f>
        <v>0</v>
      </c>
      <c r="H17" s="501">
        <f>IFERROR(((Returns!B6*1*0.8125)-Returns!B7)/(Returns!B6*1*0.8125),0)</f>
        <v>0</v>
      </c>
      <c r="I17" s="501">
        <f>IFERROR(((Returns!B6*1.1*0.8125)-Returns!B7)/(Returns!B6*1.1*0.8125),0)</f>
        <v>0</v>
      </c>
      <c r="J17" s="501">
        <f>IFERROR(((Returns!B6*1.2*0.8125)-Returns!B7)/(Returns!B6*1.2*0.8125),0)</f>
        <v>0</v>
      </c>
      <c r="K17" s="501">
        <f>IFERROR(((Returns!B6*1.3*0.8125)-Returns!B7)/(Returns!B6*1.3*0.8125),0)</f>
        <v>0</v>
      </c>
      <c r="M17" s="512" t="s">
        <v>467</v>
      </c>
      <c r="N17" s="512" t="s">
        <v>468</v>
      </c>
      <c r="O17" s="512" t="s">
        <v>469</v>
      </c>
      <c r="P17" s="512" t="s">
        <v>470</v>
      </c>
      <c r="Q17" s="512" t="s">
        <v>471</v>
      </c>
      <c r="R17" s="512" t="s">
        <v>472</v>
      </c>
      <c r="S17" s="512" t="s">
        <v>473</v>
      </c>
      <c r="T17" s="512" t="s">
        <v>474</v>
      </c>
    </row>
    <row r="18" spans="1:20" ht="18" customHeight="1" x14ac:dyDescent="0.25">
      <c r="D18" s="513" t="s">
        <v>455</v>
      </c>
      <c r="E18" s="501">
        <f>IFERROR(((Returns!B6*0.7*1)-Returns!B7)/(Returns!B6*0.7*1),0)</f>
        <v>0</v>
      </c>
      <c r="F18" s="501">
        <f>IFERROR(((Returns!B6*0.8*1)-Returns!B7)/(Returns!B6*0.8*1),0)</f>
        <v>0</v>
      </c>
      <c r="G18" s="501">
        <f>IFERROR(((Returns!B6*0.9*1)-Returns!B7)/(Returns!B6*0.9*1),0)</f>
        <v>0</v>
      </c>
      <c r="H18" s="506">
        <f>IFERROR(((Returns!B6*1*1)-Returns!B7)/(Returns!B6*1*1),0)</f>
        <v>0</v>
      </c>
      <c r="I18" s="501">
        <f>IFERROR(((Returns!B6*1.1*1)-Returns!B7)/(Returns!B6*1.1*1),0)</f>
        <v>0</v>
      </c>
      <c r="J18" s="501">
        <f>IFERROR(((Returns!B6*1.2*1)-Returns!B7)/(Returns!B6*1.2*1),0)</f>
        <v>0</v>
      </c>
      <c r="K18" s="501">
        <f>IFERROR(((Returns!B6*1.3*1)-Returns!B7)/(Returns!B6*1.3*1),0)</f>
        <v>0</v>
      </c>
      <c r="M18" s="514" t="s">
        <v>475</v>
      </c>
      <c r="N18" s="410" t="e">
        <f>(Returns!B6*0.7)</f>
        <v>#REF!</v>
      </c>
      <c r="O18" s="515" t="e">
        <f>(Returns!B7-Cashflow!B15)</f>
        <v>#REF!</v>
      </c>
      <c r="P18" s="515" t="e">
        <f>((Returns!B6*0.7)*0.25)</f>
        <v>#REF!</v>
      </c>
      <c r="Q18" s="516" t="e">
        <f>MAX(0,(Returns!B6*0.7)-(Returns!B7-Cashflow!B15)-((Returns!B6*0.7)*0.25))</f>
        <v>#REF!</v>
      </c>
      <c r="R18" s="515">
        <f>IFERROR(MAX(0,(Returns!B6*0.7)-(Returns!B7-Cashflow!B15)-((Returns!B6*0.7)*0.25))*1000/('Feasibility Study'!#REF!*43560),0)</f>
        <v>0</v>
      </c>
      <c r="S18" s="517">
        <f>IFERROR(MAX(0,(Returns!B6*0.7)-(Returns!B7-Cashflow!B15)-((Returns!B6*0.7)*0.25))/Cashflow!B15-1,0)</f>
        <v>0</v>
      </c>
      <c r="T18" s="518" t="e">
        <f>IF(MAX(0,(Returns!B6*0.7)-(Returns!B7-Cashflow!B15)-((Returns!B6*0.7)*0.25))&gt;=Cashflow!B15,"Yes ✓","No ✗")</f>
        <v>#REF!</v>
      </c>
    </row>
    <row r="19" spans="1:20" ht="18" customHeight="1" x14ac:dyDescent="0.25">
      <c r="A19" s="490" t="s">
        <v>279</v>
      </c>
      <c r="B19" s="519">
        <f>IFERROR(Returns!B8/Returns!B6,0)</f>
        <v>0</v>
      </c>
      <c r="D19" s="511" t="s">
        <v>457</v>
      </c>
      <c r="E19" s="501">
        <f>IFERROR(((Returns!B6*0.7*1.1875)-Returns!B7)/(Returns!B6*0.7*1.1875),0)</f>
        <v>0</v>
      </c>
      <c r="F19" s="501">
        <f>IFERROR(((Returns!B6*0.8*1.1875)-Returns!B7)/(Returns!B6*0.8*1.1875),0)</f>
        <v>0</v>
      </c>
      <c r="G19" s="501">
        <f>IFERROR(((Returns!B6*0.9*1.1875)-Returns!B7)/(Returns!B6*0.9*1.1875),0)</f>
        <v>0</v>
      </c>
      <c r="H19" s="501">
        <f>IFERROR(((Returns!B6*1*1.1875)-Returns!B7)/(Returns!B6*1*1.1875),0)</f>
        <v>0</v>
      </c>
      <c r="I19" s="501">
        <f>IFERROR(((Returns!B6*1.1*1.1875)-Returns!B7)/(Returns!B6*1.1*1.1875),0)</f>
        <v>0</v>
      </c>
      <c r="J19" s="501">
        <f>IFERROR(((Returns!B6*1.2*1.1875)-Returns!B7)/(Returns!B6*1.2*1.1875),0)</f>
        <v>0</v>
      </c>
      <c r="K19" s="501">
        <f>IFERROR(((Returns!B6*1.3*1.1875)-Returns!B7)/(Returns!B6*1.3*1.1875),0)</f>
        <v>0</v>
      </c>
      <c r="M19" s="520" t="s">
        <v>398</v>
      </c>
      <c r="N19" s="413" t="e">
        <f>(Returns!B6*0.8)</f>
        <v>#REF!</v>
      </c>
      <c r="O19" s="521" t="e">
        <f>(Returns!B7-Cashflow!B15)</f>
        <v>#REF!</v>
      </c>
      <c r="P19" s="521" t="e">
        <f>((Returns!B6*0.8)*0.25)</f>
        <v>#REF!</v>
      </c>
      <c r="Q19" s="522" t="e">
        <f>MAX(0,(Returns!B6*0.8)-(Returns!B7-Cashflow!B15)-((Returns!B6*0.8)*0.25))</f>
        <v>#REF!</v>
      </c>
      <c r="R19" s="521">
        <f>IFERROR(MAX(0,(Returns!B6*0.8)-(Returns!B7-Cashflow!B15)-((Returns!B6*0.8)*0.25))*1000/('Feasibility Study'!#REF!*43560),0)</f>
        <v>0</v>
      </c>
      <c r="S19" s="523">
        <f>IFERROR(MAX(0,(Returns!B6*0.8)-(Returns!B7-Cashflow!B15)-((Returns!B6*0.8)*0.25))/Cashflow!B15-1,0)</f>
        <v>0</v>
      </c>
      <c r="T19" s="524" t="e">
        <f>IF(MAX(0,(Returns!B6*0.8)-(Returns!B7-Cashflow!B15)-((Returns!B6*0.8)*0.25))&gt;=Cashflow!B15,"Yes ✓","No ✗")</f>
        <v>#REF!</v>
      </c>
    </row>
    <row r="20" spans="1:20" ht="18" customHeight="1" x14ac:dyDescent="0.25">
      <c r="A20" s="492" t="s">
        <v>356</v>
      </c>
      <c r="B20" s="519">
        <f>IFERROR(Returns!B8/Returns!B5,0)</f>
        <v>0</v>
      </c>
      <c r="D20" s="511" t="s">
        <v>459</v>
      </c>
      <c r="E20" s="501">
        <f>IFERROR(((Returns!B6*0.7*1.375)-Returns!B7)/(Returns!B6*0.7*1.375),0)</f>
        <v>0</v>
      </c>
      <c r="F20" s="501">
        <f>IFERROR(((Returns!B6*0.8*1.375)-Returns!B7)/(Returns!B6*0.8*1.375),0)</f>
        <v>0</v>
      </c>
      <c r="G20" s="501">
        <f>IFERROR(((Returns!B6*0.9*1.375)-Returns!B7)/(Returns!B6*0.9*1.375),0)</f>
        <v>0</v>
      </c>
      <c r="H20" s="501">
        <f>IFERROR(((Returns!B6*1*1.375)-Returns!B7)/(Returns!B6*1*1.375),0)</f>
        <v>0</v>
      </c>
      <c r="I20" s="501">
        <f>IFERROR(((Returns!B6*1.1*1.375)-Returns!B7)/(Returns!B6*1.1*1.375),0)</f>
        <v>0</v>
      </c>
      <c r="J20" s="501">
        <f>IFERROR(((Returns!B6*1.2*1.375)-Returns!B7)/(Returns!B6*1.2*1.375),0)</f>
        <v>0</v>
      </c>
      <c r="K20" s="501">
        <f>IFERROR(((Returns!B6*1.3*1.375)-Returns!B7)/(Returns!B6*1.3*1.375),0)</f>
        <v>0</v>
      </c>
      <c r="M20" s="514" t="s">
        <v>476</v>
      </c>
      <c r="N20" s="410" t="e">
        <f>(Returns!B6*0.9)</f>
        <v>#REF!</v>
      </c>
      <c r="O20" s="515" t="e">
        <f>(Returns!B7-Cashflow!B15)</f>
        <v>#REF!</v>
      </c>
      <c r="P20" s="515" t="e">
        <f>((Returns!B6*0.9)*0.25)</f>
        <v>#REF!</v>
      </c>
      <c r="Q20" s="516" t="e">
        <f>MAX(0,(Returns!B6*0.9)-(Returns!B7-Cashflow!B15)-((Returns!B6*0.9)*0.25))</f>
        <v>#REF!</v>
      </c>
      <c r="R20" s="515">
        <f>IFERROR(MAX(0,(Returns!B6*0.9)-(Returns!B7-Cashflow!B15)-((Returns!B6*0.9)*0.25))*1000/('Feasibility Study'!#REF!*43560),0)</f>
        <v>0</v>
      </c>
      <c r="S20" s="517">
        <f>IFERROR(MAX(0,(Returns!B6*0.9)-(Returns!B7-Cashflow!B15)-((Returns!B6*0.9)*0.25))/Cashflow!B15-1,0)</f>
        <v>0</v>
      </c>
      <c r="T20" s="518" t="e">
        <f>IF(MAX(0,(Returns!B6*0.9)-(Returns!B7-Cashflow!B15)-((Returns!B6*0.9)*0.25))&gt;=Cashflow!B15,"Yes ✓","No ✗")</f>
        <v>#REF!</v>
      </c>
    </row>
    <row r="21" spans="1:20" ht="18" customHeight="1" x14ac:dyDescent="0.25">
      <c r="A21" s="490" t="s">
        <v>477</v>
      </c>
      <c r="B21" s="525">
        <f>IFERROR(Returns!B8/ABS(Returns!B12),0)</f>
        <v>0</v>
      </c>
      <c r="M21" s="526" t="s">
        <v>399</v>
      </c>
      <c r="N21" s="527" t="e">
        <f>(Returns!B6*1)</f>
        <v>#REF!</v>
      </c>
      <c r="O21" s="527" t="e">
        <f>(Returns!B7-Cashflow!B15)</f>
        <v>#REF!</v>
      </c>
      <c r="P21" s="527" t="e">
        <f>((Returns!B6*1)*0.25)</f>
        <v>#REF!</v>
      </c>
      <c r="Q21" s="527" t="e">
        <f>MAX(0,(Returns!B6*1)-(Returns!B7-Cashflow!B15)-((Returns!B6*1)*0.25))</f>
        <v>#REF!</v>
      </c>
      <c r="R21" s="527">
        <f>IFERROR(MAX(0,(Returns!B6*1)-(Returns!B7-Cashflow!B15)-((Returns!B6*1)*0.25))*1000/('Feasibility Study'!#REF!*43560),0)</f>
        <v>0</v>
      </c>
      <c r="S21" s="528">
        <f>IFERROR(MAX(0,(Returns!B6*1)-(Returns!B7-Cashflow!B15)-((Returns!B6*1)*0.25))/Cashflow!B15-1,0)</f>
        <v>0</v>
      </c>
      <c r="T21" s="526" t="e">
        <f>IF(MAX(0,(Returns!B6*1)-(Returns!B7-Cashflow!B15)-((Returns!B6*1)*0.25))&gt;=Cashflow!B15,"Yes ✓","No ✗")</f>
        <v>#REF!</v>
      </c>
    </row>
    <row r="22" spans="1:20" ht="18" customHeight="1" x14ac:dyDescent="0.25">
      <c r="M22" s="514" t="s">
        <v>400</v>
      </c>
      <c r="N22" s="410" t="e">
        <f>(Returns!B6*1.1)</f>
        <v>#REF!</v>
      </c>
      <c r="O22" s="515" t="e">
        <f>(Returns!B7-Cashflow!B15)</f>
        <v>#REF!</v>
      </c>
      <c r="P22" s="515" t="e">
        <f>((Returns!B6*1.1)*0.25)</f>
        <v>#REF!</v>
      </c>
      <c r="Q22" s="516" t="e">
        <f>MAX(0,(Returns!B6*1.1)-(Returns!B7-Cashflow!B15)-((Returns!B6*1.1)*0.25))</f>
        <v>#REF!</v>
      </c>
      <c r="R22" s="515">
        <f>IFERROR(MAX(0,(Returns!B6*1.1)-(Returns!B7-Cashflow!B15)-((Returns!B6*1.1)*0.25))*1000/('Feasibility Study'!#REF!*43560),0)</f>
        <v>0</v>
      </c>
      <c r="S22" s="517">
        <f>IFERROR(MAX(0,(Returns!B6*1.1)-(Returns!B7-Cashflow!B15)-((Returns!B6*1.1)*0.25))/Cashflow!B15-1,0)</f>
        <v>0</v>
      </c>
      <c r="T22" s="518" t="e">
        <f>IF(MAX(0,(Returns!B6*1.1)-(Returns!B7-Cashflow!B15)-((Returns!B6*1.1)*0.25))&gt;=Cashflow!B15,"Yes ✓","No ✗")</f>
        <v>#REF!</v>
      </c>
    </row>
    <row r="23" spans="1:20" ht="21.75" customHeight="1" x14ac:dyDescent="0.25">
      <c r="A23" s="529" t="s">
        <v>478</v>
      </c>
      <c r="M23" s="520" t="s">
        <v>401</v>
      </c>
      <c r="N23" s="413" t="e">
        <f>(Returns!B6*1.2)</f>
        <v>#REF!</v>
      </c>
      <c r="O23" s="521" t="e">
        <f>(Returns!B7-Cashflow!B15)</f>
        <v>#REF!</v>
      </c>
      <c r="P23" s="521" t="e">
        <f>((Returns!B6*1.2)*0.25)</f>
        <v>#REF!</v>
      </c>
      <c r="Q23" s="522" t="e">
        <f>MAX(0,(Returns!B6*1.2)-(Returns!B7-Cashflow!B15)-((Returns!B6*1.2)*0.25))</f>
        <v>#REF!</v>
      </c>
      <c r="R23" s="521">
        <f>IFERROR(MAX(0,(Returns!B6*1.2)-(Returns!B7-Cashflow!B15)-((Returns!B6*1.2)*0.25))*1000/('Feasibility Study'!#REF!*43560),0)</f>
        <v>0</v>
      </c>
      <c r="S23" s="523">
        <f>IFERROR(MAX(0,(Returns!B6*1.2)-(Returns!B7-Cashflow!B15)-((Returns!B6*1.2)*0.25))/Cashflow!B15-1,0)</f>
        <v>0</v>
      </c>
      <c r="T23" s="524" t="e">
        <f>IF(MAX(0,(Returns!B6*1.2)-(Returns!B7-Cashflow!B15)-((Returns!B6*1.2)*0.25))&gt;=Cashflow!B15,"Yes ✓","No ✗")</f>
        <v>#REF!</v>
      </c>
    </row>
    <row r="24" spans="1:20" ht="15.75" customHeight="1" x14ac:dyDescent="0.25">
      <c r="A24" s="530" t="s">
        <v>479</v>
      </c>
      <c r="B24" s="531" t="s">
        <v>480</v>
      </c>
      <c r="M24" s="514" t="s">
        <v>481</v>
      </c>
      <c r="N24" s="410" t="e">
        <f>(Returns!B6*1.3)</f>
        <v>#REF!</v>
      </c>
      <c r="O24" s="515" t="e">
        <f>(Returns!B7-Cashflow!B15)</f>
        <v>#REF!</v>
      </c>
      <c r="P24" s="515" t="e">
        <f>((Returns!B6*1.3)*0.25)</f>
        <v>#REF!</v>
      </c>
      <c r="Q24" s="516" t="e">
        <f>MAX(0,(Returns!B6*1.3)-(Returns!B7-Cashflow!B15)-((Returns!B6*1.3)*0.25))</f>
        <v>#REF!</v>
      </c>
      <c r="R24" s="515">
        <f>IFERROR(MAX(0,(Returns!B6*1.3)-(Returns!B7-Cashflow!B15)-((Returns!B6*1.3)*0.25))*1000/('Feasibility Study'!#REF!*43560),0)</f>
        <v>0</v>
      </c>
      <c r="S24" s="517">
        <f>IFERROR(MAX(0,(Returns!B6*1.3)-(Returns!B7-Cashflow!B15)-((Returns!B6*1.3)*0.25))/Cashflow!B15-1,0)</f>
        <v>0</v>
      </c>
      <c r="T24" s="518" t="e">
        <f>IF(MAX(0,(Returns!B6*1.3)-(Returns!B7-Cashflow!B15)-((Returns!B6*1.3)*0.25))&gt;=Cashflow!B15,"Yes ✓","No ✗")</f>
        <v>#REF!</v>
      </c>
    </row>
    <row r="25" spans="1:20" ht="15.75" customHeight="1" x14ac:dyDescent="0.25">
      <c r="A25" s="532" t="s">
        <v>482</v>
      </c>
      <c r="B25" s="533" t="s">
        <v>483</v>
      </c>
    </row>
    <row r="26" spans="1:20" ht="15.75" customHeight="1" x14ac:dyDescent="0.25">
      <c r="A26" s="534" t="s">
        <v>484</v>
      </c>
      <c r="B26" s="535" t="s">
        <v>485</v>
      </c>
    </row>
    <row r="27" spans="1:20" ht="15.75" customHeight="1" x14ac:dyDescent="0.25">
      <c r="A27" s="532" t="s">
        <v>486</v>
      </c>
      <c r="B27" s="536" t="s">
        <v>487</v>
      </c>
    </row>
    <row r="28" spans="1:20" ht="15.75" customHeight="1" x14ac:dyDescent="0.25">
      <c r="A28" s="534" t="s">
        <v>488</v>
      </c>
      <c r="B28" s="536" t="s">
        <v>489</v>
      </c>
    </row>
    <row r="29" spans="1:20" ht="15.75" customHeight="1" x14ac:dyDescent="0.25">
      <c r="A29" s="532" t="s">
        <v>490</v>
      </c>
      <c r="B29" s="536" t="s">
        <v>491</v>
      </c>
    </row>
    <row r="30" spans="1:20" ht="15.75" customHeight="1" x14ac:dyDescent="0.25">
      <c r="A30" s="534" t="s">
        <v>492</v>
      </c>
      <c r="B30" s="537" t="s">
        <v>493</v>
      </c>
    </row>
    <row r="31" spans="1:20" ht="15.75" customHeight="1" x14ac:dyDescent="0.25">
      <c r="A31" s="532" t="s">
        <v>494</v>
      </c>
      <c r="B31" s="538" t="s">
        <v>495</v>
      </c>
    </row>
    <row r="32" spans="1:20" ht="19.5" customHeight="1" x14ac:dyDescent="0.25">
      <c r="A32" s="492" t="s">
        <v>496</v>
      </c>
      <c r="B32" s="451" t="str">
        <f>Returns!B86</f>
        <v>Inputs needed</v>
      </c>
    </row>
  </sheetData>
  <mergeCells count="11">
    <mergeCell ref="M16:T16"/>
    <mergeCell ref="D5:K5"/>
    <mergeCell ref="M5:T5"/>
    <mergeCell ref="D13:K13"/>
    <mergeCell ref="D14:K14"/>
    <mergeCell ref="M15:T15"/>
    <mergeCell ref="A1:T1"/>
    <mergeCell ref="A2:T2"/>
    <mergeCell ref="A4:B4"/>
    <mergeCell ref="D4:K4"/>
    <mergeCell ref="M4:T4"/>
  </mergeCells>
  <conditionalFormatting sqref="E16:K20">
    <cfRule type="cellIs" dxfId="5" priority="4" operator="greaterThanOrEqual">
      <formula>0.25</formula>
    </cfRule>
    <cfRule type="cellIs" dxfId="4" priority="5" operator="between">
      <formula>0.15</formula>
      <formula>0.249</formula>
    </cfRule>
    <cfRule type="cellIs" dxfId="3" priority="6" operator="lessThan">
      <formula>0.15</formula>
    </cfRule>
  </conditionalFormatting>
  <conditionalFormatting sqref="T18:T24">
    <cfRule type="expression" dxfId="0" priority="9">
      <formula>T18="Yes ✓"</formula>
    </cfRule>
  </conditionalFormatting>
  <pageMargins left="0.75" right="0.75" top="1" bottom="1" header="0.511811023622047" footer="0.511811023622047"/>
  <pageSetup scale="50" orientation="landscape" horizontalDpi="300" verticalDpi="3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OrEqual" id="{00000000-000E-0000-0300-000002000000}">
            <xm:f>Cashflow!B18</xm:f>
            <x14:dxf>
              <font>
                <color rgb="FF276221"/>
              </font>
              <fill>
                <patternFill>
                  <bgColor rgb="FFC6EFCE"/>
                </patternFill>
              </fill>
            </x14:dxf>
          </x14:cfRule>
          <x14:cfRule type="cellIs" priority="3" operator="lessThan" id="{00000000-000E-0000-0300-000003000000}">
            <xm:f>Cashflow!B18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E7:K11</xm:sqref>
        </x14:conditionalFormatting>
        <x14:conditionalFormatting xmlns:xm="http://schemas.microsoft.com/office/excel/2006/main">
          <x14:cfRule type="cellIs" priority="7" operator="greaterThanOrEqual" id="{00000000-000E-0000-0300-000007000000}">
            <xm:f>Cashflow!B18</xm:f>
            <x14:dxf>
              <font>
                <color rgb="FF276221"/>
              </font>
              <fill>
                <patternFill>
                  <bgColor rgb="FFC6EFCE"/>
                </patternFill>
              </fill>
            </x14:dxf>
          </x14:cfRule>
          <x14:cfRule type="cellIs" priority="8" operator="lessThan" id="{00000000-000E-0000-0300-000008000000}">
            <xm:f>Cashflow!B18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N7:T13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Feasibility Study</vt:lpstr>
      <vt:lpstr>Cashflow</vt:lpstr>
      <vt:lpstr>Returns</vt:lpstr>
      <vt:lpstr>IRR &amp; Sensitivity</vt:lpstr>
      <vt:lpstr>'IRR &amp; Sensitivity'!Print_Area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</dc:creator>
  <dc:description/>
  <cp:lastModifiedBy>Wai Win Han</cp:lastModifiedBy>
  <cp:revision>0</cp:revision>
  <cp:lastPrinted>2026-01-16T05:02:10Z</cp:lastPrinted>
  <dcterms:created xsi:type="dcterms:W3CDTF">2007-01-07T21:55:36Z</dcterms:created>
  <dcterms:modified xsi:type="dcterms:W3CDTF">2026-04-15T13:01:52Z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