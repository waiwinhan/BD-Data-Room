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wai\Desktop\BD\BD Data Room\"/>
    </mc:Choice>
  </mc:AlternateContent>
  <xr:revisionPtr revIDLastSave="0" documentId="13_ncr:1_{50A943DD-2F11-416D-B39F-F5E195889218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" sheetId="1" r:id="rId1"/>
    <sheet name="Feasibility Study" sheetId="2" r:id="rId2"/>
    <sheet name="Cashflow" sheetId="3" r:id="rId3"/>
    <sheet name="IRR &amp; Sensitivity" sheetId="4" r:id="rId4"/>
    <sheet name="Returns" sheetId="5" r:id="rId5"/>
  </sheets>
  <definedNames>
    <definedName name="x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B13" i="5"/>
  <c r="B10" i="4"/>
  <c r="B9" i="4"/>
  <c r="B8" i="4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BK40" i="3"/>
  <c r="BK39" i="3"/>
  <c r="BK38" i="3"/>
  <c r="BK37" i="3"/>
  <c r="BK36" i="3"/>
  <c r="BK35" i="3"/>
  <c r="BK34" i="3"/>
  <c r="BK33" i="3"/>
  <c r="BK32" i="3"/>
  <c r="BK31" i="3"/>
  <c r="BK30" i="3"/>
  <c r="BK29" i="3"/>
  <c r="BK28" i="3"/>
  <c r="BK27" i="3"/>
  <c r="BK26" i="3"/>
  <c r="BK25" i="3"/>
  <c r="BK24" i="3"/>
  <c r="BK23" i="3"/>
  <c r="AW232" i="2"/>
  <c r="AU232" i="2"/>
  <c r="AS232" i="2"/>
  <c r="AQ232" i="2"/>
  <c r="AO232" i="2"/>
  <c r="AM232" i="2"/>
  <c r="AK232" i="2"/>
  <c r="AI232" i="2"/>
  <c r="AG232" i="2"/>
  <c r="AE232" i="2"/>
  <c r="AC232" i="2"/>
  <c r="Y232" i="2"/>
  <c r="W232" i="2"/>
  <c r="S232" i="2"/>
  <c r="Q232" i="2"/>
  <c r="O232" i="2"/>
  <c r="M232" i="2"/>
  <c r="K232" i="2"/>
  <c r="I232" i="2"/>
  <c r="AY231" i="2"/>
  <c r="AW228" i="2"/>
  <c r="AU228" i="2"/>
  <c r="AS228" i="2"/>
  <c r="AQ228" i="2"/>
  <c r="AO228" i="2"/>
  <c r="AM228" i="2"/>
  <c r="AK228" i="2"/>
  <c r="AI228" i="2"/>
  <c r="AG228" i="2"/>
  <c r="AE228" i="2"/>
  <c r="AC228" i="2"/>
  <c r="Y228" i="2"/>
  <c r="W228" i="2"/>
  <c r="S228" i="2"/>
  <c r="Q228" i="2"/>
  <c r="O228" i="2"/>
  <c r="M228" i="2"/>
  <c r="K228" i="2"/>
  <c r="I228" i="2"/>
  <c r="AW225" i="2"/>
  <c r="AU225" i="2"/>
  <c r="AS225" i="2"/>
  <c r="AQ225" i="2"/>
  <c r="AO225" i="2"/>
  <c r="AM225" i="2"/>
  <c r="AK225" i="2"/>
  <c r="AI225" i="2"/>
  <c r="AG225" i="2"/>
  <c r="AE225" i="2"/>
  <c r="AC225" i="2"/>
  <c r="Y225" i="2"/>
  <c r="W225" i="2"/>
  <c r="S225" i="2"/>
  <c r="Q225" i="2"/>
  <c r="O225" i="2"/>
  <c r="M225" i="2"/>
  <c r="K225" i="2"/>
  <c r="I225" i="2"/>
  <c r="AY220" i="2"/>
  <c r="C89" i="1" s="1"/>
  <c r="AY210" i="2"/>
  <c r="C83" i="1" s="1"/>
  <c r="AY202" i="2"/>
  <c r="C79" i="1" s="1"/>
  <c r="AW202" i="2"/>
  <c r="AU202" i="2"/>
  <c r="AS202" i="2"/>
  <c r="AQ202" i="2"/>
  <c r="AO202" i="2"/>
  <c r="AM202" i="2"/>
  <c r="AK202" i="2"/>
  <c r="AI202" i="2"/>
  <c r="AG202" i="2"/>
  <c r="AE202" i="2"/>
  <c r="AC202" i="2"/>
  <c r="Y202" i="2"/>
  <c r="W202" i="2"/>
  <c r="S202" i="2"/>
  <c r="Q202" i="2"/>
  <c r="O202" i="2"/>
  <c r="M202" i="2"/>
  <c r="K202" i="2"/>
  <c r="I202" i="2"/>
  <c r="I200" i="2"/>
  <c r="AS197" i="2"/>
  <c r="Q197" i="2"/>
  <c r="AY194" i="2"/>
  <c r="C71" i="1" s="1"/>
  <c r="AY193" i="2"/>
  <c r="AY190" i="2"/>
  <c r="D188" i="2"/>
  <c r="AB180" i="2"/>
  <c r="Z180" i="2"/>
  <c r="U180" i="2"/>
  <c r="AY176" i="2"/>
  <c r="AY174" i="2"/>
  <c r="AW173" i="2"/>
  <c r="AU173" i="2"/>
  <c r="AS173" i="2"/>
  <c r="AQ173" i="2"/>
  <c r="AO173" i="2"/>
  <c r="AM173" i="2"/>
  <c r="AK173" i="2"/>
  <c r="AI173" i="2"/>
  <c r="AG173" i="2"/>
  <c r="AE173" i="2"/>
  <c r="AC173" i="2"/>
  <c r="Y173" i="2"/>
  <c r="W173" i="2"/>
  <c r="S173" i="2"/>
  <c r="Q173" i="2"/>
  <c r="O173" i="2"/>
  <c r="M173" i="2"/>
  <c r="K173" i="2"/>
  <c r="I173" i="2"/>
  <c r="AY171" i="2"/>
  <c r="AY170" i="2"/>
  <c r="AY169" i="2"/>
  <c r="AY168" i="2"/>
  <c r="AY167" i="2"/>
  <c r="AW166" i="2"/>
  <c r="AU166" i="2"/>
  <c r="AS166" i="2"/>
  <c r="AQ166" i="2"/>
  <c r="AO166" i="2"/>
  <c r="AM166" i="2"/>
  <c r="AK166" i="2"/>
  <c r="AI166" i="2"/>
  <c r="AG166" i="2"/>
  <c r="AE166" i="2"/>
  <c r="AC166" i="2"/>
  <c r="Y166" i="2"/>
  <c r="W166" i="2"/>
  <c r="S166" i="2"/>
  <c r="Q166" i="2"/>
  <c r="O166" i="2"/>
  <c r="M166" i="2"/>
  <c r="K166" i="2"/>
  <c r="I166" i="2"/>
  <c r="AY164" i="2"/>
  <c r="AW163" i="2"/>
  <c r="AU163" i="2"/>
  <c r="AS163" i="2"/>
  <c r="AQ163" i="2"/>
  <c r="AO163" i="2"/>
  <c r="AM163" i="2"/>
  <c r="AK163" i="2"/>
  <c r="AI163" i="2"/>
  <c r="AG163" i="2"/>
  <c r="AE163" i="2"/>
  <c r="AC163" i="2"/>
  <c r="Y163" i="2"/>
  <c r="W163" i="2"/>
  <c r="S163" i="2"/>
  <c r="Q163" i="2"/>
  <c r="O163" i="2"/>
  <c r="M163" i="2"/>
  <c r="K163" i="2"/>
  <c r="I163" i="2"/>
  <c r="AY161" i="2"/>
  <c r="AY160" i="2"/>
  <c r="AY159" i="2"/>
  <c r="C59" i="1" s="1"/>
  <c r="AY157" i="2"/>
  <c r="B7" i="5" s="1"/>
  <c r="AY156" i="2"/>
  <c r="AY155" i="2"/>
  <c r="AY154" i="2"/>
  <c r="C55" i="1" s="1"/>
  <c r="AW154" i="2"/>
  <c r="AW208" i="2" s="1"/>
  <c r="AU154" i="2"/>
  <c r="AU208" i="2" s="1"/>
  <c r="AS154" i="2"/>
  <c r="AS208" i="2" s="1"/>
  <c r="AQ154" i="2"/>
  <c r="AQ208" i="2" s="1"/>
  <c r="AO154" i="2"/>
  <c r="AO208" i="2" s="1"/>
  <c r="AM154" i="2"/>
  <c r="AM208" i="2" s="1"/>
  <c r="AK154" i="2"/>
  <c r="AK208" i="2" s="1"/>
  <c r="AI154" i="2"/>
  <c r="AI208" i="2" s="1"/>
  <c r="AG154" i="2"/>
  <c r="AG208" i="2" s="1"/>
  <c r="AE154" i="2"/>
  <c r="AE208" i="2" s="1"/>
  <c r="AC154" i="2"/>
  <c r="AC208" i="2" s="1"/>
  <c r="Y154" i="2"/>
  <c r="Y208" i="2" s="1"/>
  <c r="W154" i="2"/>
  <c r="W208" i="2" s="1"/>
  <c r="S154" i="2"/>
  <c r="S208" i="2" s="1"/>
  <c r="Q154" i="2"/>
  <c r="Q208" i="2" s="1"/>
  <c r="O154" i="2"/>
  <c r="O208" i="2" s="1"/>
  <c r="M154" i="2"/>
  <c r="M208" i="2" s="1"/>
  <c r="K154" i="2"/>
  <c r="K208" i="2" s="1"/>
  <c r="I154" i="2"/>
  <c r="I208" i="2" s="1"/>
  <c r="AY153" i="2"/>
  <c r="AY212" i="2" s="1"/>
  <c r="C84" i="1" s="1"/>
  <c r="AS153" i="2"/>
  <c r="AS212" i="2" s="1"/>
  <c r="Q153" i="2"/>
  <c r="Q212" i="2" s="1"/>
  <c r="AY152" i="2"/>
  <c r="C53" i="1" s="1"/>
  <c r="AS152" i="2"/>
  <c r="Q152" i="2"/>
  <c r="B152" i="2"/>
  <c r="AY151" i="2"/>
  <c r="C52" i="1" s="1"/>
  <c r="AY150" i="2"/>
  <c r="AY149" i="2"/>
  <c r="C50" i="1" s="1"/>
  <c r="AY146" i="2"/>
  <c r="AS146" i="2"/>
  <c r="Q146" i="2"/>
  <c r="AW145" i="2"/>
  <c r="AU145" i="2"/>
  <c r="AS145" i="2"/>
  <c r="AQ145" i="2"/>
  <c r="AO145" i="2"/>
  <c r="AM145" i="2"/>
  <c r="AK145" i="2"/>
  <c r="AI145" i="2"/>
  <c r="AG145" i="2"/>
  <c r="AE145" i="2"/>
  <c r="AC145" i="2"/>
  <c r="Y145" i="2"/>
  <c r="W145" i="2"/>
  <c r="S145" i="2"/>
  <c r="Q145" i="2"/>
  <c r="O145" i="2"/>
  <c r="M145" i="2"/>
  <c r="K145" i="2"/>
  <c r="I145" i="2"/>
  <c r="AS143" i="2"/>
  <c r="Q143" i="2"/>
  <c r="AU142" i="2"/>
  <c r="AS142" i="2"/>
  <c r="AQ142" i="2"/>
  <c r="AO142" i="2"/>
  <c r="AM142" i="2"/>
  <c r="AK142" i="2"/>
  <c r="AI142" i="2"/>
  <c r="AG142" i="2"/>
  <c r="AE142" i="2"/>
  <c r="AC142" i="2"/>
  <c r="K142" i="2"/>
  <c r="I142" i="2"/>
  <c r="AY140" i="2"/>
  <c r="S140" i="2"/>
  <c r="AY139" i="2"/>
  <c r="C44" i="1" s="1"/>
  <c r="AY138" i="2"/>
  <c r="C43" i="1" s="1"/>
  <c r="AW131" i="2"/>
  <c r="AU131" i="2"/>
  <c r="AS131" i="2"/>
  <c r="AQ131" i="2"/>
  <c r="AO131" i="2"/>
  <c r="AM131" i="2"/>
  <c r="AK131" i="2"/>
  <c r="AI131" i="2"/>
  <c r="AG131" i="2"/>
  <c r="AE131" i="2"/>
  <c r="AC131" i="2"/>
  <c r="Y131" i="2"/>
  <c r="W131" i="2"/>
  <c r="S131" i="2"/>
  <c r="Q131" i="2"/>
  <c r="O131" i="2"/>
  <c r="M131" i="2"/>
  <c r="K131" i="2"/>
  <c r="I131" i="2"/>
  <c r="AY128" i="2"/>
  <c r="AY127" i="2"/>
  <c r="AY126" i="2"/>
  <c r="AY122" i="2"/>
  <c r="AY117" i="2"/>
  <c r="AY116" i="2"/>
  <c r="AY112" i="2"/>
  <c r="AY107" i="2"/>
  <c r="C37" i="1" s="1"/>
  <c r="S107" i="2"/>
  <c r="S142" i="2" s="1"/>
  <c r="AY106" i="2"/>
  <c r="S105" i="2"/>
  <c r="I105" i="2"/>
  <c r="AY102" i="2"/>
  <c r="C34" i="1" s="1"/>
  <c r="AW97" i="2"/>
  <c r="AU97" i="2"/>
  <c r="AS97" i="2"/>
  <c r="AQ97" i="2"/>
  <c r="AO97" i="2"/>
  <c r="AM97" i="2"/>
  <c r="AK97" i="2"/>
  <c r="AI97" i="2"/>
  <c r="AG97" i="2"/>
  <c r="AE97" i="2"/>
  <c r="AC97" i="2"/>
  <c r="Y97" i="2"/>
  <c r="W97" i="2"/>
  <c r="S97" i="2"/>
  <c r="Q97" i="2"/>
  <c r="O97" i="2"/>
  <c r="M97" i="2"/>
  <c r="K97" i="2"/>
  <c r="I97" i="2"/>
  <c r="AY96" i="2"/>
  <c r="AW96" i="2"/>
  <c r="AU96" i="2"/>
  <c r="AS96" i="2"/>
  <c r="AQ96" i="2"/>
  <c r="AO96" i="2"/>
  <c r="AM96" i="2"/>
  <c r="AK96" i="2"/>
  <c r="AI96" i="2"/>
  <c r="AG96" i="2"/>
  <c r="AE96" i="2"/>
  <c r="AC96" i="2"/>
  <c r="Y96" i="2"/>
  <c r="W96" i="2"/>
  <c r="S96" i="2"/>
  <c r="Q96" i="2"/>
  <c r="O96" i="2"/>
  <c r="M96" i="2"/>
  <c r="K96" i="2"/>
  <c r="I96" i="2"/>
  <c r="AY95" i="2"/>
  <c r="C29" i="1" s="1"/>
  <c r="AW95" i="2"/>
  <c r="AU95" i="2"/>
  <c r="AS95" i="2"/>
  <c r="AQ95" i="2"/>
  <c r="AO95" i="2"/>
  <c r="AM95" i="2"/>
  <c r="AK95" i="2"/>
  <c r="AI95" i="2"/>
  <c r="AG95" i="2"/>
  <c r="AE95" i="2"/>
  <c r="AC95" i="2"/>
  <c r="Y95" i="2"/>
  <c r="W95" i="2"/>
  <c r="S95" i="2"/>
  <c r="Q95" i="2"/>
  <c r="O95" i="2"/>
  <c r="M95" i="2"/>
  <c r="K95" i="2"/>
  <c r="I95" i="2"/>
  <c r="AY119" i="2" s="1"/>
  <c r="AY94" i="2"/>
  <c r="C28" i="1" s="1"/>
  <c r="AW94" i="2"/>
  <c r="AU94" i="2"/>
  <c r="AS94" i="2"/>
  <c r="AQ94" i="2"/>
  <c r="AO94" i="2"/>
  <c r="AM94" i="2"/>
  <c r="AK94" i="2"/>
  <c r="AI94" i="2"/>
  <c r="AG94" i="2"/>
  <c r="AE94" i="2"/>
  <c r="AC94" i="2"/>
  <c r="Y94" i="2"/>
  <c r="W94" i="2"/>
  <c r="S94" i="2"/>
  <c r="Q94" i="2"/>
  <c r="O94" i="2"/>
  <c r="M94" i="2"/>
  <c r="K94" i="2"/>
  <c r="I94" i="2"/>
  <c r="AY91" i="2"/>
  <c r="C26" i="1" s="1"/>
  <c r="B91" i="2"/>
  <c r="AY90" i="2"/>
  <c r="C25" i="1" s="1"/>
  <c r="AY89" i="2"/>
  <c r="C24" i="1" s="1"/>
  <c r="AY88" i="2"/>
  <c r="C23" i="1" s="1"/>
  <c r="AY85" i="2"/>
  <c r="AE81" i="2"/>
  <c r="AE80" i="2"/>
  <c r="AY77" i="2"/>
  <c r="AY74" i="2"/>
  <c r="AY73" i="2"/>
  <c r="C16" i="1" s="1"/>
  <c r="AY72" i="2"/>
  <c r="C15" i="1" s="1"/>
  <c r="AY67" i="2"/>
  <c r="G67" i="2"/>
  <c r="S72" i="2" s="1"/>
  <c r="AY66" i="2"/>
  <c r="G66" i="2"/>
  <c r="G65" i="2"/>
  <c r="AY64" i="2"/>
  <c r="G64" i="2"/>
  <c r="AY63" i="2"/>
  <c r="G63" i="2"/>
  <c r="AY62" i="2"/>
  <c r="G62" i="2"/>
  <c r="AY61" i="2"/>
  <c r="G61" i="2"/>
  <c r="AY60" i="2"/>
  <c r="G60" i="2"/>
  <c r="AY59" i="2"/>
  <c r="G59" i="2"/>
  <c r="G58" i="2"/>
  <c r="G57" i="2"/>
  <c r="AY56" i="2"/>
  <c r="G56" i="2"/>
  <c r="G55" i="2"/>
  <c r="G54" i="2"/>
  <c r="S53" i="2"/>
  <c r="AY57" i="2" s="1"/>
  <c r="G53" i="2"/>
  <c r="AY52" i="2"/>
  <c r="G52" i="2"/>
  <c r="E52" i="2"/>
  <c r="D30" i="2" s="1"/>
  <c r="AY51" i="2"/>
  <c r="Q51" i="2"/>
  <c r="AY55" i="2" s="1"/>
  <c r="G51" i="2"/>
  <c r="AY50" i="2"/>
  <c r="O50" i="2"/>
  <c r="AY54" i="2" s="1"/>
  <c r="G50" i="2"/>
  <c r="S54" i="2" s="1"/>
  <c r="AY58" i="2" s="1"/>
  <c r="AY49" i="2"/>
  <c r="M49" i="2"/>
  <c r="AY53" i="2" s="1"/>
  <c r="G49" i="2"/>
  <c r="AY48" i="2"/>
  <c r="G48" i="2"/>
  <c r="AY47" i="2"/>
  <c r="AY46" i="2"/>
  <c r="AY45" i="2"/>
  <c r="AY44" i="2"/>
  <c r="AY43" i="2"/>
  <c r="AY42" i="2"/>
  <c r="AY41" i="2"/>
  <c r="AY40" i="2"/>
  <c r="AY38" i="2"/>
  <c r="AY36" i="2"/>
  <c r="AY35" i="2"/>
  <c r="K35" i="2"/>
  <c r="I35" i="2"/>
  <c r="A33" i="2"/>
  <c r="A31" i="2"/>
  <c r="D29" i="2"/>
  <c r="A29" i="2"/>
  <c r="AS25" i="2"/>
  <c r="I25" i="2"/>
  <c r="AY24" i="2"/>
  <c r="AY22" i="2"/>
  <c r="AY21" i="2"/>
  <c r="AS17" i="2"/>
  <c r="AS23" i="2" s="1"/>
  <c r="S17" i="2"/>
  <c r="S200" i="2" s="1"/>
  <c r="Q17" i="2"/>
  <c r="Q200" i="2" s="1"/>
  <c r="AW13" i="2"/>
  <c r="AW197" i="2" s="1"/>
  <c r="AU13" i="2"/>
  <c r="AU197" i="2" s="1"/>
  <c r="AQ13" i="2"/>
  <c r="AQ197" i="2" s="1"/>
  <c r="AO13" i="2"/>
  <c r="AO197" i="2" s="1"/>
  <c r="AM13" i="2"/>
  <c r="AM197" i="2" s="1"/>
  <c r="AK13" i="2"/>
  <c r="AK17" i="2" s="1"/>
  <c r="AI13" i="2"/>
  <c r="AI146" i="2" s="1"/>
  <c r="AG13" i="2"/>
  <c r="AG152" i="2" s="1"/>
  <c r="AE13" i="2"/>
  <c r="AE197" i="2" s="1"/>
  <c r="AC13" i="2"/>
  <c r="AC152" i="2" s="1"/>
  <c r="Y13" i="2"/>
  <c r="Y152" i="2" s="1"/>
  <c r="W13" i="2"/>
  <c r="W153" i="2" s="1"/>
  <c r="W212" i="2" s="1"/>
  <c r="S13" i="2"/>
  <c r="S197" i="2" s="1"/>
  <c r="O13" i="2"/>
  <c r="O197" i="2" s="1"/>
  <c r="M13" i="2"/>
  <c r="M197" i="2" s="1"/>
  <c r="K13" i="2"/>
  <c r="K197" i="2" s="1"/>
  <c r="I13" i="2"/>
  <c r="I197" i="2" s="1"/>
  <c r="AW12" i="2"/>
  <c r="AW84" i="2" s="1"/>
  <c r="AU12" i="2"/>
  <c r="AU84" i="2" s="1"/>
  <c r="AS12" i="2"/>
  <c r="AS84" i="2" s="1"/>
  <c r="AQ12" i="2"/>
  <c r="AQ84" i="2" s="1"/>
  <c r="AO12" i="2"/>
  <c r="AO82" i="2" s="1"/>
  <c r="AM12" i="2"/>
  <c r="AM82" i="2" s="1"/>
  <c r="AK12" i="2"/>
  <c r="AK82" i="2" s="1"/>
  <c r="AI12" i="2"/>
  <c r="AI82" i="2" s="1"/>
  <c r="AG12" i="2"/>
  <c r="AG82" i="2" s="1"/>
  <c r="AE12" i="2"/>
  <c r="AE82" i="2" s="1"/>
  <c r="AC12" i="2"/>
  <c r="AC82" i="2" s="1"/>
  <c r="Y12" i="2"/>
  <c r="Y82" i="2" s="1"/>
  <c r="W12" i="2"/>
  <c r="W84" i="2" s="1"/>
  <c r="S12" i="2"/>
  <c r="S84" i="2" s="1"/>
  <c r="Q12" i="2"/>
  <c r="O12" i="2"/>
  <c r="O84" i="2" s="1"/>
  <c r="M12" i="2"/>
  <c r="M84" i="2" s="1"/>
  <c r="K12" i="2"/>
  <c r="K84" i="2" s="1"/>
  <c r="I12" i="2"/>
  <c r="I82" i="2" s="1"/>
  <c r="I209" i="2" s="1"/>
  <c r="AW11" i="2"/>
  <c r="AU11" i="2"/>
  <c r="AS11" i="2"/>
  <c r="AQ11" i="2"/>
  <c r="AO11" i="2"/>
  <c r="AM11" i="2"/>
  <c r="AK11" i="2"/>
  <c r="AI11" i="2"/>
  <c r="AG11" i="2"/>
  <c r="AE11" i="2"/>
  <c r="AC11" i="2"/>
  <c r="Y11" i="2"/>
  <c r="W11" i="2"/>
  <c r="Q11" i="2"/>
  <c r="O11" i="2"/>
  <c r="M11" i="2"/>
  <c r="K11" i="2"/>
  <c r="I11" i="2"/>
  <c r="AY10" i="2"/>
  <c r="AU135" i="2" s="1"/>
  <c r="D95" i="1"/>
  <c r="D94" i="1"/>
  <c r="D93" i="1"/>
  <c r="D92" i="1"/>
  <c r="D90" i="1"/>
  <c r="D89" i="1"/>
  <c r="D88" i="1"/>
  <c r="D87" i="1"/>
  <c r="D85" i="1"/>
  <c r="D84" i="1"/>
  <c r="D83" i="1"/>
  <c r="D82" i="1"/>
  <c r="D81" i="1"/>
  <c r="D80" i="1"/>
  <c r="D79" i="1"/>
  <c r="D77" i="1"/>
  <c r="D76" i="1"/>
  <c r="D75" i="1"/>
  <c r="D74" i="1"/>
  <c r="D73" i="1"/>
  <c r="D72" i="1"/>
  <c r="D71" i="1"/>
  <c r="D70" i="1"/>
  <c r="D69" i="1"/>
  <c r="D67" i="1"/>
  <c r="D66" i="1"/>
  <c r="D64" i="1"/>
  <c r="D63" i="1"/>
  <c r="C63" i="1"/>
  <c r="D62" i="1"/>
  <c r="D61" i="1"/>
  <c r="D59" i="1"/>
  <c r="D58" i="1"/>
  <c r="C58" i="1"/>
  <c r="D57" i="1"/>
  <c r="C57" i="1"/>
  <c r="D56" i="1"/>
  <c r="C56" i="1"/>
  <c r="D55" i="1"/>
  <c r="D54" i="1"/>
  <c r="D53" i="1"/>
  <c r="D52" i="1"/>
  <c r="D51" i="1"/>
  <c r="D50" i="1"/>
  <c r="D49" i="1"/>
  <c r="C49" i="1"/>
  <c r="D48" i="1"/>
  <c r="D47" i="1"/>
  <c r="D45" i="1"/>
  <c r="D44" i="1"/>
  <c r="D43" i="1"/>
  <c r="D42" i="1"/>
  <c r="D41" i="1"/>
  <c r="C41" i="1"/>
  <c r="D40" i="1"/>
  <c r="D39" i="1"/>
  <c r="D38" i="1"/>
  <c r="D37" i="1"/>
  <c r="D36" i="1"/>
  <c r="C36" i="1"/>
  <c r="D35" i="1"/>
  <c r="D34" i="1"/>
  <c r="D33" i="1"/>
  <c r="D32" i="1"/>
  <c r="D31" i="1"/>
  <c r="D29" i="1"/>
  <c r="D28" i="1"/>
  <c r="D27" i="1"/>
  <c r="D26" i="1"/>
  <c r="D25" i="1"/>
  <c r="D24" i="1"/>
  <c r="D23" i="1"/>
  <c r="D22" i="1"/>
  <c r="D20" i="1"/>
  <c r="D19" i="1"/>
  <c r="D18" i="1"/>
  <c r="D17" i="1"/>
  <c r="C17" i="1"/>
  <c r="D16" i="1"/>
  <c r="D15" i="1"/>
  <c r="D14" i="1"/>
  <c r="D13" i="1"/>
  <c r="D11" i="1"/>
  <c r="C11" i="1"/>
  <c r="D10" i="1"/>
  <c r="D9" i="1"/>
  <c r="D6" i="1"/>
  <c r="C6" i="1"/>
  <c r="AY39" i="2" l="1"/>
  <c r="C7" i="1"/>
  <c r="AQ17" i="2"/>
  <c r="AQ105" i="2" s="1"/>
  <c r="AU17" i="2"/>
  <c r="AU200" i="2" s="1"/>
  <c r="Q25" i="2"/>
  <c r="AW17" i="2"/>
  <c r="AW200" i="2" s="1"/>
  <c r="AC153" i="2"/>
  <c r="AC212" i="2" s="1"/>
  <c r="AY142" i="2"/>
  <c r="C47" i="1" s="1"/>
  <c r="AK146" i="2"/>
  <c r="AM146" i="2"/>
  <c r="M86" i="2"/>
  <c r="W17" i="2"/>
  <c r="W200" i="2" s="1"/>
  <c r="O86" i="2"/>
  <c r="AI17" i="2"/>
  <c r="AI200" i="2" s="1"/>
  <c r="AQ87" i="2"/>
  <c r="AQ210" i="2" s="1"/>
  <c r="AO17" i="2"/>
  <c r="AO105" i="2" s="1"/>
  <c r="AY215" i="2"/>
  <c r="C85" i="1" s="1"/>
  <c r="W197" i="2"/>
  <c r="I91" i="2"/>
  <c r="AY105" i="2" s="1"/>
  <c r="C35" i="1" s="1"/>
  <c r="Y197" i="2"/>
  <c r="AI152" i="2"/>
  <c r="S143" i="2"/>
  <c r="AK152" i="2"/>
  <c r="K17" i="2"/>
  <c r="K200" i="2" s="1"/>
  <c r="AG25" i="2"/>
  <c r="C54" i="1"/>
  <c r="AQ23" i="2"/>
  <c r="C51" i="1"/>
  <c r="Y153" i="2"/>
  <c r="Y212" i="2" s="1"/>
  <c r="AY111" i="2"/>
  <c r="W91" i="2"/>
  <c r="W137" i="2" s="1"/>
  <c r="Y91" i="2"/>
  <c r="Y137" i="2" s="1"/>
  <c r="AQ82" i="2"/>
  <c r="AQ209" i="2" s="1"/>
  <c r="AY108" i="2"/>
  <c r="AY121" i="2"/>
  <c r="M135" i="2"/>
  <c r="AS82" i="2"/>
  <c r="AS209" i="2" s="1"/>
  <c r="O135" i="2"/>
  <c r="AC84" i="2"/>
  <c r="AW135" i="2"/>
  <c r="AY120" i="2"/>
  <c r="AY12" i="2"/>
  <c r="C8" i="1" s="1"/>
  <c r="AW86" i="2"/>
  <c r="AO87" i="2"/>
  <c r="AO210" i="2" s="1"/>
  <c r="Y209" i="2"/>
  <c r="Y180" i="2"/>
  <c r="AC209" i="2"/>
  <c r="AC180" i="2"/>
  <c r="AE209" i="2"/>
  <c r="AE180" i="2"/>
  <c r="AI209" i="2"/>
  <c r="AI180" i="2"/>
  <c r="AK209" i="2"/>
  <c r="AK180" i="2"/>
  <c r="AM209" i="2"/>
  <c r="AM180" i="2"/>
  <c r="AO209" i="2"/>
  <c r="AO180" i="2"/>
  <c r="AK200" i="2"/>
  <c r="AK105" i="2"/>
  <c r="AK23" i="2"/>
  <c r="AG209" i="2"/>
  <c r="AG180" i="2"/>
  <c r="Y84" i="2"/>
  <c r="M17" i="2"/>
  <c r="O17" i="2"/>
  <c r="AC25" i="2"/>
  <c r="K82" i="2"/>
  <c r="AU82" i="2"/>
  <c r="AE84" i="2"/>
  <c r="Q86" i="2"/>
  <c r="I87" i="2"/>
  <c r="AS87" i="2"/>
  <c r="AC91" i="2"/>
  <c r="AC137" i="2" s="1"/>
  <c r="AW107" i="2"/>
  <c r="AW142" i="2" s="1"/>
  <c r="Q135" i="2"/>
  <c r="W143" i="2"/>
  <c r="AO146" i="2"/>
  <c r="AM152" i="2"/>
  <c r="AE153" i="2"/>
  <c r="AE212" i="2" s="1"/>
  <c r="AY221" i="2"/>
  <c r="C90" i="1" s="1"/>
  <c r="AC197" i="2"/>
  <c r="AS200" i="2"/>
  <c r="AE25" i="2"/>
  <c r="B6" i="5"/>
  <c r="B88" i="3"/>
  <c r="B83" i="3"/>
  <c r="B84" i="3"/>
  <c r="B85" i="3"/>
  <c r="B86" i="3"/>
  <c r="AY235" i="2"/>
  <c r="M82" i="2"/>
  <c r="AW82" i="2"/>
  <c r="AG84" i="2"/>
  <c r="S86" i="2"/>
  <c r="K87" i="2"/>
  <c r="AU87" i="2"/>
  <c r="AE91" i="2"/>
  <c r="AE137" i="2" s="1"/>
  <c r="S135" i="2"/>
  <c r="Y143" i="2"/>
  <c r="AQ146" i="2"/>
  <c r="AO152" i="2"/>
  <c r="AG153" i="2"/>
  <c r="AG212" i="2" s="1"/>
  <c r="G142" i="5"/>
  <c r="F142" i="5"/>
  <c r="E142" i="5"/>
  <c r="B15" i="4"/>
  <c r="AG197" i="2"/>
  <c r="AY218" i="2"/>
  <c r="C87" i="1" s="1"/>
  <c r="O82" i="2"/>
  <c r="AI84" i="2"/>
  <c r="W86" i="2"/>
  <c r="M87" i="2"/>
  <c r="AW87" i="2"/>
  <c r="AG91" i="2"/>
  <c r="AG137" i="2" s="1"/>
  <c r="W135" i="2"/>
  <c r="AC143" i="2"/>
  <c r="I146" i="2"/>
  <c r="AY192" i="2" s="1"/>
  <c r="AQ152" i="2"/>
  <c r="AI153" i="2"/>
  <c r="AI212" i="2" s="1"/>
  <c r="AI197" i="2"/>
  <c r="AI25" i="2"/>
  <c r="Q82" i="2"/>
  <c r="AK84" i="2"/>
  <c r="Y86" i="2"/>
  <c r="O87" i="2"/>
  <c r="AI91" i="2"/>
  <c r="AI137" i="2" s="1"/>
  <c r="AY109" i="2"/>
  <c r="Y135" i="2"/>
  <c r="AE143" i="2"/>
  <c r="K146" i="2"/>
  <c r="AU146" i="2"/>
  <c r="I152" i="2"/>
  <c r="AK153" i="2"/>
  <c r="AK212" i="2" s="1"/>
  <c r="AK197" i="2"/>
  <c r="B12" i="3"/>
  <c r="Y17" i="2"/>
  <c r="K23" i="2"/>
  <c r="AU23" i="2"/>
  <c r="AK25" i="2"/>
  <c r="S82" i="2"/>
  <c r="AM84" i="2"/>
  <c r="AC86" i="2"/>
  <c r="Q87" i="2"/>
  <c r="AK91" i="2"/>
  <c r="AK137" i="2" s="1"/>
  <c r="AY110" i="2"/>
  <c r="C39" i="1" s="1"/>
  <c r="AC135" i="2"/>
  <c r="AG143" i="2"/>
  <c r="M146" i="2"/>
  <c r="AW146" i="2"/>
  <c r="K152" i="2"/>
  <c r="AU152" i="2"/>
  <c r="AM153" i="2"/>
  <c r="AM212" i="2" s="1"/>
  <c r="B13" i="3"/>
  <c r="AC17" i="2"/>
  <c r="AW23" i="2"/>
  <c r="AM25" i="2"/>
  <c r="W82" i="2"/>
  <c r="AO84" i="2"/>
  <c r="AE86" i="2"/>
  <c r="S87" i="2"/>
  <c r="AM91" i="2"/>
  <c r="AM137" i="2" s="1"/>
  <c r="AE135" i="2"/>
  <c r="AI143" i="2"/>
  <c r="O146" i="2"/>
  <c r="M152" i="2"/>
  <c r="AW152" i="2"/>
  <c r="AO153" i="2"/>
  <c r="AO212" i="2" s="1"/>
  <c r="AY206" i="2"/>
  <c r="AE17" i="2"/>
  <c r="AO25" i="2"/>
  <c r="AG86" i="2"/>
  <c r="W87" i="2"/>
  <c r="AO91" i="2"/>
  <c r="AO137" i="2" s="1"/>
  <c r="AG135" i="2"/>
  <c r="AK143" i="2"/>
  <c r="O152" i="2"/>
  <c r="AQ153" i="2"/>
  <c r="AQ212" i="2" s="1"/>
  <c r="AY216" i="2"/>
  <c r="AY225" i="2"/>
  <c r="C92" i="1" s="1"/>
  <c r="I180" i="2"/>
  <c r="AY11" i="2"/>
  <c r="AG17" i="2"/>
  <c r="Q23" i="2"/>
  <c r="AQ25" i="2"/>
  <c r="I84" i="2"/>
  <c r="AI86" i="2"/>
  <c r="Y87" i="2"/>
  <c r="AQ91" i="2"/>
  <c r="AQ137" i="2" s="1"/>
  <c r="AI135" i="2"/>
  <c r="AM143" i="2"/>
  <c r="S146" i="2"/>
  <c r="I153" i="2"/>
  <c r="B8" i="5"/>
  <c r="AY226" i="2"/>
  <c r="C93" i="1" s="1"/>
  <c r="AY232" i="2"/>
  <c r="B14" i="3"/>
  <c r="S23" i="2"/>
  <c r="AK86" i="2"/>
  <c r="AC87" i="2"/>
  <c r="AS91" i="2"/>
  <c r="AS137" i="2" s="1"/>
  <c r="AK135" i="2"/>
  <c r="AO143" i="2"/>
  <c r="W146" i="2"/>
  <c r="S152" i="2"/>
  <c r="K153" i="2"/>
  <c r="K212" i="2" s="1"/>
  <c r="AU153" i="2"/>
  <c r="AU212" i="2" s="1"/>
  <c r="K25" i="2"/>
  <c r="AU25" i="2"/>
  <c r="AM86" i="2"/>
  <c r="AE87" i="2"/>
  <c r="K91" i="2"/>
  <c r="K137" i="2" s="1"/>
  <c r="AU91" i="2"/>
  <c r="AU137" i="2" s="1"/>
  <c r="AM135" i="2"/>
  <c r="AQ143" i="2"/>
  <c r="Y146" i="2"/>
  <c r="W152" i="2"/>
  <c r="M153" i="2"/>
  <c r="M212" i="2" s="1"/>
  <c r="AW153" i="2"/>
  <c r="AW212" i="2" s="1"/>
  <c r="AS180" i="2"/>
  <c r="AM17" i="2"/>
  <c r="M25" i="2"/>
  <c r="AW25" i="2"/>
  <c r="AO86" i="2"/>
  <c r="AG87" i="2"/>
  <c r="M91" i="2"/>
  <c r="M137" i="2" s="1"/>
  <c r="AW91" i="2"/>
  <c r="AW137" i="2" s="1"/>
  <c r="AO135" i="2"/>
  <c r="I143" i="2"/>
  <c r="AC146" i="2"/>
  <c r="O153" i="2"/>
  <c r="O212" i="2" s="1"/>
  <c r="AY228" i="2"/>
  <c r="C95" i="1" s="1"/>
  <c r="O25" i="2"/>
  <c r="Q84" i="2"/>
  <c r="AQ86" i="2"/>
  <c r="AI87" i="2"/>
  <c r="O91" i="2"/>
  <c r="O137" i="2" s="1"/>
  <c r="AY131" i="2"/>
  <c r="C40" i="1" s="1"/>
  <c r="AQ135" i="2"/>
  <c r="K143" i="2"/>
  <c r="AU143" i="2"/>
  <c r="AE146" i="2"/>
  <c r="AY209" i="2"/>
  <c r="C82" i="1" s="1"/>
  <c r="AY200" i="2"/>
  <c r="C77" i="1" s="1"/>
  <c r="I86" i="2"/>
  <c r="AS86" i="2"/>
  <c r="AK87" i="2"/>
  <c r="Q91" i="2"/>
  <c r="Q137" i="2" s="1"/>
  <c r="Q107" i="2"/>
  <c r="Q142" i="2" s="1"/>
  <c r="I135" i="2"/>
  <c r="AS135" i="2"/>
  <c r="M143" i="2"/>
  <c r="AW143" i="2"/>
  <c r="AG146" i="2"/>
  <c r="AE152" i="2"/>
  <c r="S153" i="2"/>
  <c r="S212" i="2" s="1"/>
  <c r="AY13" i="2"/>
  <c r="C9" i="1" s="1"/>
  <c r="S25" i="2"/>
  <c r="K86" i="2"/>
  <c r="AU86" i="2"/>
  <c r="AM87" i="2"/>
  <c r="S91" i="2"/>
  <c r="S137" i="2" s="1"/>
  <c r="K135" i="2"/>
  <c r="O143" i="2"/>
  <c r="AY205" i="2"/>
  <c r="C80" i="1" s="1"/>
  <c r="W107" i="2" l="1"/>
  <c r="W142" i="2" s="1"/>
  <c r="AI23" i="2"/>
  <c r="AQ200" i="2"/>
  <c r="AU105" i="2"/>
  <c r="W23" i="2"/>
  <c r="AI105" i="2"/>
  <c r="AI178" i="2" s="1"/>
  <c r="AI234" i="2" s="1"/>
  <c r="AO101" i="2"/>
  <c r="AO23" i="2"/>
  <c r="AQ101" i="2"/>
  <c r="AQ141" i="2" s="1"/>
  <c r="I137" i="2"/>
  <c r="AY103" i="2"/>
  <c r="AY97" i="2"/>
  <c r="AO178" i="2"/>
  <c r="AO234" i="2" s="1"/>
  <c r="AO200" i="2"/>
  <c r="AQ180" i="2"/>
  <c r="AQ164" i="2"/>
  <c r="AQ223" i="2" s="1"/>
  <c r="AO159" i="2"/>
  <c r="AQ178" i="2"/>
  <c r="AQ234" i="2" s="1"/>
  <c r="AO164" i="2"/>
  <c r="AO223" i="2" s="1"/>
  <c r="AO174" i="2"/>
  <c r="AQ174" i="2"/>
  <c r="AQ159" i="2"/>
  <c r="W25" i="2"/>
  <c r="D31" i="2"/>
  <c r="G35" i="2" s="1"/>
  <c r="K105" i="2"/>
  <c r="K178" i="2" s="1"/>
  <c r="K234" i="2" s="1"/>
  <c r="AY82" i="2"/>
  <c r="B66" i="3" s="1"/>
  <c r="C66" i="3" s="1"/>
  <c r="AU210" i="2"/>
  <c r="AU164" i="2"/>
  <c r="AU223" i="2" s="1"/>
  <c r="AU101" i="2"/>
  <c r="AU178" i="2"/>
  <c r="AU234" i="2" s="1"/>
  <c r="AU159" i="2"/>
  <c r="AU174" i="2"/>
  <c r="AW210" i="2"/>
  <c r="AW101" i="2"/>
  <c r="AW178" i="2"/>
  <c r="AW234" i="2" s="1"/>
  <c r="AW159" i="2"/>
  <c r="AW174" i="2"/>
  <c r="AW164" i="2"/>
  <c r="AW223" i="2" s="1"/>
  <c r="AY208" i="2"/>
  <c r="C81" i="1" s="1"/>
  <c r="AY199" i="2"/>
  <c r="C76" i="1" s="1"/>
  <c r="I212" i="2"/>
  <c r="K209" i="2"/>
  <c r="K180" i="2"/>
  <c r="AY189" i="2"/>
  <c r="Q209" i="2"/>
  <c r="Q180" i="2"/>
  <c r="O209" i="2"/>
  <c r="O180" i="2"/>
  <c r="AW209" i="2"/>
  <c r="AW180" i="2"/>
  <c r="AU209" i="2"/>
  <c r="AU180" i="2"/>
  <c r="Y200" i="2"/>
  <c r="Y23" i="2"/>
  <c r="Y107" i="2"/>
  <c r="Y142" i="2" s="1"/>
  <c r="Y25" i="2"/>
  <c r="M209" i="2"/>
  <c r="M180" i="2"/>
  <c r="D32" i="2"/>
  <c r="O101" i="2"/>
  <c r="O178" i="2"/>
  <c r="O234" i="2" s="1"/>
  <c r="O159" i="2"/>
  <c r="O174" i="2"/>
  <c r="O210" i="2"/>
  <c r="O164" i="2"/>
  <c r="O223" i="2" s="1"/>
  <c r="AU86" i="3"/>
  <c r="AE86" i="3"/>
  <c r="O86" i="3"/>
  <c r="BJ86" i="3"/>
  <c r="AT86" i="3"/>
  <c r="AD86" i="3"/>
  <c r="N86" i="3"/>
  <c r="BH86" i="3"/>
  <c r="AR86" i="3"/>
  <c r="AB86" i="3"/>
  <c r="L86" i="3"/>
  <c r="BG86" i="3"/>
  <c r="AQ86" i="3"/>
  <c r="AA86" i="3"/>
  <c r="K86" i="3"/>
  <c r="BF86" i="3"/>
  <c r="AP86" i="3"/>
  <c r="Z86" i="3"/>
  <c r="J86" i="3"/>
  <c r="BE86" i="3"/>
  <c r="AO86" i="3"/>
  <c r="Y86" i="3"/>
  <c r="I86" i="3"/>
  <c r="BD86" i="3"/>
  <c r="AN86" i="3"/>
  <c r="X86" i="3"/>
  <c r="H86" i="3"/>
  <c r="BC86" i="3"/>
  <c r="AM86" i="3"/>
  <c r="W86" i="3"/>
  <c r="G86" i="3"/>
  <c r="BB86" i="3"/>
  <c r="AL86" i="3"/>
  <c r="V86" i="3"/>
  <c r="F86" i="3"/>
  <c r="BA86" i="3"/>
  <c r="AK86" i="3"/>
  <c r="U86" i="3"/>
  <c r="E86" i="3"/>
  <c r="AZ86" i="3"/>
  <c r="AJ86" i="3"/>
  <c r="T86" i="3"/>
  <c r="D86" i="3"/>
  <c r="AY86" i="3"/>
  <c r="AI86" i="3"/>
  <c r="S86" i="3"/>
  <c r="C86" i="3"/>
  <c r="AX86" i="3"/>
  <c r="AH86" i="3"/>
  <c r="R86" i="3"/>
  <c r="BI86" i="3"/>
  <c r="AW86" i="3"/>
  <c r="AV86" i="3"/>
  <c r="AS86" i="3"/>
  <c r="AG86" i="3"/>
  <c r="Q86" i="3"/>
  <c r="AF86" i="3"/>
  <c r="AC86" i="3"/>
  <c r="P86" i="3"/>
  <c r="M86" i="3"/>
  <c r="AY17" i="2"/>
  <c r="AI210" i="2"/>
  <c r="AI159" i="2"/>
  <c r="AI174" i="2"/>
  <c r="AI164" i="2"/>
  <c r="AI223" i="2" s="1"/>
  <c r="AI101" i="2"/>
  <c r="AG210" i="2"/>
  <c r="AG159" i="2"/>
  <c r="AG174" i="2"/>
  <c r="AG164" i="2"/>
  <c r="AG223" i="2" s="1"/>
  <c r="AG101" i="2"/>
  <c r="BI85" i="3"/>
  <c r="AS85" i="3"/>
  <c r="AC85" i="3"/>
  <c r="M85" i="3"/>
  <c r="BH85" i="3"/>
  <c r="AR85" i="3"/>
  <c r="AB85" i="3"/>
  <c r="L85" i="3"/>
  <c r="BF85" i="3"/>
  <c r="AP85" i="3"/>
  <c r="Z85" i="3"/>
  <c r="J85" i="3"/>
  <c r="BE85" i="3"/>
  <c r="AO85" i="3"/>
  <c r="Y85" i="3"/>
  <c r="I85" i="3"/>
  <c r="BD85" i="3"/>
  <c r="AN85" i="3"/>
  <c r="X85" i="3"/>
  <c r="H85" i="3"/>
  <c r="BC85" i="3"/>
  <c r="AM85" i="3"/>
  <c r="W85" i="3"/>
  <c r="G85" i="3"/>
  <c r="BB85" i="3"/>
  <c r="AL85" i="3"/>
  <c r="V85" i="3"/>
  <c r="F85" i="3"/>
  <c r="BA85" i="3"/>
  <c r="AK85" i="3"/>
  <c r="U85" i="3"/>
  <c r="E85" i="3"/>
  <c r="AZ85" i="3"/>
  <c r="AJ85" i="3"/>
  <c r="T85" i="3"/>
  <c r="D85" i="3"/>
  <c r="AY85" i="3"/>
  <c r="AI85" i="3"/>
  <c r="S85" i="3"/>
  <c r="C85" i="3"/>
  <c r="AX85" i="3"/>
  <c r="AH85" i="3"/>
  <c r="R85" i="3"/>
  <c r="AW85" i="3"/>
  <c r="AG85" i="3"/>
  <c r="Q85" i="3"/>
  <c r="AV85" i="3"/>
  <c r="AF85" i="3"/>
  <c r="P85" i="3"/>
  <c r="BJ85" i="3"/>
  <c r="BG85" i="3"/>
  <c r="AU85" i="3"/>
  <c r="AT85" i="3"/>
  <c r="AQ85" i="3"/>
  <c r="AE85" i="3"/>
  <c r="AD85" i="3"/>
  <c r="AA85" i="3"/>
  <c r="O85" i="3"/>
  <c r="N85" i="3"/>
  <c r="K85" i="3"/>
  <c r="O200" i="2"/>
  <c r="O106" i="2"/>
  <c r="O142" i="2" s="1"/>
  <c r="O83" i="2"/>
  <c r="O23" i="2"/>
  <c r="K210" i="2"/>
  <c r="K164" i="2"/>
  <c r="K223" i="2" s="1"/>
  <c r="K101" i="2"/>
  <c r="K159" i="2"/>
  <c r="K174" i="2"/>
  <c r="AE210" i="2"/>
  <c r="AE159" i="2"/>
  <c r="AE174" i="2"/>
  <c r="AE164" i="2"/>
  <c r="AE223" i="2" s="1"/>
  <c r="AE101" i="2"/>
  <c r="AC210" i="2"/>
  <c r="AC159" i="2"/>
  <c r="AC174" i="2"/>
  <c r="AC164" i="2"/>
  <c r="AC223" i="2" s="1"/>
  <c r="AC101" i="2"/>
  <c r="Y210" i="2"/>
  <c r="Y101" i="2"/>
  <c r="Y178" i="2"/>
  <c r="Y234" i="2" s="1"/>
  <c r="Y159" i="2"/>
  <c r="Y174" i="2"/>
  <c r="Y164" i="2"/>
  <c r="Y223" i="2" s="1"/>
  <c r="S210" i="2"/>
  <c r="S101" i="2"/>
  <c r="S178" i="2"/>
  <c r="S234" i="2" s="1"/>
  <c r="S159" i="2"/>
  <c r="S174" i="2"/>
  <c r="S164" i="2"/>
  <c r="S223" i="2" s="1"/>
  <c r="BG84" i="3"/>
  <c r="AQ84" i="3"/>
  <c r="AA84" i="3"/>
  <c r="K84" i="3"/>
  <c r="BF84" i="3"/>
  <c r="AP84" i="3"/>
  <c r="Z84" i="3"/>
  <c r="J84" i="3"/>
  <c r="BD84" i="3"/>
  <c r="AN84" i="3"/>
  <c r="X84" i="3"/>
  <c r="H84" i="3"/>
  <c r="BC84" i="3"/>
  <c r="AM84" i="3"/>
  <c r="W84" i="3"/>
  <c r="G84" i="3"/>
  <c r="BB84" i="3"/>
  <c r="AL84" i="3"/>
  <c r="V84" i="3"/>
  <c r="F84" i="3"/>
  <c r="BA84" i="3"/>
  <c r="AK84" i="3"/>
  <c r="U84" i="3"/>
  <c r="E84" i="3"/>
  <c r="AZ84" i="3"/>
  <c r="AJ84" i="3"/>
  <c r="T84" i="3"/>
  <c r="D84" i="3"/>
  <c r="AY84" i="3"/>
  <c r="AI84" i="3"/>
  <c r="S84" i="3"/>
  <c r="C84" i="3"/>
  <c r="AX84" i="3"/>
  <c r="AH84" i="3"/>
  <c r="R84" i="3"/>
  <c r="AW84" i="3"/>
  <c r="AG84" i="3"/>
  <c r="Q84" i="3"/>
  <c r="AV84" i="3"/>
  <c r="AF84" i="3"/>
  <c r="P84" i="3"/>
  <c r="AU84" i="3"/>
  <c r="AE84" i="3"/>
  <c r="O84" i="3"/>
  <c r="BJ84" i="3"/>
  <c r="AT84" i="3"/>
  <c r="AD84" i="3"/>
  <c r="AR84" i="3"/>
  <c r="AO84" i="3"/>
  <c r="AC84" i="3"/>
  <c r="AB84" i="3"/>
  <c r="Y84" i="3"/>
  <c r="N84" i="3"/>
  <c r="M84" i="3"/>
  <c r="L84" i="3"/>
  <c r="I84" i="3"/>
  <c r="BH84" i="3"/>
  <c r="BI84" i="3"/>
  <c r="BE84" i="3"/>
  <c r="AS84" i="3"/>
  <c r="M210" i="2"/>
  <c r="M101" i="2"/>
  <c r="M178" i="2"/>
  <c r="M234" i="2" s="1"/>
  <c r="M159" i="2"/>
  <c r="M174" i="2"/>
  <c r="M164" i="2"/>
  <c r="M223" i="2" s="1"/>
  <c r="W210" i="2"/>
  <c r="W101" i="2"/>
  <c r="W178" i="2"/>
  <c r="W234" i="2" s="1"/>
  <c r="W159" i="2"/>
  <c r="W174" i="2"/>
  <c r="W164" i="2"/>
  <c r="W223" i="2" s="1"/>
  <c r="AY198" i="2"/>
  <c r="C75" i="1" s="1"/>
  <c r="BE83" i="3"/>
  <c r="AO83" i="3"/>
  <c r="Y83" i="3"/>
  <c r="I83" i="3"/>
  <c r="BD83" i="3"/>
  <c r="AN83" i="3"/>
  <c r="X83" i="3"/>
  <c r="H83" i="3"/>
  <c r="BB83" i="3"/>
  <c r="AL83" i="3"/>
  <c r="V83" i="3"/>
  <c r="F83" i="3"/>
  <c r="BA83" i="3"/>
  <c r="AK83" i="3"/>
  <c r="U83" i="3"/>
  <c r="E83" i="3"/>
  <c r="AZ83" i="3"/>
  <c r="AJ83" i="3"/>
  <c r="T83" i="3"/>
  <c r="D83" i="3"/>
  <c r="AY83" i="3"/>
  <c r="AI83" i="3"/>
  <c r="S83" i="3"/>
  <c r="C83" i="3"/>
  <c r="AX83" i="3"/>
  <c r="AH83" i="3"/>
  <c r="R83" i="3"/>
  <c r="AW83" i="3"/>
  <c r="AG83" i="3"/>
  <c r="Q83" i="3"/>
  <c r="AV83" i="3"/>
  <c r="AF83" i="3"/>
  <c r="P83" i="3"/>
  <c r="AU83" i="3"/>
  <c r="AE83" i="3"/>
  <c r="O83" i="3"/>
  <c r="BJ83" i="3"/>
  <c r="AT83" i="3"/>
  <c r="AD83" i="3"/>
  <c r="N83" i="3"/>
  <c r="BI83" i="3"/>
  <c r="AS83" i="3"/>
  <c r="AC83" i="3"/>
  <c r="M83" i="3"/>
  <c r="AM83" i="3"/>
  <c r="AB83" i="3"/>
  <c r="AA83" i="3"/>
  <c r="Z83" i="3"/>
  <c r="W83" i="3"/>
  <c r="L83" i="3"/>
  <c r="K83" i="3"/>
  <c r="J83" i="3"/>
  <c r="G83" i="3"/>
  <c r="BH83" i="3"/>
  <c r="BG83" i="3"/>
  <c r="AR83" i="3"/>
  <c r="BF83" i="3"/>
  <c r="BC83" i="3"/>
  <c r="AQ83" i="3"/>
  <c r="AP83" i="3"/>
  <c r="F144" i="5"/>
  <c r="F143" i="5"/>
  <c r="B88" i="5"/>
  <c r="B16" i="4"/>
  <c r="B10" i="5"/>
  <c r="J130" i="5" s="1"/>
  <c r="B68" i="3"/>
  <c r="B69" i="3"/>
  <c r="N69" i="3" s="1"/>
  <c r="BK69" i="3" s="1"/>
  <c r="AY180" i="2"/>
  <c r="C67" i="1" s="1"/>
  <c r="AK210" i="2"/>
  <c r="AK174" i="2"/>
  <c r="AK164" i="2"/>
  <c r="AK223" i="2" s="1"/>
  <c r="AK101" i="2"/>
  <c r="AK178" i="2"/>
  <c r="AK234" i="2" s="1"/>
  <c r="AK159" i="2"/>
  <c r="AY84" i="2"/>
  <c r="AO99" i="2"/>
  <c r="AO139" i="2"/>
  <c r="AO138" i="2"/>
  <c r="AO191" i="2" s="1"/>
  <c r="AO141" i="2"/>
  <c r="AY88" i="3"/>
  <c r="AI88" i="3"/>
  <c r="S88" i="3"/>
  <c r="C88" i="3"/>
  <c r="AX88" i="3"/>
  <c r="AH88" i="3"/>
  <c r="R88" i="3"/>
  <c r="AV88" i="3"/>
  <c r="AF88" i="3"/>
  <c r="P88" i="3"/>
  <c r="AU88" i="3"/>
  <c r="AE88" i="3"/>
  <c r="O88" i="3"/>
  <c r="BJ88" i="3"/>
  <c r="AT88" i="3"/>
  <c r="AD88" i="3"/>
  <c r="N88" i="3"/>
  <c r="BI88" i="3"/>
  <c r="AS88" i="3"/>
  <c r="AC88" i="3"/>
  <c r="M88" i="3"/>
  <c r="BH88" i="3"/>
  <c r="AR88" i="3"/>
  <c r="AB88" i="3"/>
  <c r="L88" i="3"/>
  <c r="BG88" i="3"/>
  <c r="AQ88" i="3"/>
  <c r="AA88" i="3"/>
  <c r="K88" i="3"/>
  <c r="BF88" i="3"/>
  <c r="AP88" i="3"/>
  <c r="Z88" i="3"/>
  <c r="J88" i="3"/>
  <c r="BE88" i="3"/>
  <c r="AO88" i="3"/>
  <c r="Y88" i="3"/>
  <c r="I88" i="3"/>
  <c r="BD88" i="3"/>
  <c r="AN88" i="3"/>
  <c r="X88" i="3"/>
  <c r="H88" i="3"/>
  <c r="BC88" i="3"/>
  <c r="AM88" i="3"/>
  <c r="W88" i="3"/>
  <c r="G88" i="3"/>
  <c r="BB88" i="3"/>
  <c r="AL88" i="3"/>
  <c r="V88" i="3"/>
  <c r="F88" i="3"/>
  <c r="AZ88" i="3"/>
  <c r="AW88" i="3"/>
  <c r="AK88" i="3"/>
  <c r="AJ88" i="3"/>
  <c r="AG88" i="3"/>
  <c r="U88" i="3"/>
  <c r="T88" i="3"/>
  <c r="Q88" i="3"/>
  <c r="E88" i="3"/>
  <c r="D88" i="3"/>
  <c r="BA88" i="3"/>
  <c r="M200" i="2"/>
  <c r="M106" i="2"/>
  <c r="M83" i="2"/>
  <c r="M23" i="2"/>
  <c r="AC23" i="2"/>
  <c r="AC200" i="2"/>
  <c r="AC105" i="2"/>
  <c r="AM210" i="2"/>
  <c r="AM174" i="2"/>
  <c r="AM164" i="2"/>
  <c r="AM223" i="2" s="1"/>
  <c r="AM101" i="2"/>
  <c r="AM159" i="2"/>
  <c r="W209" i="2"/>
  <c r="W180" i="2"/>
  <c r="F133" i="5"/>
  <c r="E129" i="5"/>
  <c r="H111" i="5"/>
  <c r="F58" i="4"/>
  <c r="I24" i="4"/>
  <c r="H22" i="4"/>
  <c r="G20" i="4"/>
  <c r="E133" i="5"/>
  <c r="G111" i="5"/>
  <c r="H24" i="4"/>
  <c r="G22" i="4"/>
  <c r="F20" i="4"/>
  <c r="F111" i="5"/>
  <c r="G24" i="4"/>
  <c r="F22" i="4"/>
  <c r="E111" i="5"/>
  <c r="F24" i="4"/>
  <c r="L21" i="4"/>
  <c r="L19" i="4"/>
  <c r="G55" i="4"/>
  <c r="K21" i="4"/>
  <c r="K19" i="4"/>
  <c r="F130" i="5"/>
  <c r="F55" i="4"/>
  <c r="L25" i="4"/>
  <c r="L23" i="4"/>
  <c r="J21" i="4"/>
  <c r="J19" i="4"/>
  <c r="E130" i="5"/>
  <c r="G57" i="4"/>
  <c r="K25" i="4"/>
  <c r="K23" i="4"/>
  <c r="I21" i="4"/>
  <c r="I19" i="4"/>
  <c r="F132" i="5"/>
  <c r="F57" i="4"/>
  <c r="J25" i="4"/>
  <c r="J23" i="4"/>
  <c r="H21" i="4"/>
  <c r="H19" i="4"/>
  <c r="G141" i="5"/>
  <c r="G143" i="5" s="1"/>
  <c r="E132" i="5"/>
  <c r="G59" i="4"/>
  <c r="I25" i="4"/>
  <c r="I23" i="4"/>
  <c r="G21" i="4"/>
  <c r="G19" i="4"/>
  <c r="F141" i="5"/>
  <c r="F59" i="4"/>
  <c r="H25" i="4"/>
  <c r="H23" i="4"/>
  <c r="F21" i="4"/>
  <c r="F19" i="4"/>
  <c r="E141" i="5"/>
  <c r="E143" i="5" s="1"/>
  <c r="I112" i="5"/>
  <c r="B86" i="5"/>
  <c r="G25" i="4"/>
  <c r="G23" i="4"/>
  <c r="H112" i="5"/>
  <c r="G54" i="4"/>
  <c r="F25" i="4"/>
  <c r="F23" i="4"/>
  <c r="L20" i="4"/>
  <c r="G112" i="5"/>
  <c r="F54" i="4"/>
  <c r="L22" i="4"/>
  <c r="K20" i="4"/>
  <c r="F112" i="5"/>
  <c r="G56" i="4"/>
  <c r="L24" i="4"/>
  <c r="K22" i="4"/>
  <c r="J20" i="4"/>
  <c r="B9" i="5"/>
  <c r="B17" i="4" s="1"/>
  <c r="K24" i="4"/>
  <c r="F131" i="5"/>
  <c r="G58" i="4"/>
  <c r="J24" i="4"/>
  <c r="E131" i="5"/>
  <c r="F56" i="4"/>
  <c r="J22" i="4"/>
  <c r="I22" i="4"/>
  <c r="F129" i="5"/>
  <c r="I20" i="4"/>
  <c r="H20" i="4"/>
  <c r="I111" i="5"/>
  <c r="E112" i="5"/>
  <c r="B14" i="4"/>
  <c r="S209" i="2"/>
  <c r="S180" i="2"/>
  <c r="AY92" i="2"/>
  <c r="C27" i="1" s="1"/>
  <c r="AY86" i="2"/>
  <c r="AM200" i="2"/>
  <c r="AM105" i="2"/>
  <c r="AM178" i="2" s="1"/>
  <c r="AM234" i="2" s="1"/>
  <c r="AM23" i="2"/>
  <c r="Q101" i="2"/>
  <c r="Q178" i="2"/>
  <c r="Q234" i="2" s="1"/>
  <c r="Q159" i="2"/>
  <c r="Q174" i="2"/>
  <c r="Q210" i="2"/>
  <c r="Q164" i="2"/>
  <c r="Q223" i="2" s="1"/>
  <c r="AE200" i="2"/>
  <c r="AE23" i="2"/>
  <c r="AE105" i="2"/>
  <c r="AE178" i="2" s="1"/>
  <c r="AE234" i="2" s="1"/>
  <c r="AS174" i="2"/>
  <c r="AS164" i="2"/>
  <c r="AS223" i="2" s="1"/>
  <c r="AS101" i="2"/>
  <c r="AS178" i="2"/>
  <c r="AS234" i="2" s="1"/>
  <c r="AS159" i="2"/>
  <c r="AS210" i="2"/>
  <c r="AG23" i="2"/>
  <c r="AG200" i="2"/>
  <c r="AG105" i="2"/>
  <c r="AG178" i="2" s="1"/>
  <c r="AG234" i="2" s="1"/>
  <c r="C38" i="1"/>
  <c r="AY145" i="2"/>
  <c r="C48" i="1" s="1"/>
  <c r="I174" i="2"/>
  <c r="AY93" i="2"/>
  <c r="I164" i="2"/>
  <c r="I101" i="2"/>
  <c r="AY87" i="2"/>
  <c r="I178" i="2"/>
  <c r="I159" i="2"/>
  <c r="I210" i="2"/>
  <c r="H132" i="5" l="1"/>
  <c r="H129" i="5"/>
  <c r="AQ99" i="2"/>
  <c r="I133" i="5"/>
  <c r="B15" i="3"/>
  <c r="I59" i="4" s="1"/>
  <c r="AQ138" i="2"/>
  <c r="AQ191" i="2" s="1"/>
  <c r="B67" i="3"/>
  <c r="H67" i="3" s="1"/>
  <c r="H70" i="3" s="1"/>
  <c r="AQ139" i="2"/>
  <c r="J131" i="5"/>
  <c r="AY129" i="2"/>
  <c r="AY173" i="2" s="1"/>
  <c r="C64" i="1" s="1"/>
  <c r="K131" i="5"/>
  <c r="I129" i="5"/>
  <c r="L59" i="4"/>
  <c r="I54" i="4"/>
  <c r="I58" i="4"/>
  <c r="I56" i="4"/>
  <c r="K130" i="5"/>
  <c r="L56" i="4"/>
  <c r="I132" i="5"/>
  <c r="H133" i="5"/>
  <c r="H131" i="5"/>
  <c r="J133" i="5"/>
  <c r="AC178" i="2"/>
  <c r="AC234" i="2" s="1"/>
  <c r="B11" i="5"/>
  <c r="B87" i="3"/>
  <c r="B78" i="3"/>
  <c r="B77" i="3"/>
  <c r="B76" i="3"/>
  <c r="B75" i="3"/>
  <c r="B74" i="3"/>
  <c r="B16" i="3"/>
  <c r="C22" i="1"/>
  <c r="AY101" i="2"/>
  <c r="AY100" i="2"/>
  <c r="C32" i="1" s="1"/>
  <c r="J68" i="3"/>
  <c r="J70" i="3" s="1"/>
  <c r="I68" i="3"/>
  <c r="M68" i="3"/>
  <c r="M70" i="3" s="1"/>
  <c r="K68" i="3"/>
  <c r="K70" i="3" s="1"/>
  <c r="L68" i="3"/>
  <c r="L70" i="3" s="1"/>
  <c r="N68" i="3"/>
  <c r="N70" i="3" s="1"/>
  <c r="K139" i="2"/>
  <c r="K138" i="2"/>
  <c r="K191" i="2" s="1"/>
  <c r="K141" i="2"/>
  <c r="K99" i="2"/>
  <c r="AY115" i="2"/>
  <c r="I139" i="2"/>
  <c r="AY185" i="2" s="1"/>
  <c r="I138" i="2"/>
  <c r="AY137" i="2"/>
  <c r="I141" i="2"/>
  <c r="AY187" i="2" s="1"/>
  <c r="AY125" i="2"/>
  <c r="AY166" i="2" s="1"/>
  <c r="C62" i="1" s="1"/>
  <c r="I99" i="2"/>
  <c r="AY143" i="2"/>
  <c r="M142" i="2"/>
  <c r="AY188" i="2" s="1"/>
  <c r="AY130" i="2"/>
  <c r="G131" i="5"/>
  <c r="G133" i="5"/>
  <c r="G129" i="5"/>
  <c r="G130" i="5"/>
  <c r="G132" i="5"/>
  <c r="BK84" i="3"/>
  <c r="C10" i="1"/>
  <c r="AY23" i="2"/>
  <c r="AY219" i="2"/>
  <c r="C88" i="1" s="1"/>
  <c r="I223" i="2"/>
  <c r="G144" i="5"/>
  <c r="AY83" i="2"/>
  <c r="C20" i="1" s="1"/>
  <c r="M139" i="2"/>
  <c r="M138" i="2"/>
  <c r="M191" i="2" s="1"/>
  <c r="M141" i="2"/>
  <c r="M99" i="2"/>
  <c r="AG141" i="2"/>
  <c r="AG99" i="2"/>
  <c r="AG139" i="2"/>
  <c r="AG138" i="2"/>
  <c r="AG191" i="2" s="1"/>
  <c r="AW139" i="2"/>
  <c r="AW138" i="2"/>
  <c r="AW191" i="2" s="1"/>
  <c r="AW141" i="2"/>
  <c r="AW140" i="2"/>
  <c r="AW99" i="2"/>
  <c r="I234" i="2"/>
  <c r="AY233" i="2"/>
  <c r="I130" i="5"/>
  <c r="K132" i="5"/>
  <c r="S139" i="2"/>
  <c r="S138" i="2"/>
  <c r="S191" i="2" s="1"/>
  <c r="S141" i="2"/>
  <c r="S99" i="2"/>
  <c r="AE138" i="2"/>
  <c r="AE191" i="2" s="1"/>
  <c r="AE141" i="2"/>
  <c r="AE99" i="2"/>
  <c r="AE139" i="2"/>
  <c r="K129" i="5"/>
  <c r="AK99" i="2"/>
  <c r="AK139" i="2"/>
  <c r="AK138" i="2"/>
  <c r="AK191" i="2" s="1"/>
  <c r="AK141" i="2"/>
  <c r="AM99" i="2"/>
  <c r="AM139" i="2"/>
  <c r="AM138" i="2"/>
  <c r="AM191" i="2" s="1"/>
  <c r="AM141" i="2"/>
  <c r="O139" i="2"/>
  <c r="O138" i="2"/>
  <c r="O191" i="2" s="1"/>
  <c r="O141" i="2"/>
  <c r="O99" i="2"/>
  <c r="E144" i="5"/>
  <c r="AU139" i="2"/>
  <c r="AU138" i="2"/>
  <c r="AU191" i="2" s="1"/>
  <c r="AU141" i="2"/>
  <c r="AU99" i="2"/>
  <c r="AS139" i="2"/>
  <c r="AS138" i="2"/>
  <c r="AS191" i="2" s="1"/>
  <c r="AS141" i="2"/>
  <c r="AS99" i="2"/>
  <c r="BK86" i="3"/>
  <c r="Q140" i="2"/>
  <c r="AY186" i="2" s="1"/>
  <c r="Q139" i="2"/>
  <c r="Q138" i="2"/>
  <c r="Q191" i="2" s="1"/>
  <c r="Q141" i="2"/>
  <c r="Q99" i="2"/>
  <c r="H130" i="5"/>
  <c r="AI141" i="2"/>
  <c r="AI99" i="2"/>
  <c r="AI139" i="2"/>
  <c r="AI138" i="2"/>
  <c r="AI191" i="2" s="1"/>
  <c r="J129" i="5"/>
  <c r="J132" i="5"/>
  <c r="BK88" i="3"/>
  <c r="W138" i="2"/>
  <c r="W191" i="2" s="1"/>
  <c r="W141" i="2"/>
  <c r="W99" i="2"/>
  <c r="W140" i="2"/>
  <c r="W139" i="2"/>
  <c r="BK85" i="3"/>
  <c r="I131" i="5"/>
  <c r="B18" i="4"/>
  <c r="H54" i="4"/>
  <c r="H55" i="4"/>
  <c r="H59" i="4"/>
  <c r="H57" i="4"/>
  <c r="AY141" i="2"/>
  <c r="AC138" i="2"/>
  <c r="AC191" i="2" s="1"/>
  <c r="AC141" i="2"/>
  <c r="AC99" i="2"/>
  <c r="AC139" i="2"/>
  <c r="K133" i="5"/>
  <c r="C70" i="3"/>
  <c r="BK66" i="3"/>
  <c r="BK83" i="3"/>
  <c r="Y138" i="2"/>
  <c r="Y191" i="2" s="1"/>
  <c r="Y141" i="2"/>
  <c r="Y99" i="2"/>
  <c r="Y140" i="2"/>
  <c r="Y139" i="2"/>
  <c r="J55" i="4" l="1"/>
  <c r="D67" i="3"/>
  <c r="G67" i="3"/>
  <c r="G70" i="3" s="1"/>
  <c r="K59" i="4"/>
  <c r="L54" i="4"/>
  <c r="J54" i="4"/>
  <c r="J58" i="4"/>
  <c r="I57" i="4"/>
  <c r="L58" i="4"/>
  <c r="H58" i="4"/>
  <c r="H56" i="4"/>
  <c r="J56" i="4"/>
  <c r="K55" i="4"/>
  <c r="K57" i="4"/>
  <c r="K56" i="4"/>
  <c r="I55" i="4"/>
  <c r="L55" i="4"/>
  <c r="J59" i="4"/>
  <c r="E67" i="3"/>
  <c r="E70" i="3" s="1"/>
  <c r="F67" i="3"/>
  <c r="F70" i="3" s="1"/>
  <c r="J57" i="4"/>
  <c r="K58" i="4"/>
  <c r="L57" i="4"/>
  <c r="K54" i="4"/>
  <c r="I191" i="2"/>
  <c r="AY184" i="2"/>
  <c r="AY99" i="2"/>
  <c r="C31" i="1" s="1"/>
  <c r="C33" i="1"/>
  <c r="I70" i="3"/>
  <c r="BK68" i="3"/>
  <c r="B19" i="4"/>
  <c r="G48" i="4"/>
  <c r="F47" i="4"/>
  <c r="I43" i="4"/>
  <c r="I45" i="4"/>
  <c r="H44" i="4"/>
  <c r="J48" i="4"/>
  <c r="J47" i="4"/>
  <c r="H48" i="4"/>
  <c r="F45" i="4"/>
  <c r="G47" i="4"/>
  <c r="H46" i="4"/>
  <c r="I48" i="4"/>
  <c r="J45" i="4"/>
  <c r="I44" i="4"/>
  <c r="J43" i="4"/>
  <c r="F43" i="4"/>
  <c r="H43" i="4"/>
  <c r="K47" i="4"/>
  <c r="I46" i="4"/>
  <c r="G45" i="4"/>
  <c r="H47" i="4"/>
  <c r="K43" i="4"/>
  <c r="F46" i="4"/>
  <c r="J44" i="4"/>
  <c r="K45" i="4"/>
  <c r="G43" i="4"/>
  <c r="G44" i="4"/>
  <c r="J46" i="4"/>
  <c r="F48" i="4"/>
  <c r="I47" i="4"/>
  <c r="F44" i="4"/>
  <c r="G46" i="4"/>
  <c r="H45" i="4"/>
  <c r="K44" i="4"/>
  <c r="K46" i="4"/>
  <c r="K48" i="4"/>
  <c r="D70" i="3"/>
  <c r="AR74" i="3"/>
  <c r="AB74" i="3"/>
  <c r="L74" i="3"/>
  <c r="AQ74" i="3"/>
  <c r="AA74" i="3"/>
  <c r="K74" i="3"/>
  <c r="AP74" i="3"/>
  <c r="Z74" i="3"/>
  <c r="J74" i="3"/>
  <c r="AO74" i="3"/>
  <c r="Y74" i="3"/>
  <c r="I74" i="3"/>
  <c r="AN74" i="3"/>
  <c r="X74" i="3"/>
  <c r="H74" i="3"/>
  <c r="AM74" i="3"/>
  <c r="W74" i="3"/>
  <c r="G74" i="3"/>
  <c r="AL74" i="3"/>
  <c r="V74" i="3"/>
  <c r="F74" i="3"/>
  <c r="AK74" i="3"/>
  <c r="U74" i="3"/>
  <c r="E74" i="3"/>
  <c r="AJ74" i="3"/>
  <c r="T74" i="3"/>
  <c r="D74" i="3"/>
  <c r="AI74" i="3"/>
  <c r="S74" i="3"/>
  <c r="C74" i="3"/>
  <c r="AH74" i="3"/>
  <c r="R74" i="3"/>
  <c r="AU74" i="3"/>
  <c r="AE74" i="3"/>
  <c r="O74" i="3"/>
  <c r="AS74" i="3"/>
  <c r="AG74" i="3"/>
  <c r="AF74" i="3"/>
  <c r="AD74" i="3"/>
  <c r="AC74" i="3"/>
  <c r="Q74" i="3"/>
  <c r="P74" i="3"/>
  <c r="N74" i="3"/>
  <c r="M74" i="3"/>
  <c r="AW74" i="3"/>
  <c r="AV74" i="3"/>
  <c r="AT74" i="3"/>
  <c r="AQ75" i="3"/>
  <c r="AA75" i="3"/>
  <c r="K75" i="3"/>
  <c r="AP75" i="3"/>
  <c r="Z75" i="3"/>
  <c r="J75" i="3"/>
  <c r="AO75" i="3"/>
  <c r="Y75" i="3"/>
  <c r="I75" i="3"/>
  <c r="AN75" i="3"/>
  <c r="X75" i="3"/>
  <c r="H75" i="3"/>
  <c r="AM75" i="3"/>
  <c r="W75" i="3"/>
  <c r="G75" i="3"/>
  <c r="AL75" i="3"/>
  <c r="V75" i="3"/>
  <c r="F75" i="3"/>
  <c r="AK75" i="3"/>
  <c r="U75" i="3"/>
  <c r="E75" i="3"/>
  <c r="AJ75" i="3"/>
  <c r="T75" i="3"/>
  <c r="D75" i="3"/>
  <c r="AI75" i="3"/>
  <c r="S75" i="3"/>
  <c r="C75" i="3"/>
  <c r="BK75" i="3" s="1"/>
  <c r="AH75" i="3"/>
  <c r="R75" i="3"/>
  <c r="AW75" i="3"/>
  <c r="AG75" i="3"/>
  <c r="Q75" i="3"/>
  <c r="AT75" i="3"/>
  <c r="AD75" i="3"/>
  <c r="N75" i="3"/>
  <c r="AV75" i="3"/>
  <c r="AU75" i="3"/>
  <c r="AS75" i="3"/>
  <c r="AR75" i="3"/>
  <c r="AF75" i="3"/>
  <c r="AE75" i="3"/>
  <c r="AC75" i="3"/>
  <c r="AB75" i="3"/>
  <c r="P75" i="3"/>
  <c r="O75" i="3"/>
  <c r="M75" i="3"/>
  <c r="L75" i="3"/>
  <c r="C45" i="1"/>
  <c r="AY191" i="2"/>
  <c r="AP76" i="3"/>
  <c r="Z76" i="3"/>
  <c r="J76" i="3"/>
  <c r="AO76" i="3"/>
  <c r="Y76" i="3"/>
  <c r="I76" i="3"/>
  <c r="AN76" i="3"/>
  <c r="X76" i="3"/>
  <c r="H76" i="3"/>
  <c r="AM76" i="3"/>
  <c r="W76" i="3"/>
  <c r="G76" i="3"/>
  <c r="AL76" i="3"/>
  <c r="V76" i="3"/>
  <c r="F76" i="3"/>
  <c r="AK76" i="3"/>
  <c r="U76" i="3"/>
  <c r="E76" i="3"/>
  <c r="AJ76" i="3"/>
  <c r="T76" i="3"/>
  <c r="D76" i="3"/>
  <c r="AI76" i="3"/>
  <c r="S76" i="3"/>
  <c r="C76" i="3"/>
  <c r="BK76" i="3" s="1"/>
  <c r="AH76" i="3"/>
  <c r="R76" i="3"/>
  <c r="AW76" i="3"/>
  <c r="AG76" i="3"/>
  <c r="Q76" i="3"/>
  <c r="AV76" i="3"/>
  <c r="AF76" i="3"/>
  <c r="P76" i="3"/>
  <c r="AS76" i="3"/>
  <c r="AC76" i="3"/>
  <c r="M76" i="3"/>
  <c r="K76" i="3"/>
  <c r="AU76" i="3"/>
  <c r="AT76" i="3"/>
  <c r="AR76" i="3"/>
  <c r="AQ76" i="3"/>
  <c r="AE76" i="3"/>
  <c r="AD76" i="3"/>
  <c r="AB76" i="3"/>
  <c r="AA76" i="3"/>
  <c r="O76" i="3"/>
  <c r="N76" i="3"/>
  <c r="L76" i="3"/>
  <c r="AO77" i="3"/>
  <c r="Y77" i="3"/>
  <c r="I77" i="3"/>
  <c r="AN77" i="3"/>
  <c r="X77" i="3"/>
  <c r="H77" i="3"/>
  <c r="AM77" i="3"/>
  <c r="W77" i="3"/>
  <c r="G77" i="3"/>
  <c r="AL77" i="3"/>
  <c r="V77" i="3"/>
  <c r="F77" i="3"/>
  <c r="AK77" i="3"/>
  <c r="U77" i="3"/>
  <c r="E77" i="3"/>
  <c r="AJ77" i="3"/>
  <c r="T77" i="3"/>
  <c r="D77" i="3"/>
  <c r="AI77" i="3"/>
  <c r="S77" i="3"/>
  <c r="C77" i="3"/>
  <c r="BK77" i="3" s="1"/>
  <c r="AH77" i="3"/>
  <c r="R77" i="3"/>
  <c r="AW77" i="3"/>
  <c r="AG77" i="3"/>
  <c r="Q77" i="3"/>
  <c r="AV77" i="3"/>
  <c r="AF77" i="3"/>
  <c r="P77" i="3"/>
  <c r="AU77" i="3"/>
  <c r="AE77" i="3"/>
  <c r="O77" i="3"/>
  <c r="AR77" i="3"/>
  <c r="AB77" i="3"/>
  <c r="L77" i="3"/>
  <c r="Z77" i="3"/>
  <c r="N77" i="3"/>
  <c r="M77" i="3"/>
  <c r="K77" i="3"/>
  <c r="J77" i="3"/>
  <c r="AT77" i="3"/>
  <c r="AS77" i="3"/>
  <c r="AQ77" i="3"/>
  <c r="AP77" i="3"/>
  <c r="AD77" i="3"/>
  <c r="AC77" i="3"/>
  <c r="AA77" i="3"/>
  <c r="AW78" i="3"/>
  <c r="AG78" i="3"/>
  <c r="AV78" i="3"/>
  <c r="AF78" i="3"/>
  <c r="AU78" i="3"/>
  <c r="AE78" i="3"/>
  <c r="AQ78" i="3"/>
  <c r="X78" i="3"/>
  <c r="H78" i="3"/>
  <c r="AP78" i="3"/>
  <c r="W78" i="3"/>
  <c r="G78" i="3"/>
  <c r="AO78" i="3"/>
  <c r="V78" i="3"/>
  <c r="F78" i="3"/>
  <c r="AN78" i="3"/>
  <c r="U78" i="3"/>
  <c r="E78" i="3"/>
  <c r="AM78" i="3"/>
  <c r="T78" i="3"/>
  <c r="D78" i="3"/>
  <c r="AL78" i="3"/>
  <c r="S78" i="3"/>
  <c r="C78" i="3"/>
  <c r="BK78" i="3" s="1"/>
  <c r="AK78" i="3"/>
  <c r="R78" i="3"/>
  <c r="AJ78" i="3"/>
  <c r="Q78" i="3"/>
  <c r="AI78" i="3"/>
  <c r="P78" i="3"/>
  <c r="AH78" i="3"/>
  <c r="O78" i="3"/>
  <c r="AD78" i="3"/>
  <c r="N78" i="3"/>
  <c r="AT78" i="3"/>
  <c r="AA78" i="3"/>
  <c r="K78" i="3"/>
  <c r="AR78" i="3"/>
  <c r="AC78" i="3"/>
  <c r="AB78" i="3"/>
  <c r="Z78" i="3"/>
  <c r="Y78" i="3"/>
  <c r="M78" i="3"/>
  <c r="L78" i="3"/>
  <c r="J78" i="3"/>
  <c r="I78" i="3"/>
  <c r="AS78" i="3"/>
  <c r="AW87" i="3"/>
  <c r="AW89" i="3" s="1"/>
  <c r="AG87" i="3"/>
  <c r="AG89" i="3" s="1"/>
  <c r="Q87" i="3"/>
  <c r="Q89" i="3" s="1"/>
  <c r="AV87" i="3"/>
  <c r="AV89" i="3" s="1"/>
  <c r="AF87" i="3"/>
  <c r="AF89" i="3" s="1"/>
  <c r="P87" i="3"/>
  <c r="P89" i="3" s="1"/>
  <c r="BJ87" i="3"/>
  <c r="BJ89" i="3" s="1"/>
  <c r="BJ91" i="3" s="1"/>
  <c r="BJ96" i="3" s="1"/>
  <c r="AT87" i="3"/>
  <c r="AT89" i="3" s="1"/>
  <c r="AD87" i="3"/>
  <c r="AD89" i="3" s="1"/>
  <c r="N87" i="3"/>
  <c r="N89" i="3" s="1"/>
  <c r="BI87" i="3"/>
  <c r="BI89" i="3" s="1"/>
  <c r="BI91" i="3" s="1"/>
  <c r="BI96" i="3" s="1"/>
  <c r="AS87" i="3"/>
  <c r="AS89" i="3" s="1"/>
  <c r="AC87" i="3"/>
  <c r="AC89" i="3" s="1"/>
  <c r="M87" i="3"/>
  <c r="M89" i="3" s="1"/>
  <c r="BH87" i="3"/>
  <c r="BH89" i="3" s="1"/>
  <c r="BH91" i="3" s="1"/>
  <c r="BH96" i="3" s="1"/>
  <c r="AR87" i="3"/>
  <c r="AR89" i="3" s="1"/>
  <c r="AB87" i="3"/>
  <c r="AB89" i="3" s="1"/>
  <c r="L87" i="3"/>
  <c r="L89" i="3" s="1"/>
  <c r="BG87" i="3"/>
  <c r="BG89" i="3" s="1"/>
  <c r="BG91" i="3" s="1"/>
  <c r="BG96" i="3" s="1"/>
  <c r="AQ87" i="3"/>
  <c r="AQ89" i="3" s="1"/>
  <c r="AA87" i="3"/>
  <c r="AA89" i="3" s="1"/>
  <c r="K87" i="3"/>
  <c r="K89" i="3" s="1"/>
  <c r="BF87" i="3"/>
  <c r="BF89" i="3" s="1"/>
  <c r="BF91" i="3" s="1"/>
  <c r="BF96" i="3" s="1"/>
  <c r="AP87" i="3"/>
  <c r="AP89" i="3" s="1"/>
  <c r="Z87" i="3"/>
  <c r="Z89" i="3" s="1"/>
  <c r="J87" i="3"/>
  <c r="J89" i="3" s="1"/>
  <c r="BE87" i="3"/>
  <c r="BE89" i="3" s="1"/>
  <c r="BE91" i="3" s="1"/>
  <c r="BE96" i="3" s="1"/>
  <c r="AO87" i="3"/>
  <c r="AO89" i="3" s="1"/>
  <c r="Y87" i="3"/>
  <c r="Y89" i="3" s="1"/>
  <c r="I87" i="3"/>
  <c r="I89" i="3" s="1"/>
  <c r="BD87" i="3"/>
  <c r="BD89" i="3" s="1"/>
  <c r="BD91" i="3" s="1"/>
  <c r="BD96" i="3" s="1"/>
  <c r="AN87" i="3"/>
  <c r="AN89" i="3" s="1"/>
  <c r="X87" i="3"/>
  <c r="X89" i="3" s="1"/>
  <c r="H87" i="3"/>
  <c r="H89" i="3" s="1"/>
  <c r="BC87" i="3"/>
  <c r="BC89" i="3" s="1"/>
  <c r="BC91" i="3" s="1"/>
  <c r="BC96" i="3" s="1"/>
  <c r="AM87" i="3"/>
  <c r="AM89" i="3" s="1"/>
  <c r="W87" i="3"/>
  <c r="W89" i="3" s="1"/>
  <c r="G87" i="3"/>
  <c r="G89" i="3" s="1"/>
  <c r="BB87" i="3"/>
  <c r="BB89" i="3" s="1"/>
  <c r="BB91" i="3" s="1"/>
  <c r="BB96" i="3" s="1"/>
  <c r="AL87" i="3"/>
  <c r="AL89" i="3" s="1"/>
  <c r="V87" i="3"/>
  <c r="V89" i="3" s="1"/>
  <c r="F87" i="3"/>
  <c r="F89" i="3" s="1"/>
  <c r="BA87" i="3"/>
  <c r="BA89" i="3" s="1"/>
  <c r="BA91" i="3" s="1"/>
  <c r="BA96" i="3" s="1"/>
  <c r="AK87" i="3"/>
  <c r="AK89" i="3" s="1"/>
  <c r="U87" i="3"/>
  <c r="U89" i="3" s="1"/>
  <c r="E87" i="3"/>
  <c r="E89" i="3" s="1"/>
  <c r="AZ87" i="3"/>
  <c r="AZ89" i="3" s="1"/>
  <c r="AZ91" i="3" s="1"/>
  <c r="AZ96" i="3" s="1"/>
  <c r="AJ87" i="3"/>
  <c r="AJ89" i="3" s="1"/>
  <c r="T87" i="3"/>
  <c r="T89" i="3" s="1"/>
  <c r="D87" i="3"/>
  <c r="D89" i="3" s="1"/>
  <c r="AE87" i="3"/>
  <c r="AE89" i="3" s="1"/>
  <c r="S87" i="3"/>
  <c r="S89" i="3" s="1"/>
  <c r="R87" i="3"/>
  <c r="R89" i="3" s="1"/>
  <c r="O87" i="3"/>
  <c r="O89" i="3" s="1"/>
  <c r="C87" i="3"/>
  <c r="AU87" i="3"/>
  <c r="AU89" i="3" s="1"/>
  <c r="AY87" i="3"/>
  <c r="AY89" i="3" s="1"/>
  <c r="AY91" i="3" s="1"/>
  <c r="AY96" i="3" s="1"/>
  <c r="AX87" i="3"/>
  <c r="AX89" i="3" s="1"/>
  <c r="AX91" i="3" s="1"/>
  <c r="AX96" i="3" s="1"/>
  <c r="AI87" i="3"/>
  <c r="AI89" i="3" s="1"/>
  <c r="AH87" i="3"/>
  <c r="AH89" i="3" s="1"/>
  <c r="AY113" i="2"/>
  <c r="AY123" i="2"/>
  <c r="AY163" i="2" s="1"/>
  <c r="AY135" i="2"/>
  <c r="C42" i="1" s="1"/>
  <c r="F156" i="5"/>
  <c r="E153" i="5"/>
  <c r="H155" i="5"/>
  <c r="F152" i="5"/>
  <c r="G152" i="5"/>
  <c r="I154" i="5"/>
  <c r="E154" i="5"/>
  <c r="I153" i="5"/>
  <c r="G155" i="5"/>
  <c r="G156" i="5"/>
  <c r="F153" i="5"/>
  <c r="I155" i="5"/>
  <c r="E155" i="5"/>
  <c r="H152" i="5"/>
  <c r="F154" i="5"/>
  <c r="H156" i="5"/>
  <c r="F155" i="5"/>
  <c r="G153" i="5"/>
  <c r="E152" i="5"/>
  <c r="I156" i="5"/>
  <c r="H153" i="5"/>
  <c r="E156" i="5"/>
  <c r="G154" i="5"/>
  <c r="I152" i="5"/>
  <c r="H154" i="5"/>
  <c r="BK67" i="3" l="1"/>
  <c r="BK70" i="3"/>
  <c r="O79" i="3"/>
  <c r="N79" i="3"/>
  <c r="N91" i="3" s="1"/>
  <c r="N96" i="3" s="1"/>
  <c r="D79" i="3"/>
  <c r="Y79" i="3"/>
  <c r="T79" i="3"/>
  <c r="T91" i="3" s="1"/>
  <c r="T96" i="3" s="1"/>
  <c r="E79" i="3"/>
  <c r="E91" i="3" s="1"/>
  <c r="E96" i="3" s="1"/>
  <c r="U79" i="3"/>
  <c r="U91" i="3" s="1"/>
  <c r="U96" i="3" s="1"/>
  <c r="AA79" i="3"/>
  <c r="AA91" i="3" s="1"/>
  <c r="AA96" i="3" s="1"/>
  <c r="Q79" i="3"/>
  <c r="Q91" i="3" s="1"/>
  <c r="Q96" i="3" s="1"/>
  <c r="AJ79" i="3"/>
  <c r="AJ91" i="3" s="1"/>
  <c r="AJ96" i="3" s="1"/>
  <c r="J79" i="3"/>
  <c r="J91" i="3" s="1"/>
  <c r="J96" i="3" s="1"/>
  <c r="Y91" i="3"/>
  <c r="Y96" i="3" s="1"/>
  <c r="AC79" i="3"/>
  <c r="AC91" i="3" s="1"/>
  <c r="AC96" i="3" s="1"/>
  <c r="Z79" i="3"/>
  <c r="Z91" i="3" s="1"/>
  <c r="Z96" i="3" s="1"/>
  <c r="AD79" i="3"/>
  <c r="AD91" i="3" s="1"/>
  <c r="AD96" i="3" s="1"/>
  <c r="AP79" i="3"/>
  <c r="AP91" i="3" s="1"/>
  <c r="AP96" i="3" s="1"/>
  <c r="AF79" i="3"/>
  <c r="AF91" i="3" s="1"/>
  <c r="AF96" i="3" s="1"/>
  <c r="AK79" i="3"/>
  <c r="AK91" i="3" s="1"/>
  <c r="AK96" i="3" s="1"/>
  <c r="K79" i="3"/>
  <c r="K91" i="3" s="1"/>
  <c r="K96" i="3" s="1"/>
  <c r="BK87" i="3"/>
  <c r="C89" i="3"/>
  <c r="BK89" i="3" s="1"/>
  <c r="AG79" i="3"/>
  <c r="AG91" i="3" s="1"/>
  <c r="AG96" i="3" s="1"/>
  <c r="F79" i="3"/>
  <c r="F91" i="3" s="1"/>
  <c r="F96" i="3" s="1"/>
  <c r="AO79" i="3"/>
  <c r="AO91" i="3" s="1"/>
  <c r="AO96" i="3" s="1"/>
  <c r="AS79" i="3"/>
  <c r="AS91" i="3" s="1"/>
  <c r="AS96" i="3" s="1"/>
  <c r="V79" i="3"/>
  <c r="V91" i="3" s="1"/>
  <c r="V96" i="3" s="1"/>
  <c r="AQ79" i="3"/>
  <c r="AQ91" i="3" s="1"/>
  <c r="AQ96" i="3" s="1"/>
  <c r="O91" i="3"/>
  <c r="O96" i="3" s="1"/>
  <c r="AL79" i="3"/>
  <c r="AL91" i="3" s="1"/>
  <c r="AL96" i="3" s="1"/>
  <c r="L79" i="3"/>
  <c r="L91" i="3" s="1"/>
  <c r="L96" i="3" s="1"/>
  <c r="AE79" i="3"/>
  <c r="AE91" i="3" s="1"/>
  <c r="AE96" i="3" s="1"/>
  <c r="G79" i="3"/>
  <c r="G91" i="3" s="1"/>
  <c r="G96" i="3" s="1"/>
  <c r="AB79" i="3"/>
  <c r="AB91" i="3" s="1"/>
  <c r="AB96" i="3" s="1"/>
  <c r="AU79" i="3"/>
  <c r="AU91" i="3" s="1"/>
  <c r="AU96" i="3" s="1"/>
  <c r="W79" i="3"/>
  <c r="W91" i="3" s="1"/>
  <c r="W96" i="3" s="1"/>
  <c r="AR79" i="3"/>
  <c r="AR91" i="3" s="1"/>
  <c r="AR96" i="3" s="1"/>
  <c r="R79" i="3"/>
  <c r="R91" i="3" s="1"/>
  <c r="R96" i="3" s="1"/>
  <c r="AM79" i="3"/>
  <c r="AM91" i="3" s="1"/>
  <c r="AM96" i="3" s="1"/>
  <c r="D91" i="3"/>
  <c r="D96" i="3" s="1"/>
  <c r="AT79" i="3"/>
  <c r="AT91" i="3" s="1"/>
  <c r="AT96" i="3" s="1"/>
  <c r="AH79" i="3"/>
  <c r="AH91" i="3" s="1"/>
  <c r="AH96" i="3" s="1"/>
  <c r="H79" i="3"/>
  <c r="H91" i="3" s="1"/>
  <c r="H96" i="3" s="1"/>
  <c r="C70" i="1"/>
  <c r="AY182" i="2"/>
  <c r="C69" i="1" s="1"/>
  <c r="P79" i="3"/>
  <c r="P91" i="3" s="1"/>
  <c r="P96" i="3" s="1"/>
  <c r="AV79" i="3"/>
  <c r="AV91" i="3" s="1"/>
  <c r="AV96" i="3" s="1"/>
  <c r="BK74" i="3"/>
  <c r="C79" i="3"/>
  <c r="X79" i="3"/>
  <c r="X91" i="3" s="1"/>
  <c r="X96" i="3" s="1"/>
  <c r="AW79" i="3"/>
  <c r="AW91" i="3" s="1"/>
  <c r="AW96" i="3" s="1"/>
  <c r="S79" i="3"/>
  <c r="S91" i="3" s="1"/>
  <c r="S96" i="3" s="1"/>
  <c r="AN79" i="3"/>
  <c r="AN91" i="3" s="1"/>
  <c r="AN96" i="3" s="1"/>
  <c r="C61" i="1"/>
  <c r="AY223" i="2"/>
  <c r="M79" i="3"/>
  <c r="M91" i="3" s="1"/>
  <c r="M96" i="3" s="1"/>
  <c r="AI79" i="3"/>
  <c r="AI91" i="3" s="1"/>
  <c r="AI96" i="3" s="1"/>
  <c r="I79" i="3"/>
  <c r="I91" i="3" s="1"/>
  <c r="I96" i="3" s="1"/>
  <c r="BK79" i="3" l="1"/>
  <c r="C91" i="3"/>
  <c r="BK91" i="3" l="1"/>
  <c r="C96" i="3"/>
  <c r="BK96" i="3" s="1"/>
  <c r="C31" i="5" l="1"/>
  <c r="O97" i="3"/>
  <c r="O95" i="3"/>
  <c r="O62" i="3"/>
  <c r="O44" i="3"/>
  <c r="O79" i="2"/>
  <c r="O33" i="2"/>
  <c r="C51" i="5"/>
  <c r="AI97" i="3"/>
  <c r="AI95" i="3"/>
  <c r="AI62" i="3"/>
  <c r="AI44" i="3"/>
  <c r="C32" i="5"/>
  <c r="P97" i="3"/>
  <c r="P95" i="3"/>
  <c r="P62" i="3"/>
  <c r="P44" i="3"/>
  <c r="O182" i="2"/>
  <c r="O184" i="2"/>
  <c r="AG182" i="2"/>
  <c r="AG184" i="2"/>
  <c r="B28" i="4"/>
  <c r="B90" i="5"/>
  <c r="BK52" i="3"/>
  <c r="C52" i="3"/>
  <c r="D27" i="5"/>
  <c r="D45" i="5"/>
  <c r="C37" i="5"/>
  <c r="U97" i="3"/>
  <c r="U95" i="3"/>
  <c r="U62" i="3"/>
  <c r="U44" i="3"/>
  <c r="O206" i="2"/>
  <c r="O150" i="2"/>
  <c r="O215" i="2"/>
  <c r="C21" i="5"/>
  <c r="E97" i="3"/>
  <c r="E95" i="3"/>
  <c r="E62" i="3"/>
  <c r="E44" i="3"/>
  <c r="S69" i="2"/>
  <c r="AS79" i="2"/>
  <c r="AS33" i="2"/>
  <c r="AQ182" i="2"/>
  <c r="AQ184" i="2"/>
  <c r="AS215" i="2"/>
  <c r="AS150" i="2"/>
  <c r="AS206" i="2"/>
  <c r="D57" i="5"/>
  <c r="D23" i="5"/>
  <c r="D71" i="5"/>
  <c r="D55" i="5"/>
  <c r="C18" i="1"/>
  <c r="AI182" i="2"/>
  <c r="AI184" i="2"/>
  <c r="C77" i="5"/>
  <c r="BI97" i="3"/>
  <c r="BI95" i="3"/>
  <c r="BI62" i="3"/>
  <c r="BI44" i="3"/>
  <c r="AM206" i="2"/>
  <c r="AM150" i="2"/>
  <c r="AM215" i="2"/>
  <c r="B27" i="4"/>
  <c r="B85" i="5"/>
  <c r="BK57" i="3"/>
  <c r="C57" i="3"/>
  <c r="C60" i="5"/>
  <c r="AR97" i="3"/>
  <c r="AR95" i="3"/>
  <c r="AR62" i="3"/>
  <c r="AR44" i="3"/>
  <c r="BK99" i="3"/>
  <c r="D19" i="5"/>
  <c r="D61" i="5"/>
  <c r="AY234" i="2"/>
  <c r="AY124" i="2"/>
  <c r="AY178" i="2"/>
  <c r="C66" i="1"/>
  <c r="C30" i="5"/>
  <c r="N97" i="3"/>
  <c r="N95" i="3"/>
  <c r="N62" i="3"/>
  <c r="N44" i="3"/>
  <c r="AG215" i="2"/>
  <c r="AG150" i="2"/>
  <c r="AG206" i="2"/>
  <c r="S70" i="2"/>
  <c r="S227" i="2"/>
  <c r="S65" i="2"/>
  <c r="S193" i="2"/>
  <c r="M182" i="2"/>
  <c r="M184" i="2"/>
  <c r="D50" i="5"/>
  <c r="AC44" i="3"/>
  <c r="AC62" i="3"/>
  <c r="AC95" i="3"/>
  <c r="AC97" i="3"/>
  <c r="C45" i="5"/>
  <c r="D49" i="5"/>
  <c r="C68" i="5"/>
  <c r="AZ97" i="3"/>
  <c r="AZ44" i="3"/>
  <c r="AZ62" i="3"/>
  <c r="AZ95" i="3"/>
  <c r="B26" i="4"/>
  <c r="B84" i="5"/>
  <c r="AO227" i="2"/>
  <c r="AO193" i="2"/>
  <c r="AO65" i="2"/>
  <c r="AO70" i="2"/>
  <c r="C20" i="5"/>
  <c r="D44" i="3"/>
  <c r="D62" i="3"/>
  <c r="D95" i="3"/>
  <c r="D97" i="3"/>
  <c r="AG227" i="2"/>
  <c r="AG70" i="2"/>
  <c r="AG65" i="2"/>
  <c r="AG193" i="2"/>
  <c r="K227" i="2"/>
  <c r="K70" i="2"/>
  <c r="K65" i="2"/>
  <c r="K193" i="2"/>
  <c r="C22" i="5"/>
  <c r="F97" i="3"/>
  <c r="F95" i="3"/>
  <c r="F62" i="3"/>
  <c r="F44" i="3"/>
  <c r="AD45" i="3"/>
  <c r="BB45" i="3"/>
  <c r="Q45" i="3"/>
  <c r="BG45" i="3"/>
  <c r="Y45" i="3"/>
  <c r="AV45" i="3"/>
  <c r="AA45" i="3"/>
  <c r="AJ45" i="3"/>
  <c r="L45" i="3"/>
  <c r="E45" i="3"/>
  <c r="BH45" i="3"/>
  <c r="AG45" i="3"/>
  <c r="AW45" i="3"/>
  <c r="AS45" i="3"/>
  <c r="AT45" i="3"/>
  <c r="AX45" i="3"/>
  <c r="Z45" i="3"/>
  <c r="BA45" i="3"/>
  <c r="AR45" i="3"/>
  <c r="F45" i="3"/>
  <c r="AZ45" i="3"/>
  <c r="J45" i="3"/>
  <c r="AQ45" i="3"/>
  <c r="AM45" i="3"/>
  <c r="N45" i="3"/>
  <c r="AB45" i="3"/>
  <c r="BF45" i="3"/>
  <c r="AY45" i="3"/>
  <c r="AO45" i="3"/>
  <c r="AC45" i="3"/>
  <c r="AH45" i="3"/>
  <c r="I45" i="3"/>
  <c r="AE45" i="3"/>
  <c r="AF45" i="3"/>
  <c r="X45" i="3"/>
  <c r="S45" i="3"/>
  <c r="W45" i="3"/>
  <c r="AK45" i="3"/>
  <c r="U45" i="3"/>
  <c r="T45" i="3"/>
  <c r="AU45" i="3"/>
  <c r="AN45" i="3"/>
  <c r="R45" i="3"/>
  <c r="BI45" i="3"/>
  <c r="AI45" i="3"/>
  <c r="O45" i="3"/>
  <c r="BE45" i="3"/>
  <c r="V45" i="3"/>
  <c r="G45" i="3"/>
  <c r="H45" i="3"/>
  <c r="AL45" i="3"/>
  <c r="P45" i="3"/>
  <c r="BD45" i="3"/>
  <c r="BC45" i="3"/>
  <c r="M45" i="3"/>
  <c r="D45" i="3"/>
  <c r="K45" i="3"/>
  <c r="AP45" i="3"/>
  <c r="BJ45" i="3"/>
  <c r="AE69" i="2"/>
  <c r="AG75" i="2"/>
  <c r="AG83" i="2"/>
  <c r="D21" i="5"/>
  <c r="C19" i="1"/>
  <c r="AY79" i="2"/>
  <c r="AY37" i="2"/>
  <c r="AL44" i="3"/>
  <c r="AL62" i="3"/>
  <c r="AL95" i="3"/>
  <c r="AL97" i="3"/>
  <c r="AU182" i="2"/>
  <c r="AU184" i="2"/>
  <c r="BK62" i="3"/>
  <c r="H56" i="3"/>
  <c r="L56" i="3"/>
  <c r="AQ56" i="3"/>
  <c r="BC56" i="3"/>
  <c r="E56" i="3"/>
  <c r="R56" i="3"/>
  <c r="BD56" i="3"/>
  <c r="BE56" i="3"/>
  <c r="Q56" i="3"/>
  <c r="AU56" i="3"/>
  <c r="BH56" i="3"/>
  <c r="F56" i="3"/>
  <c r="J56" i="3"/>
  <c r="AX56" i="3"/>
  <c r="BB56" i="3"/>
  <c r="AS56" i="3"/>
  <c r="AN56" i="3"/>
  <c r="AZ56" i="3"/>
  <c r="AM56" i="3"/>
  <c r="W56" i="3"/>
  <c r="BI56" i="3"/>
  <c r="AC56" i="3"/>
  <c r="BJ56" i="3"/>
  <c r="AK56" i="3"/>
  <c r="AJ56" i="3"/>
  <c r="AE56" i="3"/>
  <c r="BA56" i="3"/>
  <c r="AW56" i="3"/>
  <c r="AO56" i="3"/>
  <c r="AV56" i="3"/>
  <c r="S56" i="3"/>
  <c r="AI56" i="3"/>
  <c r="O56" i="3"/>
  <c r="AH56" i="3"/>
  <c r="AA56" i="3"/>
  <c r="AB56" i="3"/>
  <c r="Y56" i="3"/>
  <c r="AY56" i="3"/>
  <c r="AP56" i="3"/>
  <c r="P56" i="3"/>
  <c r="T56" i="3"/>
  <c r="N56" i="3"/>
  <c r="M56" i="3"/>
  <c r="U56" i="3"/>
  <c r="D56" i="3"/>
  <c r="K56" i="3"/>
  <c r="AD56" i="3"/>
  <c r="AF56" i="3"/>
  <c r="BG56" i="3"/>
  <c r="I56" i="3"/>
  <c r="AL56" i="3"/>
  <c r="AR56" i="3"/>
  <c r="AG56" i="3"/>
  <c r="AT56" i="3"/>
  <c r="X56" i="3"/>
  <c r="Z56" i="3"/>
  <c r="G56" i="3"/>
  <c r="V56" i="3"/>
  <c r="BF56" i="3"/>
  <c r="AG44" i="3"/>
  <c r="AG62" i="3"/>
  <c r="AG95" i="3"/>
  <c r="AG97" i="3"/>
  <c r="C49" i="5"/>
  <c r="D39" i="5"/>
  <c r="BK53" i="3"/>
  <c r="C53" i="3"/>
  <c r="D41" i="5"/>
  <c r="B45" i="3"/>
  <c r="C45" i="3"/>
  <c r="BK45" i="3"/>
  <c r="AW83" i="2"/>
  <c r="D60" i="5"/>
  <c r="B56" i="3"/>
  <c r="C56" i="3"/>
  <c r="BK56" i="3"/>
  <c r="D34" i="5"/>
  <c r="BK60" i="3"/>
  <c r="C60" i="3"/>
  <c r="D20" i="5"/>
  <c r="D58" i="5"/>
  <c r="AK83" i="2"/>
  <c r="AC79" i="2"/>
  <c r="AC33" i="2"/>
  <c r="AC182" i="2"/>
  <c r="AC184" i="2"/>
  <c r="D68" i="5"/>
  <c r="C57" i="5"/>
  <c r="AO97" i="3"/>
  <c r="AO95" i="3"/>
  <c r="AO62" i="3"/>
  <c r="AO44" i="3"/>
  <c r="D38" i="5"/>
  <c r="D52" i="5"/>
  <c r="I151" i="2"/>
  <c r="AY197" i="2"/>
  <c r="C74" i="1"/>
  <c r="C50" i="5"/>
  <c r="AH97" i="3"/>
  <c r="AH44" i="3"/>
  <c r="AH62" i="3"/>
  <c r="AH95" i="3"/>
  <c r="AI206" i="2"/>
  <c r="AI150" i="2"/>
  <c r="AI215" i="2"/>
  <c r="D22" i="5"/>
  <c r="C94" i="1"/>
  <c r="AY227" i="2"/>
  <c r="D72" i="5"/>
  <c r="AI83" i="2"/>
  <c r="D70" i="5"/>
  <c r="I193" i="2"/>
  <c r="I227" i="2"/>
  <c r="I65" i="2"/>
  <c r="I70" i="2"/>
  <c r="AO215" i="2"/>
  <c r="AO150" i="2"/>
  <c r="AO206" i="2"/>
  <c r="W182" i="2"/>
  <c r="W184" i="2"/>
  <c r="Q206" i="2"/>
  <c r="Q150" i="2"/>
  <c r="Q215" i="2"/>
  <c r="D66" i="5"/>
  <c r="C14" i="1"/>
  <c r="AY70" i="2"/>
  <c r="AF44" i="3"/>
  <c r="AF62" i="3"/>
  <c r="AF95" i="3"/>
  <c r="AF97" i="3"/>
  <c r="C48" i="5"/>
  <c r="BK54" i="3"/>
  <c r="C54" i="3"/>
  <c r="AM44" i="3"/>
  <c r="AM62" i="3"/>
  <c r="AM95" i="3"/>
  <c r="AM97" i="3"/>
  <c r="C55" i="5"/>
  <c r="BK44" i="3"/>
  <c r="BJ44" i="3"/>
  <c r="BJ62" i="3"/>
  <c r="BJ95" i="3"/>
  <c r="BJ97" i="3"/>
  <c r="C78" i="5"/>
  <c r="AK198" i="2"/>
  <c r="AK220" i="2"/>
  <c r="AK194" i="2"/>
  <c r="AK221" i="2"/>
  <c r="AK196" i="2"/>
  <c r="AK149" i="2"/>
  <c r="AK199" i="2"/>
  <c r="AK100" i="2"/>
  <c r="AK219" i="2"/>
  <c r="AK218" i="2"/>
  <c r="AK226" i="2"/>
  <c r="AK195" i="2"/>
  <c r="AK216" i="2"/>
  <c r="AK151" i="2"/>
  <c r="AK205" i="2"/>
  <c r="AK235" i="2"/>
  <c r="AK72" i="2"/>
  <c r="K215" i="2"/>
  <c r="K150" i="2"/>
  <c r="K206" i="2"/>
  <c r="Y182" i="2"/>
  <c r="Y184" i="2"/>
  <c r="Y193" i="2"/>
  <c r="Y227" i="2"/>
  <c r="Y65" i="2"/>
  <c r="Y70" i="2"/>
  <c r="D36" i="5"/>
  <c r="L44" i="3"/>
  <c r="L62" i="3"/>
  <c r="L95" i="3"/>
  <c r="L97" i="3"/>
  <c r="C28" i="5"/>
  <c r="S44" i="3"/>
  <c r="S62" i="3"/>
  <c r="S95" i="3"/>
  <c r="S97" i="3"/>
  <c r="C35" i="5"/>
  <c r="AK184" i="2"/>
  <c r="AK182" i="2"/>
  <c r="BK97" i="3"/>
  <c r="AQ47" i="3"/>
  <c r="AJ47" i="3"/>
  <c r="AG47" i="3"/>
  <c r="BB47" i="3"/>
  <c r="E47" i="3"/>
  <c r="BA47" i="3"/>
  <c r="J47" i="3"/>
  <c r="L47" i="3"/>
  <c r="S47" i="3"/>
  <c r="AI47" i="3"/>
  <c r="X47" i="3"/>
  <c r="F47" i="3"/>
  <c r="AF47" i="3"/>
  <c r="BJ47" i="3"/>
  <c r="P47" i="3"/>
  <c r="BF47" i="3"/>
  <c r="AS47" i="3"/>
  <c r="AA47" i="3"/>
  <c r="BE47" i="3"/>
  <c r="AR47" i="3"/>
  <c r="AN47" i="3"/>
  <c r="AM47" i="3"/>
  <c r="BH47" i="3"/>
  <c r="AZ47" i="3"/>
  <c r="BC47" i="3"/>
  <c r="AO47" i="3"/>
  <c r="AB47" i="3"/>
  <c r="AV47" i="3"/>
  <c r="AH47" i="3"/>
  <c r="W47" i="3"/>
  <c r="Z47" i="3"/>
  <c r="AE47" i="3"/>
  <c r="N47" i="3"/>
  <c r="AU47" i="3"/>
  <c r="AD47" i="3"/>
  <c r="O47" i="3"/>
  <c r="BD47" i="3"/>
  <c r="AY47" i="3"/>
  <c r="U47" i="3"/>
  <c r="AP47" i="3"/>
  <c r="K47" i="3"/>
  <c r="Q47" i="3"/>
  <c r="AT47" i="3"/>
  <c r="I47" i="3"/>
  <c r="M47" i="3"/>
  <c r="AL47" i="3"/>
  <c r="Y47" i="3"/>
  <c r="G47" i="3"/>
  <c r="AC47" i="3"/>
  <c r="BG47" i="3"/>
  <c r="T47" i="3"/>
  <c r="V47" i="3"/>
  <c r="AX47" i="3"/>
  <c r="AW47" i="3"/>
  <c r="R47" i="3"/>
  <c r="H47" i="3"/>
  <c r="D47" i="3"/>
  <c r="AK47" i="3"/>
  <c r="BI47" i="3"/>
  <c r="C76" i="5"/>
  <c r="BH97" i="3"/>
  <c r="BH95" i="3"/>
  <c r="BH62" i="3"/>
  <c r="BH44" i="3"/>
  <c r="G44" i="3"/>
  <c r="G62" i="3"/>
  <c r="G95" i="3"/>
  <c r="G97" i="3"/>
  <c r="C23" i="5"/>
  <c r="D25" i="5"/>
  <c r="V44" i="3"/>
  <c r="V62" i="3"/>
  <c r="V95" i="3"/>
  <c r="V97" i="3"/>
  <c r="C38" i="5"/>
  <c r="K226" i="2"/>
  <c r="K205" i="2"/>
  <c r="K218" i="2"/>
  <c r="K194" i="2"/>
  <c r="K198" i="2"/>
  <c r="K151" i="2"/>
  <c r="K219" i="2"/>
  <c r="K100" i="2"/>
  <c r="K149" i="2"/>
  <c r="K216" i="2"/>
  <c r="K235" i="2"/>
  <c r="K196" i="2"/>
  <c r="K220" i="2"/>
  <c r="K195" i="2"/>
  <c r="K199" i="2"/>
  <c r="K72" i="2"/>
  <c r="K221" i="2"/>
  <c r="D48" i="5"/>
  <c r="AX44" i="3"/>
  <c r="AX62" i="3"/>
  <c r="AX95" i="3"/>
  <c r="AX97" i="3"/>
  <c r="C66" i="5"/>
  <c r="AK33" i="2"/>
  <c r="AK79" i="2"/>
  <c r="AM69" i="2"/>
  <c r="AO75" i="2"/>
  <c r="AO83" i="2"/>
  <c r="AC206" i="2"/>
  <c r="AC150" i="2"/>
  <c r="AC215" i="2"/>
  <c r="C27" i="5"/>
  <c r="K44" i="3"/>
  <c r="K62" i="3"/>
  <c r="K95" i="3"/>
  <c r="K97" i="3"/>
  <c r="AI193" i="2"/>
  <c r="AI227" i="2"/>
  <c r="AG69" i="2"/>
  <c r="AI75" i="2"/>
  <c r="AI65" i="2"/>
  <c r="AI70" i="2"/>
  <c r="BF97" i="3"/>
  <c r="BF44" i="3"/>
  <c r="BF62" i="3"/>
  <c r="BF95" i="3"/>
  <c r="D37" i="5"/>
  <c r="AU193" i="2"/>
  <c r="AU70" i="2"/>
  <c r="AU65" i="2"/>
  <c r="AU227" i="2"/>
  <c r="AI50" i="3"/>
  <c r="K50" i="3"/>
  <c r="Z50" i="3"/>
  <c r="G50" i="3"/>
  <c r="T50" i="3"/>
  <c r="AV50" i="3"/>
  <c r="D50" i="3"/>
  <c r="AT50" i="3"/>
  <c r="AE50" i="3"/>
  <c r="O50" i="3"/>
  <c r="AL50" i="3"/>
  <c r="P50" i="3"/>
  <c r="F50" i="3"/>
  <c r="Y50" i="3"/>
  <c r="BH50" i="3"/>
  <c r="BA50" i="3"/>
  <c r="J50" i="3"/>
  <c r="BJ50" i="3"/>
  <c r="BB50" i="3"/>
  <c r="AU50" i="3"/>
  <c r="V50" i="3"/>
  <c r="E50" i="3"/>
  <c r="X50" i="3"/>
  <c r="AQ50" i="3"/>
  <c r="AH50" i="3"/>
  <c r="AP50" i="3"/>
  <c r="BC50" i="3"/>
  <c r="W50" i="3"/>
  <c r="AW50" i="3"/>
  <c r="BF50" i="3"/>
  <c r="H50" i="3"/>
  <c r="AY50" i="3"/>
  <c r="M50" i="3"/>
  <c r="S50" i="3"/>
  <c r="AZ50" i="3"/>
  <c r="BI50" i="3"/>
  <c r="AJ50" i="3"/>
  <c r="AS50" i="3"/>
  <c r="L50" i="3"/>
  <c r="BG50" i="3"/>
  <c r="AB50" i="3"/>
  <c r="AG50" i="3"/>
  <c r="AX50" i="3"/>
  <c r="N50" i="3"/>
  <c r="BE50" i="3"/>
  <c r="I50" i="3"/>
  <c r="AD50" i="3"/>
  <c r="AN50" i="3"/>
  <c r="Q50" i="3"/>
  <c r="AA50" i="3"/>
  <c r="AM50" i="3"/>
  <c r="U50" i="3"/>
  <c r="AO50" i="3"/>
  <c r="AK50" i="3"/>
  <c r="AC50" i="3"/>
  <c r="AF50" i="3"/>
  <c r="BD50" i="3"/>
  <c r="AR50" i="3"/>
  <c r="R50" i="3"/>
  <c r="B47" i="3"/>
  <c r="C47" i="3"/>
  <c r="BK47" i="3"/>
  <c r="T59" i="3"/>
  <c r="AE59" i="3"/>
  <c r="V59" i="3"/>
  <c r="AC59" i="3"/>
  <c r="AJ59" i="3"/>
  <c r="AK59" i="3"/>
  <c r="BD59" i="3"/>
  <c r="BJ59" i="3"/>
  <c r="BE59" i="3"/>
  <c r="BI59" i="3"/>
  <c r="AB59" i="3"/>
  <c r="M59" i="3"/>
  <c r="BA59" i="3"/>
  <c r="AD59" i="3"/>
  <c r="AO59" i="3"/>
  <c r="AQ59" i="3"/>
  <c r="D59" i="3"/>
  <c r="AS59" i="3"/>
  <c r="N59" i="3"/>
  <c r="AP59" i="3"/>
  <c r="BC59" i="3"/>
  <c r="AR59" i="3"/>
  <c r="AW59" i="3"/>
  <c r="L59" i="3"/>
  <c r="AT59" i="3"/>
  <c r="Q59" i="3"/>
  <c r="AH59" i="3"/>
  <c r="BH59" i="3"/>
  <c r="X59" i="3"/>
  <c r="J59" i="3"/>
  <c r="R59" i="3"/>
  <c r="AA59" i="3"/>
  <c r="BF59" i="3"/>
  <c r="AX59" i="3"/>
  <c r="E59" i="3"/>
  <c r="BB59" i="3"/>
  <c r="F59" i="3"/>
  <c r="S59" i="3"/>
  <c r="G59" i="3"/>
  <c r="P59" i="3"/>
  <c r="AM59" i="3"/>
  <c r="BG59" i="3"/>
  <c r="W59" i="3"/>
  <c r="I59" i="3"/>
  <c r="AN59" i="3"/>
  <c r="U59" i="3"/>
  <c r="AZ59" i="3"/>
  <c r="AF59" i="3"/>
  <c r="AL59" i="3"/>
  <c r="AY59" i="3"/>
  <c r="O59" i="3"/>
  <c r="AU59" i="3"/>
  <c r="AI59" i="3"/>
  <c r="K59" i="3"/>
  <c r="AG59" i="3"/>
  <c r="H59" i="3"/>
  <c r="Y59" i="3"/>
  <c r="AV59" i="3"/>
  <c r="Z59" i="3"/>
  <c r="I182" i="2"/>
  <c r="I184" i="2"/>
  <c r="R44" i="3"/>
  <c r="R62" i="3"/>
  <c r="R95" i="3"/>
  <c r="R97" i="3"/>
  <c r="C34" i="5"/>
  <c r="D42" i="5"/>
  <c r="K33" i="2"/>
  <c r="K79" i="2"/>
  <c r="AD44" i="3"/>
  <c r="AD62" i="3"/>
  <c r="AD95" i="3"/>
  <c r="AD97" i="3"/>
  <c r="C46" i="5"/>
  <c r="AE79" i="2"/>
  <c r="AE33" i="2"/>
  <c r="Q69" i="2"/>
  <c r="S75" i="2"/>
  <c r="S83" i="2"/>
  <c r="AK70" i="2"/>
  <c r="AK227" i="2"/>
  <c r="AI69" i="2"/>
  <c r="AK75" i="2"/>
  <c r="AK65" i="2"/>
  <c r="AK193" i="2"/>
  <c r="AC194" i="2"/>
  <c r="AC198" i="2"/>
  <c r="AC151" i="2"/>
  <c r="AC221" i="2"/>
  <c r="AC205" i="2"/>
  <c r="AC199" i="2"/>
  <c r="AC100" i="2"/>
  <c r="AC196" i="2"/>
  <c r="AC72" i="2"/>
  <c r="AC149" i="2"/>
  <c r="AC195" i="2"/>
  <c r="AC226" i="2"/>
  <c r="AC220" i="2"/>
  <c r="AC216" i="2"/>
  <c r="AC235" i="2"/>
  <c r="AC218" i="2"/>
  <c r="AC219" i="2"/>
  <c r="K75" i="2"/>
  <c r="K83" i="2"/>
  <c r="BK48" i="3"/>
  <c r="C48" i="3"/>
  <c r="C13" i="1"/>
  <c r="AY69" i="2"/>
  <c r="AS69" i="2"/>
  <c r="AU75" i="2"/>
  <c r="AU83" i="2"/>
  <c r="B50" i="3"/>
  <c r="C50" i="3"/>
  <c r="BK50" i="3"/>
  <c r="D24" i="5"/>
  <c r="B59" i="3"/>
  <c r="C59" i="3"/>
  <c r="BK59" i="3"/>
  <c r="BK95" i="3"/>
  <c r="AW215" i="2"/>
  <c r="AW150" i="2"/>
  <c r="AW206" i="2"/>
  <c r="BK46" i="3"/>
  <c r="C46" i="3"/>
  <c r="AU44" i="3"/>
  <c r="AU62" i="3"/>
  <c r="AU95" i="3"/>
  <c r="AU97" i="3"/>
  <c r="AP44" i="3"/>
  <c r="AP62" i="3"/>
  <c r="AP95" i="3"/>
  <c r="AP97" i="3"/>
  <c r="C58" i="5"/>
  <c r="D31" i="5"/>
  <c r="X55" i="3"/>
  <c r="Y55" i="3"/>
  <c r="AH55" i="3"/>
  <c r="AX55" i="3"/>
  <c r="AO55" i="3"/>
  <c r="AZ55" i="3"/>
  <c r="BA55" i="3"/>
  <c r="AQ55" i="3"/>
  <c r="AD55" i="3"/>
  <c r="P55" i="3"/>
  <c r="AW55" i="3"/>
  <c r="BI55" i="3"/>
  <c r="AC55" i="3"/>
  <c r="AG55" i="3"/>
  <c r="AY55" i="3"/>
  <c r="R55" i="3"/>
  <c r="BH55" i="3"/>
  <c r="AA55" i="3"/>
  <c r="BG55" i="3"/>
  <c r="BJ55" i="3"/>
  <c r="AS55" i="3"/>
  <c r="N55" i="3"/>
  <c r="BB55" i="3"/>
  <c r="AV55" i="3"/>
  <c r="W55" i="3"/>
  <c r="BF55" i="3"/>
  <c r="O55" i="3"/>
  <c r="BD55" i="3"/>
  <c r="AT55" i="3"/>
  <c r="J55" i="3"/>
  <c r="AF55" i="3"/>
  <c r="AU55" i="3"/>
  <c r="V55" i="3"/>
  <c r="D55" i="3"/>
  <c r="AM55" i="3"/>
  <c r="BC55" i="3"/>
  <c r="AL55" i="3"/>
  <c r="AR55" i="3"/>
  <c r="AN55" i="3"/>
  <c r="BE55" i="3"/>
  <c r="AB55" i="3"/>
  <c r="M55" i="3"/>
  <c r="AP55" i="3"/>
  <c r="AI55" i="3"/>
  <c r="U55" i="3"/>
  <c r="G55" i="3"/>
  <c r="S55" i="3"/>
  <c r="AJ55" i="3"/>
  <c r="Z55" i="3"/>
  <c r="K55" i="3"/>
  <c r="AK55" i="3"/>
  <c r="E55" i="3"/>
  <c r="Q55" i="3"/>
  <c r="F55" i="3"/>
  <c r="AE55" i="3"/>
  <c r="L55" i="3"/>
  <c r="I55" i="3"/>
  <c r="T55" i="3"/>
  <c r="H55" i="3"/>
  <c r="H44" i="3"/>
  <c r="H62" i="3"/>
  <c r="H95" i="3"/>
  <c r="H97" i="3"/>
  <c r="C24" i="5"/>
  <c r="AU215" i="2"/>
  <c r="AU150" i="2"/>
  <c r="AU206" i="2"/>
  <c r="D59" i="5"/>
  <c r="AW44" i="3"/>
  <c r="AW62" i="3"/>
  <c r="AW95" i="3"/>
  <c r="AW97" i="3"/>
  <c r="C65" i="5"/>
  <c r="X97" i="3"/>
  <c r="X95" i="3"/>
  <c r="X62" i="3"/>
  <c r="X44" i="3"/>
  <c r="AS83" i="2"/>
  <c r="W83" i="2"/>
  <c r="D33" i="5"/>
  <c r="Y69" i="2"/>
  <c r="D32" i="5"/>
  <c r="BG44" i="3"/>
  <c r="BG62" i="3"/>
  <c r="BG95" i="3"/>
  <c r="BG97" i="3"/>
  <c r="C75" i="5"/>
  <c r="M69" i="2"/>
  <c r="B55" i="3"/>
  <c r="C55" i="3"/>
  <c r="BK55" i="3"/>
  <c r="Z44" i="3"/>
  <c r="Z62" i="3"/>
  <c r="Z95" i="3"/>
  <c r="Z97" i="3"/>
  <c r="C42" i="5"/>
  <c r="S215" i="2"/>
  <c r="S150" i="2"/>
  <c r="S206" i="2"/>
  <c r="D69" i="5"/>
  <c r="I100" i="2"/>
  <c r="AY114" i="2"/>
  <c r="AS44" i="3"/>
  <c r="AS62" i="3"/>
  <c r="AS95" i="3"/>
  <c r="AS97" i="3"/>
  <c r="C61" i="5"/>
  <c r="AO182" i="2"/>
  <c r="AO184" i="2"/>
  <c r="I75" i="2"/>
  <c r="I83" i="2"/>
  <c r="BK61" i="3"/>
  <c r="C61" i="3"/>
  <c r="M193" i="2"/>
  <c r="M70" i="2"/>
  <c r="M65" i="2"/>
  <c r="M227" i="2"/>
  <c r="AU79" i="2"/>
  <c r="AU33" i="2"/>
  <c r="BB44" i="3"/>
  <c r="BB62" i="3"/>
  <c r="BB95" i="3"/>
  <c r="BB97" i="3"/>
  <c r="C70" i="5"/>
  <c r="C33" i="5"/>
  <c r="Q97" i="3"/>
  <c r="Q95" i="3"/>
  <c r="Q62" i="3"/>
  <c r="Q44" i="3"/>
  <c r="S182" i="2"/>
  <c r="S184" i="2"/>
  <c r="O193" i="2"/>
  <c r="O70" i="2"/>
  <c r="O65" i="2"/>
  <c r="O227" i="2"/>
  <c r="D30" i="5"/>
  <c r="S199" i="2"/>
  <c r="S226" i="2"/>
  <c r="S149" i="2"/>
  <c r="S221" i="2"/>
  <c r="S198" i="2"/>
  <c r="S195" i="2"/>
  <c r="S220" i="2"/>
  <c r="S218" i="2"/>
  <c r="S216" i="2"/>
  <c r="S235" i="2"/>
  <c r="S151" i="2"/>
  <c r="S196" i="2"/>
  <c r="S100" i="2"/>
  <c r="S194" i="2"/>
  <c r="S219" i="2"/>
  <c r="S205" i="2"/>
  <c r="AK44" i="3"/>
  <c r="AK62" i="3"/>
  <c r="AK95" i="3"/>
  <c r="AK97" i="3"/>
  <c r="Q182" i="2"/>
  <c r="Q184" i="2"/>
  <c r="I149" i="2"/>
  <c r="AY195" i="2"/>
  <c r="C72" i="1"/>
  <c r="BD44" i="3"/>
  <c r="BD62" i="3"/>
  <c r="BD95" i="3"/>
  <c r="BD97" i="3"/>
  <c r="C72" i="5"/>
  <c r="D47" i="5"/>
  <c r="D29" i="5"/>
  <c r="AW69" i="2"/>
  <c r="D44" i="5"/>
  <c r="S33" i="2"/>
  <c r="S79" i="2"/>
  <c r="W227" i="2"/>
  <c r="W193" i="2"/>
  <c r="W75" i="2"/>
  <c r="W65" i="2"/>
  <c r="W70" i="2"/>
  <c r="D35" i="5"/>
  <c r="D67" i="5"/>
  <c r="AO79" i="2"/>
  <c r="AO33" i="2"/>
  <c r="I33" i="2"/>
  <c r="I79" i="2"/>
  <c r="AE83" i="2"/>
  <c r="AC83" i="2"/>
  <c r="C39" i="5"/>
  <c r="W97" i="3"/>
  <c r="W95" i="3"/>
  <c r="W62" i="3"/>
  <c r="W44" i="3"/>
  <c r="B25" i="4"/>
  <c r="B83" i="5"/>
  <c r="K69" i="2"/>
  <c r="D51" i="5"/>
  <c r="AE182" i="2"/>
  <c r="AE184" i="2"/>
  <c r="AW182" i="2"/>
  <c r="AW184" i="2"/>
  <c r="Y44" i="3"/>
  <c r="Y62" i="3"/>
  <c r="Y95" i="3"/>
  <c r="Y97" i="3"/>
  <c r="C41" i="5"/>
  <c r="W215" i="2"/>
  <c r="W150" i="2"/>
  <c r="W206" i="2"/>
  <c r="Q79" i="2"/>
  <c r="Q33" i="2"/>
  <c r="AQ206" i="2"/>
  <c r="AQ150" i="2"/>
  <c r="AQ215" i="2"/>
  <c r="D26" i="5"/>
  <c r="K74" i="2"/>
  <c r="K73" i="2"/>
  <c r="K184" i="2"/>
  <c r="K182" i="2"/>
  <c r="Y79" i="2"/>
  <c r="Y33" i="2"/>
  <c r="AS70" i="2"/>
  <c r="AS193" i="2"/>
  <c r="AQ69" i="2"/>
  <c r="AS75" i="2"/>
  <c r="AS65" i="2"/>
  <c r="AS227" i="2"/>
  <c r="AV97" i="3"/>
  <c r="AV95" i="3"/>
  <c r="AV62" i="3"/>
  <c r="AV44" i="3"/>
  <c r="I215" i="2"/>
  <c r="I206" i="2"/>
  <c r="C25" i="5"/>
  <c r="I97" i="3"/>
  <c r="I95" i="3"/>
  <c r="I62" i="3"/>
  <c r="I44" i="3"/>
  <c r="M79" i="2"/>
  <c r="M33" i="2"/>
  <c r="BE49" i="3"/>
  <c r="AA49" i="3"/>
  <c r="BI49" i="3"/>
  <c r="Z49" i="3"/>
  <c r="AY49" i="3"/>
  <c r="AX49" i="3"/>
  <c r="AZ49" i="3"/>
  <c r="U49" i="3"/>
  <c r="AR49" i="3"/>
  <c r="AC49" i="3"/>
  <c r="AF49" i="3"/>
  <c r="AV49" i="3"/>
  <c r="H49" i="3"/>
  <c r="BG49" i="3"/>
  <c r="AW49" i="3"/>
  <c r="AO49" i="3"/>
  <c r="Q49" i="3"/>
  <c r="AL49" i="3"/>
  <c r="AE49" i="3"/>
  <c r="O49" i="3"/>
  <c r="BH49" i="3"/>
  <c r="AK49" i="3"/>
  <c r="K49" i="3"/>
  <c r="AD49" i="3"/>
  <c r="AQ49" i="3"/>
  <c r="AU49" i="3"/>
  <c r="I49" i="3"/>
  <c r="BA49" i="3"/>
  <c r="AN49" i="3"/>
  <c r="R49" i="3"/>
  <c r="AH49" i="3"/>
  <c r="W49" i="3"/>
  <c r="AI49" i="3"/>
  <c r="AT49" i="3"/>
  <c r="BC49" i="3"/>
  <c r="L49" i="3"/>
  <c r="AS49" i="3"/>
  <c r="AB49" i="3"/>
  <c r="M49" i="3"/>
  <c r="F49" i="3"/>
  <c r="G49" i="3"/>
  <c r="X49" i="3"/>
  <c r="BJ49" i="3"/>
  <c r="N49" i="3"/>
  <c r="E49" i="3"/>
  <c r="S49" i="3"/>
  <c r="T49" i="3"/>
  <c r="Y49" i="3"/>
  <c r="AG49" i="3"/>
  <c r="D49" i="3"/>
  <c r="BD49" i="3"/>
  <c r="AM49" i="3"/>
  <c r="V49" i="3"/>
  <c r="BB49" i="3"/>
  <c r="AP49" i="3"/>
  <c r="AJ49" i="3"/>
  <c r="BF49" i="3"/>
  <c r="P49" i="3"/>
  <c r="J49" i="3"/>
  <c r="C71" i="5"/>
  <c r="BC97" i="3"/>
  <c r="BC95" i="3"/>
  <c r="BC62" i="3"/>
  <c r="BC44" i="3"/>
  <c r="AE193" i="2"/>
  <c r="AE227" i="2"/>
  <c r="AC69" i="2"/>
  <c r="AE75" i="2"/>
  <c r="AE65" i="2"/>
  <c r="AE70" i="2"/>
  <c r="AC227" i="2"/>
  <c r="AC70" i="2"/>
  <c r="AC75" i="2"/>
  <c r="AC65" i="2"/>
  <c r="AC193" i="2"/>
  <c r="AW70" i="2"/>
  <c r="AW227" i="2"/>
  <c r="AU69" i="2"/>
  <c r="AW75" i="2"/>
  <c r="AW65" i="2"/>
  <c r="AW193" i="2"/>
  <c r="AT44" i="3"/>
  <c r="AT62" i="3"/>
  <c r="AT95" i="3"/>
  <c r="AT97" i="3"/>
  <c r="C62" i="5"/>
  <c r="AQ83" i="2"/>
  <c r="D43" i="5"/>
  <c r="D76" i="5"/>
  <c r="AM220" i="2"/>
  <c r="AM216" i="2"/>
  <c r="AM72" i="2"/>
  <c r="AM100" i="2"/>
  <c r="AM196" i="2"/>
  <c r="AM198" i="2"/>
  <c r="AM151" i="2"/>
  <c r="AM226" i="2"/>
  <c r="AM218" i="2"/>
  <c r="AM194" i="2"/>
  <c r="AM221" i="2"/>
  <c r="AM205" i="2"/>
  <c r="AM235" i="2"/>
  <c r="AM149" i="2"/>
  <c r="AM219" i="2"/>
  <c r="AM199" i="2"/>
  <c r="AM195" i="2"/>
  <c r="AG149" i="2"/>
  <c r="AG218" i="2"/>
  <c r="AG196" i="2"/>
  <c r="AG226" i="2"/>
  <c r="AG216" i="2"/>
  <c r="AG151" i="2"/>
  <c r="AG235" i="2"/>
  <c r="AG195" i="2"/>
  <c r="AG220" i="2"/>
  <c r="AG205" i="2"/>
  <c r="AG219" i="2"/>
  <c r="AG100" i="2"/>
  <c r="AG198" i="2"/>
  <c r="AG199" i="2"/>
  <c r="AG194" i="2"/>
  <c r="AG72" i="2"/>
  <c r="AG221" i="2"/>
  <c r="AM33" i="2"/>
  <c r="AM79" i="2"/>
  <c r="W69" i="2"/>
  <c r="Y75" i="2"/>
  <c r="Y83" i="2"/>
  <c r="T44" i="3"/>
  <c r="T62" i="3"/>
  <c r="T95" i="3"/>
  <c r="T97" i="3"/>
  <c r="C36" i="5"/>
  <c r="B11" i="3"/>
  <c r="I150" i="2"/>
  <c r="AY196" i="2"/>
  <c r="C73" i="1"/>
  <c r="AQ79" i="2"/>
  <c r="AQ33" i="2"/>
  <c r="AB44" i="3"/>
  <c r="AB62" i="3"/>
  <c r="AB95" i="3"/>
  <c r="AB97" i="3"/>
  <c r="C44" i="5"/>
  <c r="BE44" i="3"/>
  <c r="BE62" i="3"/>
  <c r="BE95" i="3"/>
  <c r="BE97" i="3"/>
  <c r="S74" i="2"/>
  <c r="S73" i="2"/>
  <c r="B49" i="3"/>
  <c r="C49" i="3"/>
  <c r="BK49" i="3"/>
  <c r="AE44" i="3"/>
  <c r="AE62" i="3"/>
  <c r="AE95" i="3"/>
  <c r="AE97" i="3"/>
  <c r="C47" i="5"/>
  <c r="D28" i="5"/>
  <c r="C43" i="5"/>
  <c r="AA44" i="3"/>
  <c r="AA62" i="3"/>
  <c r="AA95" i="3"/>
  <c r="AA97" i="3"/>
  <c r="C56" i="5"/>
  <c r="AN44" i="3"/>
  <c r="AN62" i="3"/>
  <c r="AN95" i="3"/>
  <c r="AN97" i="3"/>
  <c r="D62" i="5"/>
  <c r="G146" i="5"/>
  <c r="E146" i="5"/>
  <c r="B21" i="4"/>
  <c r="B87" i="5"/>
  <c r="B20" i="4"/>
  <c r="BK98" i="3"/>
  <c r="B12" i="5"/>
  <c r="F146" i="5"/>
  <c r="Y149" i="2"/>
  <c r="Y198" i="2"/>
  <c r="Y205" i="2"/>
  <c r="Y219" i="2"/>
  <c r="Y216" i="2"/>
  <c r="Y199" i="2"/>
  <c r="Y100" i="2"/>
  <c r="Y221" i="2"/>
  <c r="Y218" i="2"/>
  <c r="Y235" i="2"/>
  <c r="Y195" i="2"/>
  <c r="Y196" i="2"/>
  <c r="Y226" i="2"/>
  <c r="Y194" i="2"/>
  <c r="Y151" i="2"/>
  <c r="Y220" i="2"/>
  <c r="AM184" i="2"/>
  <c r="AM182" i="2"/>
  <c r="AG33" i="2"/>
  <c r="AG79" i="2"/>
  <c r="D65" i="5"/>
  <c r="AE220" i="2"/>
  <c r="AE216" i="2"/>
  <c r="AE151" i="2"/>
  <c r="AE199" i="2"/>
  <c r="AE100" i="2"/>
  <c r="AE226" i="2"/>
  <c r="AE221" i="2"/>
  <c r="AE218" i="2"/>
  <c r="AE235" i="2"/>
  <c r="AE149" i="2"/>
  <c r="AE198" i="2"/>
  <c r="AE205" i="2"/>
  <c r="AE219" i="2"/>
  <c r="AE195" i="2"/>
  <c r="AE194" i="2"/>
  <c r="AE196" i="2"/>
  <c r="AE72" i="2"/>
  <c r="Q227" i="2"/>
  <c r="Q193" i="2"/>
  <c r="Q65" i="2"/>
  <c r="Q70" i="2"/>
  <c r="AI79" i="2"/>
  <c r="AI33" i="2"/>
  <c r="B13" i="4"/>
  <c r="I69" i="2"/>
  <c r="AY75" i="2"/>
  <c r="AY65" i="2"/>
  <c r="B5" i="5"/>
  <c r="B89" i="5"/>
  <c r="D75" i="5"/>
  <c r="D46" i="5"/>
  <c r="C67" i="5"/>
  <c r="AY44" i="3"/>
  <c r="AY62" i="3"/>
  <c r="AY95" i="3"/>
  <c r="AY97" i="3"/>
  <c r="W221" i="2"/>
  <c r="W196" i="2"/>
  <c r="W220" i="2"/>
  <c r="W226" i="2"/>
  <c r="W149" i="2"/>
  <c r="W198" i="2"/>
  <c r="W195" i="2"/>
  <c r="W216" i="2"/>
  <c r="W235" i="2"/>
  <c r="W194" i="2"/>
  <c r="W219" i="2"/>
  <c r="W151" i="2"/>
  <c r="W205" i="2"/>
  <c r="W218" i="2"/>
  <c r="W199" i="2"/>
  <c r="W100" i="2"/>
  <c r="AT51" i="3"/>
  <c r="BI51" i="3"/>
  <c r="AX51" i="3"/>
  <c r="U51" i="3"/>
  <c r="AM51" i="3"/>
  <c r="AH51" i="3"/>
  <c r="BA51" i="3"/>
  <c r="AL51" i="3"/>
  <c r="BJ51" i="3"/>
  <c r="T51" i="3"/>
  <c r="AA51" i="3"/>
  <c r="M51" i="3"/>
  <c r="AK51" i="3"/>
  <c r="AO51" i="3"/>
  <c r="P51" i="3"/>
  <c r="R51" i="3"/>
  <c r="Q51" i="3"/>
  <c r="AB51" i="3"/>
  <c r="AS51" i="3"/>
  <c r="G51" i="3"/>
  <c r="Z51" i="3"/>
  <c r="W51" i="3"/>
  <c r="AF51" i="3"/>
  <c r="L51" i="3"/>
  <c r="H51" i="3"/>
  <c r="X51" i="3"/>
  <c r="J51" i="3"/>
  <c r="V51" i="3"/>
  <c r="BB51" i="3"/>
  <c r="D51" i="3"/>
  <c r="BD51" i="3"/>
  <c r="BC51" i="3"/>
  <c r="E51" i="3"/>
  <c r="AI51" i="3"/>
  <c r="AR51" i="3"/>
  <c r="BG51" i="3"/>
  <c r="AN51" i="3"/>
  <c r="AD51" i="3"/>
  <c r="BH51" i="3"/>
  <c r="AE51" i="3"/>
  <c r="AG51" i="3"/>
  <c r="F51" i="3"/>
  <c r="AW51" i="3"/>
  <c r="AP51" i="3"/>
  <c r="O51" i="3"/>
  <c r="AQ51" i="3"/>
  <c r="I51" i="3"/>
  <c r="AC51" i="3"/>
  <c r="AZ51" i="3"/>
  <c r="BE51" i="3"/>
  <c r="BF51" i="3"/>
  <c r="Y51" i="3"/>
  <c r="S51" i="3"/>
  <c r="AV51" i="3"/>
  <c r="AY51" i="3"/>
  <c r="N51" i="3"/>
  <c r="AJ51" i="3"/>
  <c r="K51" i="3"/>
  <c r="AU51" i="3"/>
  <c r="M199" i="2"/>
  <c r="M194" i="2"/>
  <c r="M100" i="2"/>
  <c r="M149" i="2"/>
  <c r="M219" i="2"/>
  <c r="M196" i="2"/>
  <c r="M226" i="2"/>
  <c r="M151" i="2"/>
  <c r="M205" i="2"/>
  <c r="M221" i="2"/>
  <c r="M220" i="2"/>
  <c r="M216" i="2"/>
  <c r="M198" i="2"/>
  <c r="M235" i="2"/>
  <c r="M195" i="2"/>
  <c r="M218" i="2"/>
  <c r="AM83" i="2"/>
  <c r="F35" i="4"/>
  <c r="G98" i="5"/>
  <c r="G121" i="5"/>
  <c r="F119" i="5"/>
  <c r="H35" i="4"/>
  <c r="E123" i="5"/>
  <c r="I98" i="5"/>
  <c r="I100" i="5"/>
  <c r="F31" i="4"/>
  <c r="H121" i="5"/>
  <c r="H100" i="5"/>
  <c r="I123" i="5"/>
  <c r="G123" i="5"/>
  <c r="L37" i="4"/>
  <c r="I121" i="5"/>
  <c r="L34" i="4"/>
  <c r="F34" i="4"/>
  <c r="J37" i="4"/>
  <c r="F32" i="4"/>
  <c r="H34" i="4"/>
  <c r="I34" i="4"/>
  <c r="J35" i="4"/>
  <c r="F98" i="5"/>
  <c r="B82" i="5"/>
  <c r="K37" i="4"/>
  <c r="H99" i="5"/>
  <c r="H96" i="5"/>
  <c r="E97" i="5"/>
  <c r="K35" i="4"/>
  <c r="I33" i="4"/>
  <c r="H123" i="5"/>
  <c r="L36" i="4"/>
  <c r="F123" i="5"/>
  <c r="E119" i="5"/>
  <c r="J31" i="4"/>
  <c r="J33" i="4"/>
  <c r="G32" i="4"/>
  <c r="E122" i="5"/>
  <c r="G100" i="5"/>
  <c r="K34" i="4"/>
  <c r="I119" i="5"/>
  <c r="E96" i="5"/>
  <c r="H32" i="4"/>
  <c r="L35" i="4"/>
  <c r="J36" i="4"/>
  <c r="H122" i="5"/>
  <c r="F33" i="4"/>
  <c r="I97" i="5"/>
  <c r="L33" i="4"/>
  <c r="G35" i="4"/>
  <c r="G99" i="5"/>
  <c r="I31" i="4"/>
  <c r="L32" i="4"/>
  <c r="F37" i="4"/>
  <c r="H119" i="5"/>
  <c r="I120" i="5"/>
  <c r="E121" i="5"/>
  <c r="I36" i="4"/>
  <c r="G122" i="5"/>
  <c r="G37" i="4"/>
  <c r="F121" i="5"/>
  <c r="I99" i="5"/>
  <c r="F100" i="5"/>
  <c r="F120" i="5"/>
  <c r="G31" i="4"/>
  <c r="H31" i="4"/>
  <c r="K32" i="4"/>
  <c r="H97" i="5"/>
  <c r="E99" i="5"/>
  <c r="F99" i="5"/>
  <c r="K33" i="4"/>
  <c r="F36" i="4"/>
  <c r="H37" i="4"/>
  <c r="I122" i="5"/>
  <c r="I35" i="4"/>
  <c r="F96" i="5"/>
  <c r="K36" i="4"/>
  <c r="K31" i="4"/>
  <c r="L31" i="4"/>
  <c r="E100" i="5"/>
  <c r="G97" i="5"/>
  <c r="H33" i="4"/>
  <c r="G119" i="5"/>
  <c r="I96" i="5"/>
  <c r="E120" i="5"/>
  <c r="J32" i="4"/>
  <c r="F97" i="5"/>
  <c r="G36" i="4"/>
  <c r="F122" i="5"/>
  <c r="H98" i="5"/>
  <c r="J34" i="4"/>
  <c r="I37" i="4"/>
  <c r="H36" i="4"/>
  <c r="G96" i="5"/>
  <c r="E98" i="5"/>
  <c r="H120" i="5"/>
  <c r="G120" i="5"/>
  <c r="G34" i="4"/>
  <c r="I32" i="4"/>
  <c r="G33" i="4"/>
  <c r="AQ193" i="2"/>
  <c r="AQ227" i="2"/>
  <c r="AO69" i="2"/>
  <c r="AQ75" i="2"/>
  <c r="AQ65" i="2"/>
  <c r="AQ70" i="2"/>
  <c r="AQ235" i="2"/>
  <c r="AQ72" i="2"/>
  <c r="AQ149" i="2"/>
  <c r="AQ196" i="2"/>
  <c r="AQ226" i="2"/>
  <c r="AQ198" i="2"/>
  <c r="AQ195" i="2"/>
  <c r="AQ199" i="2"/>
  <c r="AQ218" i="2"/>
  <c r="AQ100" i="2"/>
  <c r="AQ220" i="2"/>
  <c r="AQ216" i="2"/>
  <c r="AQ151" i="2"/>
  <c r="AQ221" i="2"/>
  <c r="AQ194" i="2"/>
  <c r="AQ205" i="2"/>
  <c r="AQ74" i="2"/>
  <c r="AQ73" i="2"/>
  <c r="AQ219" i="2"/>
  <c r="Q219" i="2"/>
  <c r="Q194" i="2"/>
  <c r="Q205" i="2"/>
  <c r="Q235" i="2"/>
  <c r="Q149" i="2"/>
  <c r="Q216" i="2"/>
  <c r="Q199" i="2"/>
  <c r="Q221" i="2"/>
  <c r="Q100" i="2"/>
  <c r="Q226" i="2"/>
  <c r="Q151" i="2"/>
  <c r="Q198" i="2"/>
  <c r="Q196" i="2"/>
  <c r="Q195" i="2"/>
  <c r="Q220" i="2"/>
  <c r="Q218" i="2"/>
  <c r="F33" i="2"/>
  <c r="D77" i="5"/>
  <c r="AO220" i="2"/>
  <c r="AO196" i="2"/>
  <c r="AO205" i="2"/>
  <c r="AO199" i="2"/>
  <c r="AO194" i="2"/>
  <c r="AO72" i="2"/>
  <c r="AO219" i="2"/>
  <c r="AO226" i="2"/>
  <c r="AO235" i="2"/>
  <c r="AO151" i="2"/>
  <c r="AO100" i="2"/>
  <c r="AO149" i="2"/>
  <c r="AO195" i="2"/>
  <c r="AO198" i="2"/>
  <c r="AO216" i="2"/>
  <c r="AO218" i="2"/>
  <c r="AO221" i="2"/>
  <c r="J61" i="3"/>
  <c r="BG61" i="3"/>
  <c r="R61" i="3"/>
  <c r="E61" i="3"/>
  <c r="Y61" i="3"/>
  <c r="BE61" i="3"/>
  <c r="O61" i="3"/>
  <c r="N61" i="3"/>
  <c r="AX61" i="3"/>
  <c r="AK61" i="3"/>
  <c r="K61" i="3"/>
  <c r="AD61" i="3"/>
  <c r="P61" i="3"/>
  <c r="AE61" i="3"/>
  <c r="AT61" i="3"/>
  <c r="M61" i="3"/>
  <c r="H61" i="3"/>
  <c r="L61" i="3"/>
  <c r="AS61" i="3"/>
  <c r="AJ61" i="3"/>
  <c r="BD61" i="3"/>
  <c r="AV61" i="3"/>
  <c r="AQ61" i="3"/>
  <c r="W61" i="3"/>
  <c r="BI61" i="3"/>
  <c r="T61" i="3"/>
  <c r="AM61" i="3"/>
  <c r="BC61" i="3"/>
  <c r="X61" i="3"/>
  <c r="BF61" i="3"/>
  <c r="AA61" i="3"/>
  <c r="AW61" i="3"/>
  <c r="AO61" i="3"/>
  <c r="AY61" i="3"/>
  <c r="U61" i="3"/>
  <c r="AG61" i="3"/>
  <c r="AB61" i="3"/>
  <c r="AN61" i="3"/>
  <c r="AP61" i="3"/>
  <c r="BA61" i="3"/>
  <c r="AC61" i="3"/>
  <c r="S61" i="3"/>
  <c r="AI61" i="3"/>
  <c r="G61" i="3"/>
  <c r="BJ61" i="3"/>
  <c r="AH61" i="3"/>
  <c r="F61" i="3"/>
  <c r="AL61" i="3"/>
  <c r="D61" i="3"/>
  <c r="I61" i="3"/>
  <c r="BB61" i="3"/>
  <c r="AF61" i="3"/>
  <c r="Z61" i="3"/>
  <c r="BH61" i="3"/>
  <c r="AZ61" i="3"/>
  <c r="Q61" i="3"/>
  <c r="AR61" i="3"/>
  <c r="V61" i="3"/>
  <c r="B61" i="3"/>
  <c r="AU61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D78" i="5"/>
  <c r="Y215" i="2"/>
  <c r="Y150" i="2"/>
  <c r="Y206" i="2"/>
  <c r="O100" i="2"/>
  <c r="O220" i="2"/>
  <c r="O218" i="2"/>
  <c r="O196" i="2"/>
  <c r="O198" i="2"/>
  <c r="O151" i="2"/>
  <c r="O216" i="2"/>
  <c r="O194" i="2"/>
  <c r="O221" i="2"/>
  <c r="O219" i="2"/>
  <c r="O235" i="2"/>
  <c r="O226" i="2"/>
  <c r="O195" i="2"/>
  <c r="O199" i="2"/>
  <c r="O149" i="2"/>
  <c r="O74" i="2"/>
  <c r="O73" i="2"/>
  <c r="O205" i="2"/>
  <c r="BK58" i="3"/>
  <c r="C58" i="3"/>
  <c r="V57" i="3"/>
  <c r="AE57" i="3"/>
  <c r="BC57" i="3"/>
  <c r="E57" i="3"/>
  <c r="AP57" i="3"/>
  <c r="AZ57" i="3"/>
  <c r="AJ57" i="3"/>
  <c r="N57" i="3"/>
  <c r="AG57" i="3"/>
  <c r="X57" i="3"/>
  <c r="R57" i="3"/>
  <c r="K57" i="3"/>
  <c r="S57" i="3"/>
  <c r="AL57" i="3"/>
  <c r="AX57" i="3"/>
  <c r="L57" i="3"/>
  <c r="F57" i="3"/>
  <c r="AH57" i="3"/>
  <c r="AW57" i="3"/>
  <c r="BD57" i="3"/>
  <c r="BG57" i="3"/>
  <c r="W57" i="3"/>
  <c r="AB57" i="3"/>
  <c r="Q57" i="3"/>
  <c r="AI57" i="3"/>
  <c r="G57" i="3"/>
  <c r="M57" i="3"/>
  <c r="AY57" i="3"/>
  <c r="AF57" i="3"/>
  <c r="AV57" i="3"/>
  <c r="AR57" i="3"/>
  <c r="D57" i="3"/>
  <c r="BA57" i="3"/>
  <c r="AC57" i="3"/>
  <c r="AS57" i="3"/>
  <c r="AQ57" i="3"/>
  <c r="BH57" i="3"/>
  <c r="U57" i="3"/>
  <c r="H57" i="3"/>
  <c r="BF57" i="3"/>
  <c r="O57" i="3"/>
  <c r="I57" i="3"/>
  <c r="AT57" i="3"/>
  <c r="Z57" i="3"/>
  <c r="BI57" i="3"/>
  <c r="AA57" i="3"/>
  <c r="BJ57" i="3"/>
  <c r="J57" i="3"/>
  <c r="T57" i="3"/>
  <c r="AM57" i="3"/>
  <c r="AU57" i="3"/>
  <c r="AO57" i="3"/>
  <c r="AK57" i="3"/>
  <c r="BB57" i="3"/>
  <c r="Y57" i="3"/>
  <c r="BE57" i="3"/>
  <c r="AN57" i="3"/>
  <c r="P57" i="3"/>
  <c r="AM74" i="2"/>
  <c r="AM73" i="2"/>
  <c r="B57" i="3"/>
  <c r="AD57" i="3"/>
  <c r="O52" i="3"/>
  <c r="Y52" i="3"/>
  <c r="BB52" i="3"/>
  <c r="M52" i="3"/>
  <c r="W52" i="3"/>
  <c r="AX52" i="3"/>
  <c r="J52" i="3"/>
  <c r="AN52" i="3"/>
  <c r="BG52" i="3"/>
  <c r="F52" i="3"/>
  <c r="N52" i="3"/>
  <c r="K52" i="3"/>
  <c r="AD52" i="3"/>
  <c r="AJ52" i="3"/>
  <c r="AC52" i="3"/>
  <c r="AI52" i="3"/>
  <c r="AA52" i="3"/>
  <c r="R52" i="3"/>
  <c r="AH52" i="3"/>
  <c r="I52" i="3"/>
  <c r="AM52" i="3"/>
  <c r="AY52" i="3"/>
  <c r="S52" i="3"/>
  <c r="BD52" i="3"/>
  <c r="X52" i="3"/>
  <c r="AP52" i="3"/>
  <c r="V52" i="3"/>
  <c r="AG52" i="3"/>
  <c r="BJ52" i="3"/>
  <c r="D52" i="3"/>
  <c r="BA52" i="3"/>
  <c r="AS52" i="3"/>
  <c r="U52" i="3"/>
  <c r="BE52" i="3"/>
  <c r="AW52" i="3"/>
  <c r="AB52" i="3"/>
  <c r="BH52" i="3"/>
  <c r="BF52" i="3"/>
  <c r="T52" i="3"/>
  <c r="E52" i="3"/>
  <c r="P52" i="3"/>
  <c r="Z52" i="3"/>
  <c r="AL52" i="3"/>
  <c r="AF52" i="3"/>
  <c r="BI52" i="3"/>
  <c r="AQ52" i="3"/>
  <c r="BC52" i="3"/>
  <c r="AZ52" i="3"/>
  <c r="G52" i="3"/>
  <c r="AO52" i="3"/>
  <c r="AV52" i="3"/>
  <c r="H52" i="3"/>
  <c r="Q52" i="3"/>
  <c r="AE52" i="3"/>
  <c r="AK52" i="3"/>
  <c r="AR52" i="3"/>
  <c r="AT52" i="3"/>
  <c r="AU52" i="3"/>
  <c r="AC74" i="2"/>
  <c r="AC73" i="2"/>
  <c r="B52" i="3"/>
  <c r="L52" i="3"/>
  <c r="AW79" i="2"/>
  <c r="AW33" i="2"/>
  <c r="AK48" i="3"/>
  <c r="AF48" i="3"/>
  <c r="V48" i="3"/>
  <c r="AH48" i="3"/>
  <c r="AL48" i="3"/>
  <c r="H48" i="3"/>
  <c r="AJ48" i="3"/>
  <c r="AR48" i="3"/>
  <c r="J48" i="3"/>
  <c r="Q48" i="3"/>
  <c r="BI48" i="3"/>
  <c r="AT48" i="3"/>
  <c r="AN48" i="3"/>
  <c r="E48" i="3"/>
  <c r="AZ48" i="3"/>
  <c r="P48" i="3"/>
  <c r="AG48" i="3"/>
  <c r="AU48" i="3"/>
  <c r="AV48" i="3"/>
  <c r="AY48" i="3"/>
  <c r="T48" i="3"/>
  <c r="AB48" i="3"/>
  <c r="U48" i="3"/>
  <c r="D48" i="3"/>
  <c r="AD48" i="3"/>
  <c r="AX48" i="3"/>
  <c r="BD48" i="3"/>
  <c r="F48" i="3"/>
  <c r="BG48" i="3"/>
  <c r="BA48" i="3"/>
  <c r="Z48" i="3"/>
  <c r="I48" i="3"/>
  <c r="R48" i="3"/>
  <c r="Y48" i="3"/>
  <c r="BE48" i="3"/>
  <c r="X48" i="3"/>
  <c r="N48" i="3"/>
  <c r="AE48" i="3"/>
  <c r="AI48" i="3"/>
  <c r="BF48" i="3"/>
  <c r="AQ48" i="3"/>
  <c r="BJ48" i="3"/>
  <c r="M48" i="3"/>
  <c r="BB48" i="3"/>
  <c r="AM48" i="3"/>
  <c r="AA48" i="3"/>
  <c r="AP48" i="3"/>
  <c r="BH48" i="3"/>
  <c r="BC48" i="3"/>
  <c r="AO48" i="3"/>
  <c r="AC48" i="3"/>
  <c r="L48" i="3"/>
  <c r="K48" i="3"/>
  <c r="AW48" i="3"/>
  <c r="AS48" i="3"/>
  <c r="O48" i="3"/>
  <c r="S48" i="3"/>
  <c r="W48" i="3"/>
  <c r="Q74" i="2"/>
  <c r="Q73" i="2"/>
  <c r="B48" i="3"/>
  <c r="G48" i="3"/>
  <c r="G58" i="3"/>
  <c r="X58" i="3"/>
  <c r="U58" i="3"/>
  <c r="P58" i="3"/>
  <c r="AE58" i="3"/>
  <c r="BA58" i="3"/>
  <c r="BC58" i="3"/>
  <c r="AY58" i="3"/>
  <c r="AH58" i="3"/>
  <c r="BF58" i="3"/>
  <c r="AR58" i="3"/>
  <c r="Y58" i="3"/>
  <c r="AS58" i="3"/>
  <c r="AG58" i="3"/>
  <c r="E58" i="3"/>
  <c r="D58" i="3"/>
  <c r="F58" i="3"/>
  <c r="AO58" i="3"/>
  <c r="K58" i="3"/>
  <c r="O58" i="3"/>
  <c r="AB58" i="3"/>
  <c r="AZ58" i="3"/>
  <c r="AK58" i="3"/>
  <c r="AD58" i="3"/>
  <c r="AW58" i="3"/>
  <c r="AP58" i="3"/>
  <c r="AU58" i="3"/>
  <c r="J58" i="3"/>
  <c r="AQ58" i="3"/>
  <c r="BJ58" i="3"/>
  <c r="AN58" i="3"/>
  <c r="Z58" i="3"/>
  <c r="BI58" i="3"/>
  <c r="AF58" i="3"/>
  <c r="BB58" i="3"/>
  <c r="R58" i="3"/>
  <c r="AA58" i="3"/>
  <c r="AX58" i="3"/>
  <c r="S58" i="3"/>
  <c r="Q58" i="3"/>
  <c r="BG58" i="3"/>
  <c r="W58" i="3"/>
  <c r="N58" i="3"/>
  <c r="I58" i="3"/>
  <c r="T58" i="3"/>
  <c r="AI58" i="3"/>
  <c r="AL58" i="3"/>
  <c r="BE58" i="3"/>
  <c r="AM58" i="3"/>
  <c r="AJ58" i="3"/>
  <c r="AV58" i="3"/>
  <c r="L58" i="3"/>
  <c r="H58" i="3"/>
  <c r="AT58" i="3"/>
  <c r="M58" i="3"/>
  <c r="AC58" i="3"/>
  <c r="V58" i="3"/>
  <c r="BH58" i="3"/>
  <c r="AO74" i="2"/>
  <c r="AO73" i="2"/>
  <c r="B58" i="3"/>
  <c r="BD58" i="3"/>
  <c r="AU194" i="2"/>
  <c r="AU218" i="2"/>
  <c r="AU198" i="2"/>
  <c r="AU216" i="2"/>
  <c r="AU226" i="2"/>
  <c r="AU235" i="2"/>
  <c r="AU219" i="2"/>
  <c r="AU221" i="2"/>
  <c r="AU220" i="2"/>
  <c r="AU149" i="2"/>
  <c r="AU195" i="2"/>
  <c r="AU196" i="2"/>
  <c r="AU151" i="2"/>
  <c r="AU205" i="2"/>
  <c r="AU100" i="2"/>
  <c r="AU199" i="2"/>
  <c r="AU72" i="2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D56" i="5"/>
  <c r="I221" i="2"/>
  <c r="I72" i="2"/>
  <c r="I219" i="2"/>
  <c r="I194" i="2"/>
  <c r="I195" i="2"/>
  <c r="I216" i="2"/>
  <c r="I198" i="2"/>
  <c r="I226" i="2"/>
  <c r="I205" i="2"/>
  <c r="I196" i="2"/>
  <c r="I199" i="2"/>
  <c r="I235" i="2"/>
  <c r="D33" i="2"/>
  <c r="I220" i="2"/>
  <c r="I218" i="2"/>
  <c r="AW220" i="2"/>
  <c r="AW199" i="2"/>
  <c r="AW194" i="2"/>
  <c r="AW205" i="2"/>
  <c r="AW216" i="2"/>
  <c r="AW195" i="2"/>
  <c r="AW218" i="2"/>
  <c r="AW221" i="2"/>
  <c r="AW100" i="2"/>
  <c r="AW226" i="2"/>
  <c r="AW149" i="2"/>
  <c r="AW198" i="2"/>
  <c r="AW235" i="2"/>
  <c r="AW219" i="2"/>
  <c r="AW196" i="2"/>
  <c r="AW74" i="2"/>
  <c r="AW73" i="2"/>
  <c r="AW151" i="2"/>
  <c r="AE215" i="2"/>
  <c r="AE150" i="2"/>
  <c r="AE206" i="2"/>
  <c r="AQ44" i="3"/>
  <c r="AQ62" i="3"/>
  <c r="AQ95" i="3"/>
  <c r="AQ97" i="3"/>
  <c r="C59" i="5"/>
  <c r="O69" i="2"/>
  <c r="Q75" i="2"/>
  <c r="Q83" i="2"/>
  <c r="AS226" i="2"/>
  <c r="AS199" i="2"/>
  <c r="AS220" i="2"/>
  <c r="AS151" i="2"/>
  <c r="AS100" i="2"/>
  <c r="AS219" i="2"/>
  <c r="AS216" i="2"/>
  <c r="AS194" i="2"/>
  <c r="AS221" i="2"/>
  <c r="AS218" i="2"/>
  <c r="AS72" i="2"/>
  <c r="AS196" i="2"/>
  <c r="AS205" i="2"/>
  <c r="AS195" i="2"/>
  <c r="AS149" i="2"/>
  <c r="AS198" i="2"/>
  <c r="AS235" i="2"/>
  <c r="AI199" i="2"/>
  <c r="AI149" i="2"/>
  <c r="AI196" i="2"/>
  <c r="AI198" i="2"/>
  <c r="AI151" i="2"/>
  <c r="AI219" i="2"/>
  <c r="AI194" i="2"/>
  <c r="AI195" i="2"/>
  <c r="AI220" i="2"/>
  <c r="AI216" i="2"/>
  <c r="AI205" i="2"/>
  <c r="AI226" i="2"/>
  <c r="AI100" i="2"/>
  <c r="AI235" i="2"/>
  <c r="AI221" i="2"/>
  <c r="AI72" i="2"/>
  <c r="AI74" i="2"/>
  <c r="AI73" i="2"/>
  <c r="AI218" i="2"/>
  <c r="AJ44" i="3"/>
  <c r="AJ62" i="3"/>
  <c r="AJ95" i="3"/>
  <c r="AJ97" i="3"/>
  <c r="C52" i="5"/>
  <c r="AK206" i="2"/>
  <c r="AK74" i="2"/>
  <c r="AK73" i="2"/>
  <c r="AK150" i="2"/>
  <c r="AK215" i="2"/>
  <c r="BA44" i="3"/>
  <c r="BA62" i="3"/>
  <c r="BA95" i="3"/>
  <c r="BA97" i="3"/>
  <c r="C69" i="5"/>
  <c r="W74" i="2"/>
  <c r="W73" i="2"/>
  <c r="W33" i="2"/>
  <c r="W79" i="2"/>
  <c r="AL46" i="3"/>
  <c r="G46" i="3"/>
  <c r="T46" i="3"/>
  <c r="AS46" i="3"/>
  <c r="AJ46" i="3"/>
  <c r="BI46" i="3"/>
  <c r="BB46" i="3"/>
  <c r="O46" i="3"/>
  <c r="BE46" i="3"/>
  <c r="AW46" i="3"/>
  <c r="BC46" i="3"/>
  <c r="AM46" i="3"/>
  <c r="K46" i="3"/>
  <c r="I46" i="3"/>
  <c r="AP46" i="3"/>
  <c r="AF46" i="3"/>
  <c r="AE46" i="3"/>
  <c r="R46" i="3"/>
  <c r="BD46" i="3"/>
  <c r="AG46" i="3"/>
  <c r="AX46" i="3"/>
  <c r="AA46" i="3"/>
  <c r="AK46" i="3"/>
  <c r="L46" i="3"/>
  <c r="Z46" i="3"/>
  <c r="N46" i="3"/>
  <c r="X46" i="3"/>
  <c r="AU46" i="3"/>
  <c r="AO46" i="3"/>
  <c r="AH46" i="3"/>
  <c r="AT46" i="3"/>
  <c r="BJ46" i="3"/>
  <c r="AN46" i="3"/>
  <c r="AZ46" i="3"/>
  <c r="W46" i="3"/>
  <c r="BF46" i="3"/>
  <c r="AD46" i="3"/>
  <c r="AY46" i="3"/>
  <c r="AR46" i="3"/>
  <c r="AB46" i="3"/>
  <c r="P46" i="3"/>
  <c r="AC46" i="3"/>
  <c r="J46" i="3"/>
  <c r="Q46" i="3"/>
  <c r="M46" i="3"/>
  <c r="AI46" i="3"/>
  <c r="H46" i="3"/>
  <c r="BA46" i="3"/>
  <c r="Y46" i="3"/>
  <c r="D46" i="3"/>
  <c r="U46" i="3"/>
  <c r="BG46" i="3"/>
  <c r="F46" i="3"/>
  <c r="AV46" i="3"/>
  <c r="S46" i="3"/>
  <c r="BH46" i="3"/>
  <c r="E46" i="3"/>
  <c r="V46" i="3"/>
  <c r="B46" i="3"/>
  <c r="AQ46" i="3"/>
  <c r="J44" i="3"/>
  <c r="J62" i="3"/>
  <c r="J95" i="3"/>
  <c r="J97" i="3"/>
  <c r="C26" i="5"/>
  <c r="AS74" i="2"/>
  <c r="AS73" i="2"/>
  <c r="AS184" i="2"/>
  <c r="AS182" i="2"/>
  <c r="V60" i="3"/>
  <c r="AO60" i="3"/>
  <c r="BI60" i="3"/>
  <c r="AY60" i="3"/>
  <c r="N60" i="3"/>
  <c r="AE60" i="3"/>
  <c r="H60" i="3"/>
  <c r="I60" i="3"/>
  <c r="E60" i="3"/>
  <c r="AU60" i="3"/>
  <c r="Z60" i="3"/>
  <c r="BF60" i="3"/>
  <c r="AF60" i="3"/>
  <c r="G60" i="3"/>
  <c r="AP60" i="3"/>
  <c r="K60" i="3"/>
  <c r="AM60" i="3"/>
  <c r="Q60" i="3"/>
  <c r="BD60" i="3"/>
  <c r="AR60" i="3"/>
  <c r="AG60" i="3"/>
  <c r="AL60" i="3"/>
  <c r="M60" i="3"/>
  <c r="R60" i="3"/>
  <c r="BC60" i="3"/>
  <c r="AQ60" i="3"/>
  <c r="X60" i="3"/>
  <c r="BA60" i="3"/>
  <c r="U60" i="3"/>
  <c r="BB60" i="3"/>
  <c r="J60" i="3"/>
  <c r="AA60" i="3"/>
  <c r="AV60" i="3"/>
  <c r="T60" i="3"/>
  <c r="P60" i="3"/>
  <c r="O60" i="3"/>
  <c r="AB60" i="3"/>
  <c r="AK60" i="3"/>
  <c r="BH60" i="3"/>
  <c r="Y60" i="3"/>
  <c r="D60" i="3"/>
  <c r="BE60" i="3"/>
  <c r="AX60" i="3"/>
  <c r="AW60" i="3"/>
  <c r="AN60" i="3"/>
  <c r="BG60" i="3"/>
  <c r="F60" i="3"/>
  <c r="AJ60" i="3"/>
  <c r="AH60" i="3"/>
  <c r="AI60" i="3"/>
  <c r="W60" i="3"/>
  <c r="L60" i="3"/>
  <c r="AC60" i="3"/>
  <c r="BJ60" i="3"/>
  <c r="AT60" i="3"/>
  <c r="S60" i="3"/>
  <c r="AD60" i="3"/>
  <c r="AS60" i="3"/>
  <c r="AU74" i="2"/>
  <c r="AU73" i="2"/>
  <c r="B60" i="3"/>
  <c r="AZ60" i="3"/>
  <c r="Y74" i="2"/>
  <c r="Y73" i="2"/>
  <c r="B51" i="3"/>
  <c r="C51" i="3"/>
  <c r="BK51" i="3"/>
  <c r="AH53" i="3"/>
  <c r="AW53" i="3"/>
  <c r="J53" i="3"/>
  <c r="AA53" i="3"/>
  <c r="AO53" i="3"/>
  <c r="BF53" i="3"/>
  <c r="AD53" i="3"/>
  <c r="H53" i="3"/>
  <c r="AB53" i="3"/>
  <c r="AU53" i="3"/>
  <c r="AR53" i="3"/>
  <c r="AZ53" i="3"/>
  <c r="AF53" i="3"/>
  <c r="G53" i="3"/>
  <c r="AY53" i="3"/>
  <c r="Q53" i="3"/>
  <c r="V53" i="3"/>
  <c r="BD53" i="3"/>
  <c r="X53" i="3"/>
  <c r="Y53" i="3"/>
  <c r="W53" i="3"/>
  <c r="AX53" i="3"/>
  <c r="AG53" i="3"/>
  <c r="AI53" i="3"/>
  <c r="D53" i="3"/>
  <c r="Z53" i="3"/>
  <c r="BC53" i="3"/>
  <c r="AP53" i="3"/>
  <c r="E53" i="3"/>
  <c r="AQ53" i="3"/>
  <c r="BG53" i="3"/>
  <c r="R53" i="3"/>
  <c r="U53" i="3"/>
  <c r="N53" i="3"/>
  <c r="AM53" i="3"/>
  <c r="AS53" i="3"/>
  <c r="T53" i="3"/>
  <c r="AJ53" i="3"/>
  <c r="K53" i="3"/>
  <c r="F53" i="3"/>
  <c r="AL53" i="3"/>
  <c r="BI53" i="3"/>
  <c r="AT53" i="3"/>
  <c r="S53" i="3"/>
  <c r="AC53" i="3"/>
  <c r="AK53" i="3"/>
  <c r="I53" i="3"/>
  <c r="AV53" i="3"/>
  <c r="BA53" i="3"/>
  <c r="BB53" i="3"/>
  <c r="L53" i="3"/>
  <c r="AE53" i="3"/>
  <c r="O53" i="3"/>
  <c r="BJ53" i="3"/>
  <c r="BH53" i="3"/>
  <c r="AN53" i="3"/>
  <c r="BE53" i="3"/>
  <c r="P53" i="3"/>
  <c r="AE74" i="2"/>
  <c r="AE73" i="2"/>
  <c r="B53" i="3"/>
  <c r="M53" i="3"/>
  <c r="P54" i="3"/>
  <c r="AH54" i="3"/>
  <c r="BB54" i="3"/>
  <c r="AU54" i="3"/>
  <c r="G54" i="3"/>
  <c r="AW54" i="3"/>
  <c r="I54" i="3"/>
  <c r="AP54" i="3"/>
  <c r="BD54" i="3"/>
  <c r="E54" i="3"/>
  <c r="Y54" i="3"/>
  <c r="AZ54" i="3"/>
  <c r="AM54" i="3"/>
  <c r="V54" i="3"/>
  <c r="AN54" i="3"/>
  <c r="AI54" i="3"/>
  <c r="J54" i="3"/>
  <c r="F54" i="3"/>
  <c r="BH54" i="3"/>
  <c r="Q54" i="3"/>
  <c r="AQ54" i="3"/>
  <c r="BG54" i="3"/>
  <c r="H54" i="3"/>
  <c r="BA54" i="3"/>
  <c r="AR54" i="3"/>
  <c r="D54" i="3"/>
  <c r="W54" i="3"/>
  <c r="K54" i="3"/>
  <c r="BE54" i="3"/>
  <c r="AC54" i="3"/>
  <c r="AJ54" i="3"/>
  <c r="T54" i="3"/>
  <c r="O54" i="3"/>
  <c r="X54" i="3"/>
  <c r="AT54" i="3"/>
  <c r="AX54" i="3"/>
  <c r="N54" i="3"/>
  <c r="AV54" i="3"/>
  <c r="S54" i="3"/>
  <c r="AL54" i="3"/>
  <c r="R54" i="3"/>
  <c r="AY54" i="3"/>
  <c r="M54" i="3"/>
  <c r="BC54" i="3"/>
  <c r="Z54" i="3"/>
  <c r="AK54" i="3"/>
  <c r="AA54" i="3"/>
  <c r="AG54" i="3"/>
  <c r="BJ54" i="3"/>
  <c r="AS54" i="3"/>
  <c r="U54" i="3"/>
  <c r="L54" i="3"/>
  <c r="BF54" i="3"/>
  <c r="AB54" i="3"/>
  <c r="AF54" i="3"/>
  <c r="AD54" i="3"/>
  <c r="AE54" i="3"/>
  <c r="AO54" i="3"/>
  <c r="AG74" i="2"/>
  <c r="AG73" i="2"/>
  <c r="B54" i="3"/>
  <c r="BI54" i="3"/>
  <c r="M44" i="3"/>
  <c r="M62" i="3"/>
  <c r="M95" i="3"/>
  <c r="M97" i="3"/>
  <c r="C29" i="5"/>
  <c r="M206" i="2"/>
  <c r="M74" i="2"/>
  <c r="M73" i="2"/>
  <c r="M150" i="2"/>
  <c r="M215" i="2"/>
  <c r="K13" i="4"/>
  <c r="G108" i="5"/>
  <c r="K12" i="4"/>
  <c r="H110" i="5"/>
  <c r="F108" i="5"/>
  <c r="I106" i="5"/>
  <c r="L12" i="4"/>
  <c r="B24" i="4"/>
  <c r="H109" i="5"/>
  <c r="G145" i="5"/>
  <c r="J12" i="4"/>
  <c r="I9" i="4"/>
  <c r="E145" i="5"/>
  <c r="H9" i="4"/>
  <c r="L9" i="4"/>
  <c r="F11" i="4"/>
  <c r="E108" i="5"/>
  <c r="K8" i="4"/>
  <c r="J9" i="4"/>
  <c r="H13" i="4"/>
  <c r="K11" i="4"/>
  <c r="E109" i="5"/>
  <c r="G9" i="4"/>
  <c r="G110" i="5"/>
  <c r="E106" i="5"/>
  <c r="L10" i="4"/>
  <c r="F10" i="4"/>
  <c r="I8" i="4"/>
  <c r="G107" i="5"/>
  <c r="I11" i="4"/>
  <c r="J8" i="4"/>
  <c r="H11" i="4"/>
  <c r="I107" i="5"/>
  <c r="I7" i="4"/>
  <c r="K9" i="4"/>
  <c r="L7" i="4"/>
  <c r="H12" i="4"/>
  <c r="I108" i="5"/>
  <c r="I110" i="5"/>
  <c r="G8" i="4"/>
  <c r="J10" i="4"/>
  <c r="F12" i="4"/>
  <c r="L8" i="4"/>
  <c r="F8" i="4"/>
  <c r="F145" i="5"/>
  <c r="H7" i="4"/>
  <c r="F109" i="5"/>
  <c r="E110" i="5"/>
  <c r="H10" i="4"/>
  <c r="L13" i="4"/>
  <c r="H8" i="4"/>
  <c r="G11" i="4"/>
  <c r="G13" i="4"/>
  <c r="I109" i="5"/>
  <c r="G7" i="4"/>
  <c r="G10" i="4"/>
  <c r="G109" i="5"/>
  <c r="K7" i="4"/>
  <c r="G106" i="5"/>
  <c r="H106" i="5"/>
  <c r="F7" i="4"/>
  <c r="G12" i="4"/>
  <c r="J7" i="4"/>
  <c r="I12" i="4"/>
  <c r="F13" i="4"/>
  <c r="E107" i="5"/>
  <c r="L11" i="4"/>
  <c r="K10" i="4"/>
  <c r="D130" i="5"/>
  <c r="F110" i="5"/>
  <c r="H107" i="5"/>
  <c r="B130" i="5"/>
  <c r="J13" i="4"/>
  <c r="F9" i="4"/>
  <c r="C130" i="5"/>
  <c r="F106" i="5"/>
  <c r="F107" i="5"/>
  <c r="I10" i="4"/>
  <c r="J11" i="4"/>
  <c r="H108" i="5"/>
  <c r="I74" i="2"/>
  <c r="I73" i="2"/>
  <c r="B44" i="3"/>
  <c r="C44" i="3"/>
  <c r="C62" i="3"/>
  <c r="C95" i="3"/>
  <c r="C97" i="3"/>
  <c r="C19" i="5"/>
  <c r="B81" i="5"/>
  <c r="I13" i="4"/>
  <c r="AM193" i="2"/>
  <c r="AM70" i="2"/>
  <c r="AK69" i="2"/>
  <c r="AM75" i="2"/>
  <c r="AM65" i="2"/>
  <c r="AM2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E3" authorId="0" shapeId="0" xr:uid="{00000000-0006-0000-0100-000001000000}">
      <text>
        <r>
          <rPr>
            <sz val="10"/>
            <rFont val="Arial"/>
            <family val="2"/>
          </rPr>
          <t xml:space="preserve">less clubhouse land
</t>
        </r>
      </text>
    </comment>
    <comment ref="Y25" authorId="0" shapeId="0" xr:uid="{00000000-0006-0000-0100-000004000000}">
      <text>
        <r>
          <rPr>
            <sz val="10"/>
            <rFont val="Arial"/>
            <family val="2"/>
          </rPr>
          <t>Jeremy Tan Jin Bang:
KM Condition:
- 4.40ac for Comm Plot
- 0.94ac for R.Pond
Only maximize comm plot.</t>
        </r>
      </text>
    </comment>
    <comment ref="AW25" authorId="0" shapeId="0" xr:uid="{00000000-0006-0000-0100-000005000000}">
      <text>
        <r>
          <rPr>
            <sz val="10"/>
            <rFont val="Arial"/>
            <family val="2"/>
          </rPr>
          <t>Jeremy Tan Jin Bang:
KM Condition:
- 4.40ac for Comm Plot
- 0.94ac for R.Pond
Only maximize comm plot.</t>
        </r>
      </text>
    </comment>
    <comment ref="AG38" authorId="0" shapeId="0" xr:uid="{00000000-0006-0000-0100-000006000000}">
      <text>
        <r>
          <rPr>
            <sz val="10"/>
            <rFont val="Arial"/>
            <family val="2"/>
          </rPr>
          <t xml:space="preserve">35 out of 113 units
</t>
        </r>
      </text>
    </comment>
    <comment ref="AI38" authorId="0" shapeId="0" xr:uid="{00000000-0006-0000-0100-000007000000}">
      <text>
        <r>
          <rPr>
            <sz val="10"/>
            <rFont val="Arial"/>
            <family val="2"/>
          </rPr>
          <t xml:space="preserve">45 out of 93 units
</t>
        </r>
      </text>
    </comment>
    <comment ref="AK38" authorId="0" shapeId="0" xr:uid="{00000000-0006-0000-0100-000008000000}">
      <text>
        <r>
          <rPr>
            <sz val="10"/>
            <rFont val="Arial"/>
            <family val="2"/>
          </rPr>
          <t xml:space="preserve">45 out of 93 units
</t>
        </r>
      </text>
    </comment>
    <comment ref="AG40" authorId="0" shapeId="0" xr:uid="{00000000-0006-0000-0100-000009000000}">
      <text>
        <r>
          <rPr>
            <sz val="10"/>
            <rFont val="Arial"/>
            <family val="2"/>
          </rPr>
          <t xml:space="preserve">45 out of 113 units
</t>
        </r>
      </text>
    </comment>
    <comment ref="AI40" authorId="0" shapeId="0" xr:uid="{00000000-0006-0000-0100-00000A000000}">
      <text>
        <r>
          <rPr>
            <sz val="10"/>
            <rFont val="Arial"/>
            <family val="2"/>
          </rPr>
          <t xml:space="preserve">21 out of 93
</t>
        </r>
      </text>
    </comment>
    <comment ref="AK40" authorId="0" shapeId="0" xr:uid="{00000000-0006-0000-0100-00000B000000}">
      <text>
        <r>
          <rPr>
            <sz val="10"/>
            <rFont val="Arial"/>
            <family val="2"/>
          </rPr>
          <t xml:space="preserve">21 out of 93
</t>
        </r>
      </text>
    </comment>
    <comment ref="AM40" authorId="0" shapeId="0" xr:uid="{00000000-0006-0000-0100-00000C000000}">
      <text>
        <r>
          <rPr>
            <sz val="10"/>
            <rFont val="Arial"/>
            <family val="2"/>
          </rPr>
          <t xml:space="preserve">54 out of 75 units
</t>
        </r>
      </text>
    </comment>
    <comment ref="AU40" authorId="0" shapeId="0" xr:uid="{00000000-0006-0000-0100-00000D000000}">
      <text>
        <r>
          <rPr>
            <sz val="10"/>
            <rFont val="Arial"/>
            <family val="2"/>
          </rPr>
          <t xml:space="preserve">55 out of 58 units
</t>
        </r>
      </text>
    </comment>
    <comment ref="AW40" authorId="0" shapeId="0" xr:uid="{00000000-0006-0000-0100-00000E000000}">
      <text>
        <r>
          <rPr>
            <sz val="10"/>
            <rFont val="Arial"/>
            <family val="2"/>
          </rPr>
          <t xml:space="preserve">55 out of 58 units
</t>
        </r>
      </text>
    </comment>
    <comment ref="AG44" authorId="0" shapeId="0" xr:uid="{00000000-0006-0000-0100-00000F000000}">
      <text>
        <r>
          <rPr>
            <sz val="10"/>
            <rFont val="Arial"/>
            <family val="2"/>
          </rPr>
          <t xml:space="preserve">22 out of 113 units
</t>
        </r>
      </text>
    </comment>
    <comment ref="AI44" authorId="0" shapeId="0" xr:uid="{00000000-0006-0000-0100-000010000000}">
      <text>
        <r>
          <rPr>
            <sz val="10"/>
            <rFont val="Arial"/>
            <family val="2"/>
          </rPr>
          <t xml:space="preserve">7 out of 93 units
</t>
        </r>
      </text>
    </comment>
    <comment ref="AK44" authorId="0" shapeId="0" xr:uid="{00000000-0006-0000-0100-000011000000}">
      <text>
        <r>
          <rPr>
            <sz val="10"/>
            <rFont val="Arial"/>
            <family val="2"/>
          </rPr>
          <t xml:space="preserve">7 out of 93 units
</t>
        </r>
      </text>
    </comment>
    <comment ref="AG46" authorId="0" shapeId="0" xr:uid="{00000000-0006-0000-0100-000012000000}">
      <text>
        <r>
          <rPr>
            <sz val="10"/>
            <rFont val="Arial"/>
            <family val="2"/>
          </rPr>
          <t xml:space="preserve">11 out of 113 units
</t>
        </r>
      </text>
    </comment>
    <comment ref="AI46" authorId="0" shapeId="0" xr:uid="{00000000-0006-0000-0100-000013000000}">
      <text>
        <r>
          <rPr>
            <sz val="10"/>
            <rFont val="Arial"/>
            <family val="2"/>
          </rPr>
          <t xml:space="preserve">10 out of 93
</t>
        </r>
      </text>
    </comment>
    <comment ref="AK46" authorId="0" shapeId="0" xr:uid="{00000000-0006-0000-0100-000014000000}">
      <text>
        <r>
          <rPr>
            <sz val="10"/>
            <rFont val="Arial"/>
            <family val="2"/>
          </rPr>
          <t xml:space="preserve">10 out of 93
</t>
        </r>
      </text>
    </comment>
    <comment ref="AM46" authorId="0" shapeId="0" xr:uid="{00000000-0006-0000-0100-000015000000}">
      <text>
        <r>
          <rPr>
            <sz val="10"/>
            <rFont val="Arial"/>
            <family val="2"/>
          </rPr>
          <t xml:space="preserve">21 out of 75 units
</t>
        </r>
      </text>
    </comment>
    <comment ref="S63" authorId="0" shapeId="0" xr:uid="{00000000-0006-0000-0100-000016000000}">
      <text>
        <r>
          <rPr>
            <sz val="10"/>
            <rFont val="Arial"/>
            <family val="2"/>
          </rPr>
          <t xml:space="preserve">3.96ac x 11.3 units/ac = 45Nos
</t>
        </r>
      </text>
    </comment>
    <comment ref="U63" authorId="0" shapeId="0" xr:uid="{00000000-0006-0000-0100-000017000000}">
      <text>
        <r>
          <rPr>
            <sz val="10"/>
            <rFont val="Arial"/>
            <family val="2"/>
          </rPr>
          <t xml:space="preserve">3.96ac x 11.3 units/ac = 45Nos
</t>
        </r>
      </text>
    </comment>
    <comment ref="W63" authorId="0" shapeId="0" xr:uid="{00000000-0006-0000-0100-000018000000}">
      <text>
        <r>
          <rPr>
            <sz val="10"/>
            <rFont val="Arial"/>
            <family val="2"/>
          </rPr>
          <t>101 units based on FS</t>
        </r>
      </text>
    </comment>
    <comment ref="BA63" authorId="0" shapeId="0" xr:uid="{00000000-0006-0000-0100-000019000000}">
      <text>
        <r>
          <rPr>
            <sz val="10"/>
            <rFont val="Arial"/>
            <family val="2"/>
          </rPr>
          <t xml:space="preserve">3.96ac x 11.3 units/ac = 45Nos
</t>
        </r>
      </text>
    </comment>
    <comment ref="AE76" authorId="0" shapeId="0" xr:uid="{00000000-0006-0000-0100-00001A000000}">
      <text>
        <r>
          <rPr>
            <sz val="10"/>
            <rFont val="Arial"/>
            <family val="2"/>
          </rPr>
          <t>Hana Nordin:
3.25%</t>
        </r>
      </text>
    </comment>
    <comment ref="AE80" authorId="0" shapeId="0" xr:uid="{00000000-0006-0000-0100-00001B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GDV for all units 173</t>
        </r>
      </text>
    </comment>
    <comment ref="AE81" authorId="0" shapeId="0" xr:uid="{00000000-0006-0000-0100-00001C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NDV for all units 173</t>
        </r>
      </text>
    </comment>
    <comment ref="U88" authorId="0" shapeId="0" xr:uid="{00000000-0006-0000-0100-00001D000000}">
      <text>
        <r>
          <rPr>
            <sz val="10"/>
            <rFont val="Arial"/>
            <family val="2"/>
          </rPr>
          <t>Khairul Nadzrin Bin Hashim:
will be based on RM50 psf</t>
        </r>
      </text>
    </comment>
    <comment ref="M99" authorId="0" shapeId="0" xr:uid="{00000000-0006-0000-0100-00001E000000}">
      <text>
        <r>
          <rPr>
            <sz val="10"/>
            <rFont val="Arial"/>
            <family val="2"/>
          </rPr>
          <t xml:space="preserve">35,815,413 - P1 common infra - common landscape = 33,516,525 ie Prinsiptek contract
</t>
        </r>
      </text>
    </comment>
    <comment ref="BA133" authorId="0" shapeId="0" xr:uid="{00000000-0006-0000-0100-00001F000000}">
      <text>
        <r>
          <rPr>
            <sz val="10"/>
            <rFont val="Arial"/>
            <family val="2"/>
          </rPr>
          <t>Jeremy Tan Jin Bang:
Follow QS estimate RM1.69 psf to GFA 1477653sqft</t>
        </r>
      </text>
    </comment>
    <comment ref="I136" authorId="0" shapeId="0" xr:uid="{00000000-0006-0000-0100-000020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K136" authorId="0" shapeId="0" xr:uid="{00000000-0006-0000-0100-000021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M136" authorId="0" shapeId="0" xr:uid="{00000000-0006-0000-0100-000022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O136" authorId="0" shapeId="0" xr:uid="{00000000-0006-0000-0100-000023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Q136" authorId="0" shapeId="0" xr:uid="{00000000-0006-0000-0100-000024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S136" authorId="0" shapeId="0" xr:uid="{00000000-0006-0000-0100-000025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U136" authorId="0" shapeId="0" xr:uid="{00000000-0006-0000-0100-000026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W136" authorId="0" shapeId="0" xr:uid="{00000000-0006-0000-0100-000027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Y136" authorId="0" shapeId="0" xr:uid="{00000000-0006-0000-0100-000028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C136" authorId="0" shapeId="0" xr:uid="{00000000-0006-0000-0100-000029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E136" authorId="0" shapeId="0" xr:uid="{00000000-0006-0000-0100-00002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G136" authorId="0" shapeId="0" xr:uid="{00000000-0006-0000-0100-00002B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I136" authorId="0" shapeId="0" xr:uid="{00000000-0006-0000-0100-00002C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K136" authorId="0" shapeId="0" xr:uid="{00000000-0006-0000-0100-00002D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M136" authorId="0" shapeId="0" xr:uid="{00000000-0006-0000-0100-00002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O136" authorId="0" shapeId="0" xr:uid="{00000000-0006-0000-0100-00002F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Q136" authorId="0" shapeId="0" xr:uid="{00000000-0006-0000-0100-000030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S136" authorId="0" shapeId="0" xr:uid="{00000000-0006-0000-0100-000031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U136" authorId="0" shapeId="0" xr:uid="{00000000-0006-0000-0100-000032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W136" authorId="0" shapeId="0" xr:uid="{00000000-0006-0000-0100-000033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BA136" authorId="0" shapeId="0" xr:uid="{00000000-0006-0000-0100-000034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BA139" authorId="0" shapeId="0" xr:uid="{00000000-0006-0000-0100-000035000000}">
      <text>
        <r>
          <rPr>
            <sz val="10"/>
            <rFont val="Arial"/>
            <family val="2"/>
          </rPr>
          <t>Jeremy Tan Jin Bang:
2% instead of 3%</t>
        </r>
      </text>
    </comment>
    <comment ref="Q140" authorId="0" shapeId="0" xr:uid="{00000000-0006-0000-0100-000036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S140" authorId="0" shapeId="0" xr:uid="{00000000-0006-0000-0100-000037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W140" authorId="0" shapeId="0" xr:uid="{00000000-0006-0000-0100-00003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Y140" authorId="0" shapeId="0" xr:uid="{00000000-0006-0000-0100-000039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AW140" authorId="0" shapeId="0" xr:uid="{00000000-0006-0000-0100-00003A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AZ148" authorId="0" shapeId="0" xr:uid="{00000000-0006-0000-0100-00003B000000}">
      <text>
        <r>
          <rPr>
            <sz val="10"/>
            <rFont val="Arial"/>
            <family val="2"/>
          </rPr>
          <t>Hana Nordin:
savings</t>
        </r>
      </text>
    </comment>
    <comment ref="BA151" authorId="0" shapeId="0" xr:uid="{00000000-0006-0000-0100-00003C000000}">
      <text>
        <r>
          <rPr>
            <sz val="10"/>
            <rFont val="Arial"/>
            <family val="2"/>
          </rPr>
          <t>Jeremy Tan Jin Bang:
1% of GDV</t>
        </r>
      </text>
    </comment>
    <comment ref="I167" authorId="0" shapeId="0" xr:uid="{00000000-0006-0000-0100-00003D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K167" authorId="0" shapeId="0" xr:uid="{00000000-0006-0000-0100-00003E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M167" authorId="0" shapeId="0" xr:uid="{00000000-0006-0000-0100-00003F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O167" authorId="0" shapeId="0" xr:uid="{00000000-0006-0000-0100-000040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Q167" authorId="0" shapeId="0" xr:uid="{00000000-0006-0000-0100-000041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S167" authorId="0" shapeId="0" xr:uid="{00000000-0006-0000-0100-000042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U167" authorId="0" shapeId="0" xr:uid="{00000000-0006-0000-0100-000043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W167" authorId="0" shapeId="0" xr:uid="{00000000-0006-0000-0100-000044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Y167" authorId="0" shapeId="0" xr:uid="{00000000-0006-0000-0100-000045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C167" authorId="0" shapeId="0" xr:uid="{00000000-0006-0000-0100-000046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E167" authorId="0" shapeId="0" xr:uid="{00000000-0006-0000-0100-000047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G167" authorId="0" shapeId="0" xr:uid="{00000000-0006-0000-0100-000048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I167" authorId="0" shapeId="0" xr:uid="{00000000-0006-0000-0100-00004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K167" authorId="0" shapeId="0" xr:uid="{00000000-0006-0000-0100-00004A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M167" authorId="0" shapeId="0" xr:uid="{00000000-0006-0000-0100-00004B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O167" authorId="0" shapeId="0" xr:uid="{00000000-0006-0000-0100-00004C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Q167" authorId="0" shapeId="0" xr:uid="{00000000-0006-0000-0100-00004D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S167" authorId="0" shapeId="0" xr:uid="{00000000-0006-0000-0100-00004E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U167" authorId="0" shapeId="0" xr:uid="{00000000-0006-0000-0100-00004F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W167" authorId="0" shapeId="0" xr:uid="{00000000-0006-0000-0100-000050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BA167" authorId="0" shapeId="0" xr:uid="{00000000-0006-0000-0100-000051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BA173" authorId="0" shapeId="0" xr:uid="{00000000-0006-0000-0100-000052000000}">
      <text>
        <r>
          <rPr>
            <sz val="10"/>
            <rFont val="Arial"/>
            <family val="2"/>
          </rPr>
          <t>Jeremy Tan Jin Bang:
2% of GCC</t>
        </r>
      </text>
    </comment>
    <comment ref="AZ178" authorId="0" shapeId="0" xr:uid="{00000000-0006-0000-0100-000053000000}">
      <text>
        <r>
          <rPr>
            <sz val="10"/>
            <rFont val="Arial"/>
            <family val="2"/>
          </rPr>
          <t>Hana Nordin:
savings</t>
        </r>
      </text>
    </comment>
    <comment ref="BA184" authorId="0" shapeId="0" xr:uid="{00000000-0006-0000-0100-000054000000}">
      <text>
        <r>
          <rPr>
            <sz val="10"/>
            <rFont val="Arial"/>
            <family val="2"/>
          </rPr>
          <t>Jeremy Tan Jin Bang:
2% NDV</t>
        </r>
      </text>
    </comment>
  </commentList>
</comments>
</file>

<file path=xl/sharedStrings.xml><?xml version="1.0" encoding="utf-8"?>
<sst xmlns="http://schemas.openxmlformats.org/spreadsheetml/2006/main" count="1848" uniqueCount="1038">
  <si>
    <t>BRDB LAND — FEASIBILITY STUDY SUMMARY  |  Named Ranges Registry</t>
  </si>
  <si>
    <t>All values RM  |  Col D (live values) reads directly via named ranges  |  Col F = ExcelJS getValue() path for Nuxt dashboard</t>
  </si>
  <si>
    <t>Named Range</t>
  </si>
  <si>
    <t>Cell Ref</t>
  </si>
  <si>
    <t>Live Value</t>
  </si>
  <si>
    <t>Description</t>
  </si>
  <si>
    <t>Nuxt ExcelJS path</t>
  </si>
  <si>
    <t>DevLandArea_Acres</t>
  </si>
  <si>
    <t>Total dev land (acres)</t>
  </si>
  <si>
    <t>summary.devLandAcres</t>
  </si>
  <si>
    <t>TotalPhasesLandArea_Acres</t>
  </si>
  <si>
    <t>TotalPhasesLandArea_Sqft</t>
  </si>
  <si>
    <t>TotalUnits_AllPhases</t>
  </si>
  <si>
    <t>Total units — all phases</t>
  </si>
  <si>
    <t>summary.totalUnits</t>
  </si>
  <si>
    <t>TotalNFA_AllPhases_Sqft</t>
  </si>
  <si>
    <t>Total NFA — all phases (sqft)</t>
  </si>
  <si>
    <t>summary.totalNFASqft</t>
  </si>
  <si>
    <t>TotalGFA_ExcludeCP_Sqft</t>
  </si>
  <si>
    <t>Total GFA excl carpark (sqft)</t>
  </si>
  <si>
    <t>summary.totalGFASqft</t>
  </si>
  <si>
    <t>GDV WATERFALL</t>
  </si>
  <si>
    <t>GDV_Total</t>
  </si>
  <si>
    <t>Gross Development Value (RM)</t>
  </si>
  <si>
    <t>gdv.total</t>
  </si>
  <si>
    <t>GDV_GrossSellingPSF</t>
  </si>
  <si>
    <t>GDV gross selling price psf (RM)</t>
  </si>
  <si>
    <t>gdv.grossPSF</t>
  </si>
  <si>
    <t>BumiDiscount_Total</t>
  </si>
  <si>
    <t>Less: Bumiputera Discount (RM)</t>
  </si>
  <si>
    <t>gdv.bumiDiscount</t>
  </si>
  <si>
    <t>BumiPenalty_Total</t>
  </si>
  <si>
    <t>Less: Bumiputera Penalty (RM)</t>
  </si>
  <si>
    <t>gdv.bumiPenalty</t>
  </si>
  <si>
    <t>LegalFeesSelling_Total</t>
  </si>
  <si>
    <t>Less: Legal fees SPA (RM)</t>
  </si>
  <si>
    <t>gdv.legalFees</t>
  </si>
  <si>
    <t>EarlyBirdDiscount_Total</t>
  </si>
  <si>
    <t>Less: Early Bird Discount 9% (RM)</t>
  </si>
  <si>
    <t>gdv.earlyBird</t>
  </si>
  <si>
    <t>NDV_Total</t>
  </si>
  <si>
    <t>Net Development Value (RM)</t>
  </si>
  <si>
    <t>ndv.total</t>
  </si>
  <si>
    <t>NDV_NetSellingPSF</t>
  </si>
  <si>
    <t>NDV net selling price psf (RM)</t>
  </si>
  <si>
    <t>ndv.netPSF</t>
  </si>
  <si>
    <t>LAND &amp; RELATED COSTS</t>
  </si>
  <si>
    <t>LandRelatedCosts_Total</t>
  </si>
  <si>
    <t>Sec 5 — Land &amp; related total (RM)</t>
  </si>
  <si>
    <t>gdc.land.total</t>
  </si>
  <si>
    <t>LandCost_Total</t>
  </si>
  <si>
    <t xml:space="preserve">  5.1 Land cost (RM)</t>
  </si>
  <si>
    <t>gdc.land.landCost</t>
  </si>
  <si>
    <t>LandConversionPremium_Total</t>
  </si>
  <si>
    <t xml:space="preserve">  5.2 Land conversion premium (RM)</t>
  </si>
  <si>
    <t>gdc.land.conversionPremium</t>
  </si>
  <si>
    <t>QuitRent_Total</t>
  </si>
  <si>
    <t xml:space="preserve">  5.3 Quit rent (RM)</t>
  </si>
  <si>
    <t>gdc.land.quitRent</t>
  </si>
  <si>
    <t>Assessment_Total</t>
  </si>
  <si>
    <t xml:space="preserve">  5.4 Assessment (RM)</t>
  </si>
  <si>
    <t>gdc.land.assessment</t>
  </si>
  <si>
    <t>StampDuty_Total</t>
  </si>
  <si>
    <t xml:space="preserve">  5.5 Stamp duty on land (RM)</t>
  </si>
  <si>
    <t>gdc.land.stampDuty</t>
  </si>
  <si>
    <t>ValuationFee_Total</t>
  </si>
  <si>
    <t xml:space="preserve">  5.6 Valuation fee (RM)</t>
  </si>
  <si>
    <t>gdc.land.valuation</t>
  </si>
  <si>
    <t>LandAmalgamation_Total</t>
  </si>
  <si>
    <t xml:space="preserve">  5.7 Land amalgamation fee (RM)</t>
  </si>
  <si>
    <t>gdc.land.amalgamation</t>
  </si>
  <si>
    <t>GROSS CONSTRUCTION COST (GCC)</t>
  </si>
  <si>
    <t>GCC_Total</t>
  </si>
  <si>
    <t>Sec 6 — GCC total (RM)</t>
  </si>
  <si>
    <t>gdc.gcc.total</t>
  </si>
  <si>
    <t>GCC_PercentOfNDV</t>
  </si>
  <si>
    <t xml:space="preserve">  GCC % of NDV</t>
  </si>
  <si>
    <t>gdc.gcc.pctOfNDV</t>
  </si>
  <si>
    <t>GCC_ConstructionCostPSF</t>
  </si>
  <si>
    <t xml:space="preserve">  GCC construction cost psf (RM)</t>
  </si>
  <si>
    <t>gdc.gcc.costPSF</t>
  </si>
  <si>
    <t>SubstructurePiling_Total</t>
  </si>
  <si>
    <t xml:space="preserve">  Piling / substructure (RM)</t>
  </si>
  <si>
    <t>gdc.gcc.piling</t>
  </si>
  <si>
    <t>BuildingWork_Resi_Total</t>
  </si>
  <si>
    <t xml:space="preserve">  Building works resi (RM)</t>
  </si>
  <si>
    <t>gdc.gcc.buildingResi</t>
  </si>
  <si>
    <t>BuildingWork_Afford_Total</t>
  </si>
  <si>
    <t xml:space="preserve">  Building works affordable (RM)</t>
  </si>
  <si>
    <t>gdc.gcc.buildingAfford</t>
  </si>
  <si>
    <t>BuildingWork_Comm_Total</t>
  </si>
  <si>
    <t xml:space="preserve">  Building works commercial (RM)</t>
  </si>
  <si>
    <t>gdc.gcc.buildingComm</t>
  </si>
  <si>
    <t>KitchenCabinet_Total</t>
  </si>
  <si>
    <t xml:space="preserve">  Kitchen cabinet &amp; appliances (RM)</t>
  </si>
  <si>
    <t>gdc.gcc.kitchenCabinet</t>
  </si>
  <si>
    <t>IDWorks_Unit_Total</t>
  </si>
  <si>
    <t xml:space="preserve">  ID works — unit fit-out (RM)</t>
  </si>
  <si>
    <t>gdc.gcc.idWorks</t>
  </si>
  <si>
    <t>Earthworks_Total</t>
  </si>
  <si>
    <t xml:space="preserve">  Earthworks &amp; infrastructure (RM)</t>
  </si>
  <si>
    <t>gdc.gcc.earthworks</t>
  </si>
  <si>
    <t>Landscape_Total</t>
  </si>
  <si>
    <t xml:space="preserve">  Landscape (RM)</t>
  </si>
  <si>
    <t>gdc.gcc.landscape</t>
  </si>
  <si>
    <t>Clubhouse_Total</t>
  </si>
  <si>
    <t xml:space="preserve">  Clubhouse / show units (RM)</t>
  </si>
  <si>
    <t>gdc.gcc.clubhouse</t>
  </si>
  <si>
    <t>Preliminaries_Total</t>
  </si>
  <si>
    <t xml:space="preserve">  Preliminaries 8% (RM)</t>
  </si>
  <si>
    <t>gdc.gcc.prelim</t>
  </si>
  <si>
    <t>Contingency_Total</t>
  </si>
  <si>
    <t xml:space="preserve">  Contingency 5% (RM)</t>
  </si>
  <si>
    <t>gdc.gcc.contingency</t>
  </si>
  <si>
    <t>ContractStamping_Total</t>
  </si>
  <si>
    <t xml:space="preserve">  Contract stamping 0.1% (RM)</t>
  </si>
  <si>
    <t>gdc.gcc.contractStamp</t>
  </si>
  <si>
    <t>STRATA, PLANNING &amp; AUTHORITIES</t>
  </si>
  <si>
    <t>StrataSurveyFees_Total</t>
  </si>
  <si>
    <t>Sec 7 — Strata &amp; survey fees (RM)</t>
  </si>
  <si>
    <t>gdc.strata.total</t>
  </si>
  <si>
    <t>PlanningBPFees_Total</t>
  </si>
  <si>
    <t>Sec 8 — Planning &amp; BP fees (RM)</t>
  </si>
  <si>
    <t>gdc.planning.total</t>
  </si>
  <si>
    <t>ContribAuthorities_Total</t>
  </si>
  <si>
    <t>Sec 9 — Authority contribs total (RM)</t>
  </si>
  <si>
    <t>gdc.authorities.total</t>
  </si>
  <si>
    <t>DevCharges_Total</t>
  </si>
  <si>
    <t xml:space="preserve">  Dev charges 1% NDV (RM)</t>
  </si>
  <si>
    <t>gdc.authorities.devCharges</t>
  </si>
  <si>
    <t>SYABAS_Total</t>
  </si>
  <si>
    <t xml:space="preserve">  SYABAS 0.25% NDV (RM)</t>
  </si>
  <si>
    <t>gdc.authorities.syabas</t>
  </si>
  <si>
    <t>IWK_JPS_Total</t>
  </si>
  <si>
    <t xml:space="preserve">  IWK &amp; JPS 1% NDV (RM)</t>
  </si>
  <si>
    <t>gdc.authorities.iwkJps</t>
  </si>
  <si>
    <t>TNB_Total</t>
  </si>
  <si>
    <t xml:space="preserve">  TNB per unit (RM)</t>
  </si>
  <si>
    <t>gdc.authorities.tnb</t>
  </si>
  <si>
    <t>Telekom_Total</t>
  </si>
  <si>
    <t xml:space="preserve">  Telekom / UNIFI (RM)</t>
  </si>
  <si>
    <t>gdc.authorities.telekom</t>
  </si>
  <si>
    <t>RoadDrainage_Total</t>
  </si>
  <si>
    <t xml:space="preserve">  Road &amp; drainage (RM)</t>
  </si>
  <si>
    <t>gdc.authorities.roadDrain</t>
  </si>
  <si>
    <t>ISF_Total</t>
  </si>
  <si>
    <t xml:space="preserve">  ISF (RM)</t>
  </si>
  <si>
    <t>gdc.authorities.isf</t>
  </si>
  <si>
    <t>GBI_GreenRE_Total</t>
  </si>
  <si>
    <t xml:space="preserve">  GBI / Green RE cert (RM)</t>
  </si>
  <si>
    <t>gdc.authorities.gbi</t>
  </si>
  <si>
    <t>HoardingFee_Total</t>
  </si>
  <si>
    <t xml:space="preserve">  Hoarding permit fee (RM)</t>
  </si>
  <si>
    <t>gdc.authorities.hoarding</t>
  </si>
  <si>
    <t>COBDeposit_Total</t>
  </si>
  <si>
    <t xml:space="preserve">  COB deposit (RM)</t>
  </si>
  <si>
    <t>gdc.authorities.cob</t>
  </si>
  <si>
    <t>CONSULTANCY, OTHER &amp; SITE ADMIN</t>
  </si>
  <si>
    <t>ConsultancyFees_Total</t>
  </si>
  <si>
    <t>Sec 10 — Consultancy fees (RM)</t>
  </si>
  <si>
    <t>gdc.consultancy.total</t>
  </si>
  <si>
    <t>OtherConstructionCost_Total</t>
  </si>
  <si>
    <t>Sec 11 — Other construction cost (RM)</t>
  </si>
  <si>
    <t>gdc.otherCost.total</t>
  </si>
  <si>
    <t>SoilInvestigation_Total</t>
  </si>
  <si>
    <t xml:space="preserve">  Soil investigation (RM)</t>
  </si>
  <si>
    <t>gdc.otherCost.soilInvest</t>
  </si>
  <si>
    <t>SiteAdmin_Total</t>
  </si>
  <si>
    <t>Sec 12 — Site admin 2% GCC (RM)</t>
  </si>
  <si>
    <t>gdc.siteAdmin.total</t>
  </si>
  <si>
    <t>GDC SUBTOTALS</t>
  </si>
  <si>
    <t>GDC_BeforeMarketing</t>
  </si>
  <si>
    <t>GDC before S&amp;M (RM)</t>
  </si>
  <si>
    <t>gdc.subtotals.beforeMarketing</t>
  </si>
  <si>
    <t>GDC_BeforeLandCost</t>
  </si>
  <si>
    <t>GDC before land cost (RM)</t>
  </si>
  <si>
    <t>gdc.subtotals.beforeLand</t>
  </si>
  <si>
    <t>MARKETING &amp; SELLING EXPENSES</t>
  </si>
  <si>
    <t>SandM_Total</t>
  </si>
  <si>
    <t>Sec 15 — S&amp;M expenses total (RM)</t>
  </si>
  <si>
    <t>gdc.sm.total</t>
  </si>
  <si>
    <t>MarketingExpenses_Total</t>
  </si>
  <si>
    <t xml:space="preserve">  General marketing expenses (RM)</t>
  </si>
  <si>
    <t>gdc.sm.generalMarketing</t>
  </si>
  <si>
    <t>Commission_Internal_Total</t>
  </si>
  <si>
    <t xml:space="preserve">  Commission — internal (80%×4%) (RM)</t>
  </si>
  <si>
    <t>gdc.sm.commInternal</t>
  </si>
  <si>
    <t>Commission_External_Total</t>
  </si>
  <si>
    <t xml:space="preserve">  Commission — external (100%×5%) (RM)</t>
  </si>
  <si>
    <t>gdc.sm.commExternal</t>
  </si>
  <si>
    <t>RepeatBuyers_Total</t>
  </si>
  <si>
    <t xml:space="preserve">  Repeat buyers / BGB rebate (RM)</t>
  </si>
  <si>
    <t>gdc.sm.bgb</t>
  </si>
  <si>
    <t>FreeSPA_Total</t>
  </si>
  <si>
    <t xml:space="preserve">  Free SPA &amp; loan legal fees (RM)</t>
  </si>
  <si>
    <t>gdc.sm.freeSPA</t>
  </si>
  <si>
    <t>AdditionalSalesPkg_Total</t>
  </si>
  <si>
    <t xml:space="preserve">  Additional sales package (RM)</t>
  </si>
  <si>
    <t>gdc.sm.salesPkg</t>
  </si>
  <si>
    <t>StaffDiscount_Total</t>
  </si>
  <si>
    <t xml:space="preserve">  Staff / director discount (RM)</t>
  </si>
  <si>
    <t>gdc.sm.staffDisc</t>
  </si>
  <si>
    <t>MaintenanceSinking_Total</t>
  </si>
  <si>
    <t xml:space="preserve">  Maintenance &amp; sinking fund (RM)</t>
  </si>
  <si>
    <t>gdc.sm.maintenance</t>
  </si>
  <si>
    <t>FINANCIAL CHARGES &amp; GDC AFTER FINANCE</t>
  </si>
  <si>
    <t>GDC_AfterMarketing</t>
  </si>
  <si>
    <t>GDC after S&amp;M, before finance (RM)</t>
  </si>
  <si>
    <t>gdc.subtotals.afterMarketing</t>
  </si>
  <si>
    <t>GDP_BeforeFinance</t>
  </si>
  <si>
    <t>GDP before financial charges (RM)</t>
  </si>
  <si>
    <t>gdp.beforeFinance</t>
  </si>
  <si>
    <t>FinancialCharges_Total</t>
  </si>
  <si>
    <t>Sec 16 — Financial charges total (RM)</t>
  </si>
  <si>
    <t>gdc.finance.total</t>
  </si>
  <si>
    <t>LandLoanInterest_Total</t>
  </si>
  <si>
    <t xml:space="preserve">  Land loan interest (RM)</t>
  </si>
  <si>
    <t>gdc.finance.landInterest</t>
  </si>
  <si>
    <t>ConstructionLoanInterest</t>
  </si>
  <si>
    <t xml:space="preserve">  Construction loan interest (RM)</t>
  </si>
  <si>
    <t>gdc.finance.constInterest</t>
  </si>
  <si>
    <t>GDC_AfterFinance</t>
  </si>
  <si>
    <t>GDC after financial charges (RM)</t>
  </si>
  <si>
    <t>gdc.subtotals.afterFinance</t>
  </si>
  <si>
    <t>GDP_AfterFinance</t>
  </si>
  <si>
    <t>GDP after financial charges (RM)</t>
  </si>
  <si>
    <t>gdp.afterFinance</t>
  </si>
  <si>
    <t>OVERHEADS</t>
  </si>
  <si>
    <t>ProjectDeptOverhead_Total</t>
  </si>
  <si>
    <t>Project dept overhead 1.4% NDV (RM)</t>
  </si>
  <si>
    <t>gdc.overhead.projectDept</t>
  </si>
  <si>
    <t>HeadOfficeOverhead_Total</t>
  </si>
  <si>
    <t>Head office overhead 3% NDV (RM)</t>
  </si>
  <si>
    <t>gdc.overhead.headOffice</t>
  </si>
  <si>
    <t>MktgDeptOverhead_Total</t>
  </si>
  <si>
    <t>Mktg dept overhead 0.5% NDV (RM)</t>
  </si>
  <si>
    <t>gdc.overhead.mktgDept</t>
  </si>
  <si>
    <t>CorporateOverhead_Total</t>
  </si>
  <si>
    <t>Corporate overhead 1% NDV (RM)</t>
  </si>
  <si>
    <t>gdc.overhead.corporate</t>
  </si>
  <si>
    <t>NDP &amp; RETURN KPIs</t>
  </si>
  <si>
    <t>NDP_Total</t>
  </si>
  <si>
    <t>Net Development Profit (RM)</t>
  </si>
  <si>
    <t>kpi.ndpTotal</t>
  </si>
  <si>
    <t>NDP_PctOfNDV</t>
  </si>
  <si>
    <t>NDP margin % on NDV</t>
  </si>
  <si>
    <t>kpi.ndpPctNDV</t>
  </si>
  <si>
    <t>NDP_PctOfGDV</t>
  </si>
  <si>
    <t>NDP margin % on GDV</t>
  </si>
  <si>
    <t>kpi.ndpPctGDV</t>
  </si>
  <si>
    <t>ProfitLandRatio</t>
  </si>
  <si>
    <t>Profit / Land Ratio (NDP ÷ land cost)</t>
  </si>
  <si>
    <t>kpi.profitLandRatio</t>
  </si>
  <si>
    <t>ExcelJS PARSER — server/api/[dealId]/financials.get.ts</t>
  </si>
  <si>
    <t>// server/api/[dealId]/financials.get.ts
import ExcelJS from 'exceljs'
export default defineEventHandler(async (event) =&gt; {
  const { dealId } = getRouterParams(event)
  const wb = new ExcelJS.Workbook()
  await wb.xlsx.readFile(`./data/${dealId}/financials.xlsx`)
  const getValue = (name: string): number | null =&gt; {
    const defined = wb.definedNames.getNames()
    const match = defined.find(n =&gt; n.name === name)
    if (!match) return null
    const [sheet, cell] = match.value.replace(/'/g, '').split('!')
    const ws = wb.getWorksheet(sheet)
    const raw = ws?.getCell(cell.replace(/\$/g, ''))?.value
    if (raw === null || raw === undefined) return null
    if (typeof raw === 'object' &amp;&amp; 'result' in raw) return raw.result as number
    return typeof raw === 'number' ? raw : null
  }
  return {
    summary: {
      originalLandAcres:    getValue('OriginalLandArea_Acres'),
      devLandAcres:         getValue('DevLandArea_Acres'),
      totalLandAcres:       getValue('TotalPhasesLandArea_Acres'),
      totalLandSqft:        getValue('TotalPhasesLandArea_Sqft'),
      totalUnits:           getValue('TotalUnits_AllPhases'),
      totalNFASqft:         getValue('TotalNFA_AllPhases_Sqft'),
    },
    gdv: {
      total:                getValue('GDV_Total'),
      grossPSF:             getValue('GDV_GrossSellingPSF'),
      bumiDiscount:         getValue('BumiDiscount_Total'),
      bumiPenalty:          getValue('BumiPenalty_Total'),
      earlyBird:            getValue('EarlyBirdDiscount_Total'),
    },
    ndv: {
      total:                getValue('NDV_Total'),
      netPSF:               getValue('NDV_NetSellingPSF'),
    },
    gdc: {
      land: {
        total:              getValue('LandRelatedCosts_Total'),
        landCost:           getValue('LandCost_Total'),
        stampDuty:          getValue('StampDuty_Total'),
        valuation:          getValue('ValuationFee_Total'),
      },
      gcc: {
        total:              getValue('GCC_Total'),
        pctOfNDV:           getValue('GCC_PercentOfNDV'),
        costPSF:            getValue('GCC_ConstructionCostPSF'),
        piling:             getValue('SubstructurePiling_Total'),
        buildingResi:       getValue('BuildingWork_Resi_Total'),
        earthworks:         getValue('Earthworks_Total'),
        prelim:             getValue('Preliminaries_Total'),
        contingency:        getValue('Contingency_Total'),
      },
      authorities: {
        total:              getValue('ContribAuthorities_Total'),
        telekom:            getValue('Telekom_Total'),
        gbi:                getValue('GBI_GreenRE_Total'),
      },
      sm: {
        total:              getValue('SandM_Total'),
        commission:         getValue('Commission_Internal_Total'),
        bgb:                getValue('RepeatBuyers_Total'),
      },
      finance: {
        total:              getValue('FinancialCharges_Total'),
        landInterest:       getValue('LandLoanInterest_Total'),
        constInterest:      getValue('ConstructionLoanInterest'),
      },
      afterFinance:         getValue('GDC_AfterFinance'),
    },
    kpi: {
      ndpTotal:             getValue('NDP_Total'),
      ndpPctNDV:            getValue('NDP_PctOfNDV'),
      ndpPctGDV:            getValue('NDP_PctOfGDV'),
      profitLandRatio:      getValue('ProfitLandRatio'),
    },
  }
})</t>
  </si>
  <si>
    <t>BRDB LAND</t>
  </si>
  <si>
    <t>OVERALL FEASIBILITY STUDY</t>
  </si>
  <si>
    <t>Phase 2j</t>
  </si>
  <si>
    <t>Acre to Sqft</t>
  </si>
  <si>
    <t>Phase 1a</t>
  </si>
  <si>
    <t>Phase 1b</t>
  </si>
  <si>
    <t>Phase 1c</t>
  </si>
  <si>
    <t>Phase 1d</t>
  </si>
  <si>
    <t>Phase 1e</t>
  </si>
  <si>
    <t>Phase 1f</t>
  </si>
  <si>
    <t>Phase 1g</t>
  </si>
  <si>
    <t>Phase 1h</t>
  </si>
  <si>
    <t xml:space="preserve">Phase 2a </t>
  </si>
  <si>
    <t>Phase 2B</t>
  </si>
  <si>
    <t>Phase 2c</t>
  </si>
  <si>
    <t>Phase 2d</t>
  </si>
  <si>
    <t>Phase 2e</t>
  </si>
  <si>
    <t>Phase 2f</t>
  </si>
  <si>
    <t>Phase 2g1</t>
  </si>
  <si>
    <t>Phase 2g2</t>
  </si>
  <si>
    <t>Phase 2g3</t>
  </si>
  <si>
    <t>Phase 2h</t>
  </si>
  <si>
    <t>LAUNCH DATE</t>
  </si>
  <si>
    <t>TBC</t>
  </si>
  <si>
    <t>TOTAL</t>
  </si>
  <si>
    <t>Phases Land Area (acres) =&gt;</t>
  </si>
  <si>
    <t>Phases Land Area (square meter) =&gt;</t>
  </si>
  <si>
    <t>Phases Land Area (square feet) =&gt;</t>
  </si>
  <si>
    <t>Saleable area in the Phase (NFA) =&gt;</t>
  </si>
  <si>
    <t>Carpark Bays (Required — authority minimum) =&gt;</t>
  </si>
  <si>
    <t>A</t>
  </si>
  <si>
    <t>GROSS DEVELOPMENT VALUE</t>
  </si>
  <si>
    <t>Mixed Comm</t>
  </si>
  <si>
    <t>Type of Development</t>
  </si>
  <si>
    <t>Mixed Development</t>
  </si>
  <si>
    <t>3 Sty Superlink</t>
  </si>
  <si>
    <t>Affordable Home</t>
  </si>
  <si>
    <t>Commercial</t>
  </si>
  <si>
    <t>S. Apartment</t>
  </si>
  <si>
    <t>S.Apartment</t>
  </si>
  <si>
    <t>2 Sty Linkhouse</t>
  </si>
  <si>
    <t>2 Sty Semi-D</t>
  </si>
  <si>
    <t xml:space="preserve"> Zero Lot Bungalow</t>
  </si>
  <si>
    <t>Condominium</t>
  </si>
  <si>
    <t>Recreational</t>
  </si>
  <si>
    <t>Terrace House</t>
  </si>
  <si>
    <t>Commercial Shoplot</t>
  </si>
  <si>
    <t xml:space="preserve">Total No of Units                                </t>
  </si>
  <si>
    <t xml:space="preserve">       a) Residential</t>
  </si>
  <si>
    <t>Shop-lot</t>
  </si>
  <si>
    <t>Retail Shoplots</t>
  </si>
  <si>
    <t>High Rise</t>
  </si>
  <si>
    <t>Park</t>
  </si>
  <si>
    <t>b) Commercial</t>
  </si>
  <si>
    <t>Total Saleable Area (NFA)</t>
  </si>
  <si>
    <t xml:space="preserve">  a) Residential</t>
  </si>
  <si>
    <t xml:space="preserve">Net Selling Price psf                                        </t>
  </si>
  <si>
    <t xml:space="preserve"> a) Residential</t>
  </si>
  <si>
    <t>Unit Avg size</t>
  </si>
  <si>
    <t>Units</t>
  </si>
  <si>
    <t>RM'psf Nett (NSA)</t>
  </si>
  <si>
    <t>Average Price/unit (Nett)</t>
  </si>
  <si>
    <t>Ph 1a - 3 Storey Superlinks</t>
  </si>
  <si>
    <t>Superlink (24' x 65')Intermediate</t>
  </si>
  <si>
    <t>Superlink (24' x 65') Corner</t>
  </si>
  <si>
    <t>Superlink (26' x 65') Intermediate</t>
  </si>
  <si>
    <t>Superlink (26' x 65')Corner</t>
  </si>
  <si>
    <t>Superlink (30' x 65') Intermediate</t>
  </si>
  <si>
    <t>Superlink (30' x 65') Corner</t>
  </si>
  <si>
    <t>Superlink (24' x 70') Intermediate</t>
  </si>
  <si>
    <t>Superlink (24' x 70') Corner</t>
  </si>
  <si>
    <t>Superlink (26' x 70') Intermediate</t>
  </si>
  <si>
    <t>Superlink (26' x 70') Corner</t>
  </si>
  <si>
    <t>Superlink (30' x 70') Intermediate</t>
  </si>
  <si>
    <t>Superlink (30' x 70') Corner</t>
  </si>
  <si>
    <t>Ph 1b - 3 Storey Superlinks</t>
  </si>
  <si>
    <t>Ph 1c - Affordable</t>
  </si>
  <si>
    <t>Ph 1d - Affordable</t>
  </si>
  <si>
    <t xml:space="preserve">Ph 1e - Commercial </t>
  </si>
  <si>
    <t>Ph 1f - Mixed Commercial</t>
  </si>
  <si>
    <t xml:space="preserve">           -Serviced Apartment</t>
  </si>
  <si>
    <t xml:space="preserve">           -Retail Shoplots</t>
  </si>
  <si>
    <t>Ph 1g - Commercial Shoplot</t>
  </si>
  <si>
    <t>Ph 1h - Commercial Shoplot</t>
  </si>
  <si>
    <t xml:space="preserve">Ph 2a - Double Storey Terraces </t>
  </si>
  <si>
    <t xml:space="preserve">Ph 2b - Double Storey Terraces </t>
  </si>
  <si>
    <t>Ph 2c - Double Storey Terraces</t>
  </si>
  <si>
    <t>Ph 2d -Double Storey Terraces</t>
  </si>
  <si>
    <t>Ph 2e -Terrace Villa</t>
  </si>
  <si>
    <t>Ph 2f  - Zero Lot Bungalow</t>
  </si>
  <si>
    <t>Ph 2g1 - Condominium</t>
  </si>
  <si>
    <t>Ph 2g2 - Condominium</t>
  </si>
  <si>
    <t>Ph 2g3 - Park</t>
  </si>
  <si>
    <t>Ph 2h - Terrace House</t>
  </si>
  <si>
    <t>Ph 2j - Commercial Shoplot</t>
  </si>
  <si>
    <t>GROSS DEVELOPMENT VALUE (GDV)</t>
  </si>
  <si>
    <t>Gross Selling Price psf</t>
  </si>
  <si>
    <t>Less : Bumiputera Penalty (unsold Bumi unit release)</t>
  </si>
  <si>
    <t>of NDV</t>
  </si>
  <si>
    <t>Less : Selling Expenses</t>
  </si>
  <si>
    <t>Legal Fees *</t>
  </si>
  <si>
    <t>Less: Early Bird Discount</t>
  </si>
  <si>
    <t>Discount *</t>
  </si>
  <si>
    <t>*Net Development Value (NDV) have to be same with S&amp;M based on net selling price after deduction of all discounts (bumi discounts &amp; release penalty), incentives, early birds, Legal Fees &amp; any other items not stated in this Feasibility. Sales have to mark up the selling price accordingly.</t>
  </si>
  <si>
    <t>NET DEVELOPMENT VALUE (NDV)</t>
  </si>
  <si>
    <t>Net Selling Price psf</t>
  </si>
  <si>
    <t>B</t>
  </si>
  <si>
    <t>GROSS DEVELOPMENT COST (GDC)</t>
  </si>
  <si>
    <t>I82*$D$83</t>
  </si>
  <si>
    <t>K82*$D$83</t>
  </si>
  <si>
    <t>M82*$D$83</t>
  </si>
  <si>
    <t>O82*$D$83</t>
  </si>
  <si>
    <t>Q82*$D$83</t>
  </si>
  <si>
    <t>S82*$D$83</t>
  </si>
  <si>
    <t>W82*$D$83</t>
  </si>
  <si>
    <t>Y82*$D$83</t>
  </si>
  <si>
    <t>AC82*$D$83</t>
  </si>
  <si>
    <t>AE82*$D$83</t>
  </si>
  <si>
    <t>AG82*$D$83</t>
  </si>
  <si>
    <t>AI82*$D$83</t>
  </si>
  <si>
    <t>AK82*$D$83</t>
  </si>
  <si>
    <t>AM82*$D$83</t>
  </si>
  <si>
    <t>AO82*$D$83</t>
  </si>
  <si>
    <t>AQ82*$D$83</t>
  </si>
  <si>
    <t>AS82*$D$83</t>
  </si>
  <si>
    <t>AU82*$D$83</t>
  </si>
  <si>
    <t>AW82*$D$83</t>
  </si>
  <si>
    <t>per Annum for xx years</t>
  </si>
  <si>
    <t>Land Cost PSF</t>
  </si>
  <si>
    <t>LAND &amp; OTHER RELATED COSTS</t>
  </si>
  <si>
    <t>I82*$F$86</t>
  </si>
  <si>
    <t>K82*$F$86</t>
  </si>
  <si>
    <t>M82*$F$86</t>
  </si>
  <si>
    <t>O82*$F$86</t>
  </si>
  <si>
    <t>Q82*$F$86</t>
  </si>
  <si>
    <t>S82*$F$86</t>
  </si>
  <si>
    <t>W82*$F$86</t>
  </si>
  <si>
    <t>Y82*$F$86</t>
  </si>
  <si>
    <t>AC82*$F$86</t>
  </si>
  <si>
    <t>AE82*$F$86</t>
  </si>
  <si>
    <t>AG82*$F$86</t>
  </si>
  <si>
    <t>AI82*$F$86</t>
  </si>
  <si>
    <t>AK82*$F$86</t>
  </si>
  <si>
    <t>AM82*$F$86</t>
  </si>
  <si>
    <t>AO82*$F$86</t>
  </si>
  <si>
    <t>AQ82*$F$86</t>
  </si>
  <si>
    <t>AS82*$F$86</t>
  </si>
  <si>
    <t>AU82*$F$86</t>
  </si>
  <si>
    <t>AW82*$F$86</t>
  </si>
  <si>
    <t>15% or 30%</t>
  </si>
  <si>
    <t xml:space="preserve">of Net Land Value </t>
  </si>
  <si>
    <t>I82*$F$87</t>
  </si>
  <si>
    <t>K82*$F$87</t>
  </si>
  <si>
    <t>M82*$F$87</t>
  </si>
  <si>
    <t>O82*$F$87</t>
  </si>
  <si>
    <t>Q82*$F$87</t>
  </si>
  <si>
    <t>S82*$F$87</t>
  </si>
  <si>
    <t>W82*$F$87</t>
  </si>
  <si>
    <t>Y82*$F$87</t>
  </si>
  <si>
    <t>AC82*$F$87</t>
  </si>
  <si>
    <t>AE82*$F$87</t>
  </si>
  <si>
    <t>AG82*$F$87</t>
  </si>
  <si>
    <t>AI82*$F$87</t>
  </si>
  <si>
    <t>AK82*$F$87</t>
  </si>
  <si>
    <t>AM82*$F$87</t>
  </si>
  <si>
    <t>AO82*$F$87</t>
  </si>
  <si>
    <t>AQ82*$F$87</t>
  </si>
  <si>
    <t>AS82*$F$87</t>
  </si>
  <si>
    <t>AU82*$F$87</t>
  </si>
  <si>
    <t>AW82*$F$87</t>
  </si>
  <si>
    <t>Quit Rent</t>
  </si>
  <si>
    <t>I82*$F$88</t>
  </si>
  <si>
    <t>K82*$F$88</t>
  </si>
  <si>
    <t>M82*$F$88</t>
  </si>
  <si>
    <t>O82*$F$88</t>
  </si>
  <si>
    <t>Q82*$F$88</t>
  </si>
  <si>
    <t>S82*$F$88</t>
  </si>
  <si>
    <t>W82*$F$88</t>
  </si>
  <si>
    <t>Y82*$F$88</t>
  </si>
  <si>
    <t>AC82*$F$88</t>
  </si>
  <si>
    <t>AE82*$F$88</t>
  </si>
  <si>
    <t>AG82*$F$88</t>
  </si>
  <si>
    <t>AI82*$F$88</t>
  </si>
  <si>
    <t>AK82*$F$88</t>
  </si>
  <si>
    <t>AM82*$F$88</t>
  </si>
  <si>
    <t>AO82*$F$88</t>
  </si>
  <si>
    <t>AQ82*$F$88</t>
  </si>
  <si>
    <t>AS82*$F$88</t>
  </si>
  <si>
    <t>AU82*$F$88</t>
  </si>
  <si>
    <t>AW82*$F$88</t>
  </si>
  <si>
    <t>Assessment</t>
  </si>
  <si>
    <t>5.5</t>
  </si>
  <si>
    <t>Stamp Duty on Land Purchase</t>
  </si>
  <si>
    <t>3% of land value (standard slab rate)</t>
  </si>
  <si>
    <t>I82*$F$90</t>
  </si>
  <si>
    <t>K82*$F$90</t>
  </si>
  <si>
    <t>M82*$F$90</t>
  </si>
  <si>
    <t>O82*$F$90</t>
  </si>
  <si>
    <t>Q82*$F$90</t>
  </si>
  <si>
    <t>S82*$F$90</t>
  </si>
  <si>
    <t>W82*$F$90</t>
  </si>
  <si>
    <t>Y82*$F$90</t>
  </si>
  <si>
    <t>AC82*$F$90</t>
  </si>
  <si>
    <t>AE82*$F$90</t>
  </si>
  <si>
    <t>AG82*$F$90</t>
  </si>
  <si>
    <t>AI82*$F$90</t>
  </si>
  <si>
    <t>AK82*$F$90</t>
  </si>
  <si>
    <t>AM82*$F$90</t>
  </si>
  <si>
    <t>AO82*$F$90</t>
  </si>
  <si>
    <t>AQ82*$F$90</t>
  </si>
  <si>
    <t>AS82*$F$90</t>
  </si>
  <si>
    <t>AU82*$F$90</t>
  </si>
  <si>
    <t>AW82*$F$90</t>
  </si>
  <si>
    <t>5.6</t>
  </si>
  <si>
    <t>Legal Fees on Land Purchase</t>
  </si>
  <si>
    <t>0.25% of land value</t>
  </si>
  <si>
    <t>I82*$F$91</t>
  </si>
  <si>
    <t>K82*$F$91</t>
  </si>
  <si>
    <t>M82*$F$91</t>
  </si>
  <si>
    <t>O82*$F$91</t>
  </si>
  <si>
    <t>Q82*$F$91</t>
  </si>
  <si>
    <t>S82*$F$91</t>
  </si>
  <si>
    <t>W82*$F$91</t>
  </si>
  <si>
    <t>Y82*$F$91</t>
  </si>
  <si>
    <t>AC82*$F$91</t>
  </si>
  <si>
    <t>AE82*$F$91</t>
  </si>
  <si>
    <t>AG82*$F$91</t>
  </si>
  <si>
    <t>AI82*$F$91</t>
  </si>
  <si>
    <t>AK82*$F$91</t>
  </si>
  <si>
    <t>AM82*$F$91</t>
  </si>
  <si>
    <t>AO82*$F$91</t>
  </si>
  <si>
    <t>AQ82*$F$91</t>
  </si>
  <si>
    <t>AS82*$F$91</t>
  </si>
  <si>
    <t>AU82*$F$91</t>
  </si>
  <si>
    <t>AW82*$F$91</t>
  </si>
  <si>
    <t>5.7</t>
  </si>
  <si>
    <t>Valuation Fee</t>
  </si>
  <si>
    <t>0.125% of land value</t>
  </si>
  <si>
    <t>5.8</t>
  </si>
  <si>
    <t>Land Amalgamation / Sub-division Fee</t>
  </si>
  <si>
    <t>1% of land value (if combining lots)</t>
  </si>
  <si>
    <t>5.9</t>
  </si>
  <si>
    <t>Lease Extension Premium</t>
  </si>
  <si>
    <t>Leasehold only — ¼×1/100×value×extension years</t>
  </si>
  <si>
    <t>5.10</t>
  </si>
  <si>
    <t>Low Cost Housing Contribution</t>
  </si>
  <si>
    <t>State-specific lump sum if applicable</t>
  </si>
  <si>
    <t>% of NDV</t>
  </si>
  <si>
    <t>Construction Cost psf</t>
  </si>
  <si>
    <t>6.0</t>
  </si>
  <si>
    <t>Substructure / Piling Works</t>
  </si>
  <si>
    <t>Enter lump sum from piling contract (e.g. Pintaras)</t>
  </si>
  <si>
    <t>6.0.1</t>
  </si>
  <si>
    <t xml:space="preserve">   Piling (bored / driven / micro-piles) — actual or estimate</t>
  </si>
  <si>
    <t>Typical: RM 2M–30M depending on soil conditions and building height</t>
  </si>
  <si>
    <t>Building Work</t>
  </si>
  <si>
    <t xml:space="preserve">Residential </t>
  </si>
  <si>
    <t>Affordable Housing</t>
  </si>
  <si>
    <t>Commercial Shoplots</t>
  </si>
  <si>
    <t>6.1 FF&amp;E</t>
  </si>
  <si>
    <t>Fitting &amp; Furnishing / FF&amp;E</t>
  </si>
  <si>
    <t>6.1.4</t>
  </si>
  <si>
    <t xml:space="preserve">   Kitchen Cabinet, Appliances &amp; Wardrobe (incl. P&amp;A)</t>
  </si>
  <si>
    <t>RM 15k–50k/unit</t>
  </si>
  <si>
    <t>6.1.5</t>
  </si>
  <si>
    <t xml:space="preserve">   ID Works — Unit Fit-Out (sanitary wares, vanity)</t>
  </si>
  <si>
    <t>Luxury: RM 20k–60k/unit</t>
  </si>
  <si>
    <t>6.1.6</t>
  </si>
  <si>
    <t xml:space="preserve">   Dry Kitchen Cabinet &amp; Island (incl. P&amp;A)</t>
  </si>
  <si>
    <t>If not in 6.1.4</t>
  </si>
  <si>
    <t>6.1.7</t>
  </si>
  <si>
    <t xml:space="preserve">   Wet Kitchen &amp; Yard Works (incl. P&amp;A)</t>
  </si>
  <si>
    <t>6.1.8</t>
  </si>
  <si>
    <t xml:space="preserve">   Wardrobe — Built-in (incl. P&amp;A)</t>
  </si>
  <si>
    <t>6.1.9</t>
  </si>
  <si>
    <t xml:space="preserve">   ID Works — Common Area (lobby, corridors, lift lobby)</t>
  </si>
  <si>
    <t>Lump sum</t>
  </si>
  <si>
    <t>6.1.10</t>
  </si>
  <si>
    <t xml:space="preserve">   Gym Equipment / Recreational Facilities</t>
  </si>
  <si>
    <t>6.1.11</t>
  </si>
  <si>
    <t xml:space="preserve">   BMU / Gondola (Building Maintenance Unit)</t>
  </si>
  <si>
    <t>High-rise only — lump sum</t>
  </si>
  <si>
    <t>6.1.12</t>
  </si>
  <si>
    <t xml:space="preserve">   Show Unit Extra-Over Fit-Out (above standard spec)</t>
  </si>
  <si>
    <t>Separate from sales gallery budget in S&amp;M</t>
  </si>
  <si>
    <t>6.2 M&amp;E</t>
  </si>
  <si>
    <t>Mechanical &amp; Electrical Works (M&amp;E)</t>
  </si>
  <si>
    <t>6.2.1</t>
  </si>
  <si>
    <t xml:space="preserve">   Air Conditioning &amp; Mechanical Ventilation (ACMV)</t>
  </si>
  <si>
    <t>6.2.2</t>
  </si>
  <si>
    <t xml:space="preserve">   Fire Protection System</t>
  </si>
  <si>
    <t>6.2.3</t>
  </si>
  <si>
    <t xml:space="preserve">   Cold Water, Hot Water &amp; Sanitary Plumbing</t>
  </si>
  <si>
    <t>6.2.4</t>
  </si>
  <si>
    <t xml:space="preserve">   Lift &amp; Escalator Services</t>
  </si>
  <si>
    <t>6.2.5</t>
  </si>
  <si>
    <t xml:space="preserve">   Electrical Works (HT/LT supply, distribution boards)</t>
  </si>
  <si>
    <t>6.2.6</t>
  </si>
  <si>
    <t xml:space="preserve">   EV Charger Infrastructure</t>
  </si>
  <si>
    <t>6.2.7</t>
  </si>
  <si>
    <t xml:space="preserve">   CCTV, Access Control &amp; Security System</t>
  </si>
  <si>
    <t>6.2.8</t>
  </si>
  <si>
    <t xml:space="preserve">   PA System / SMATV / Fiber-to-Home / UNIFI</t>
  </si>
  <si>
    <t>6.2.9</t>
  </si>
  <si>
    <t xml:space="preserve">   Solar Panel / Photovoltaic System</t>
  </si>
  <si>
    <t>6.2.10</t>
  </si>
  <si>
    <t xml:space="preserve">   Rainwater Harvesting System</t>
  </si>
  <si>
    <t>6.2.11</t>
  </si>
  <si>
    <t xml:space="preserve">   Façade Lighting &amp; Compound Lighting</t>
  </si>
  <si>
    <t>Earthworks to platform level, Retaining structure, External &amp; Internal Infrastructure</t>
  </si>
  <si>
    <t>Clubhouse / Show Units</t>
  </si>
  <si>
    <t>Construction Cost (CC)</t>
  </si>
  <si>
    <t>Preliminary</t>
  </si>
  <si>
    <t>of Construction Cost</t>
  </si>
  <si>
    <t>Contingency</t>
  </si>
  <si>
    <t>SST</t>
  </si>
  <si>
    <t>Commercial Only</t>
  </si>
  <si>
    <t>6.8</t>
  </si>
  <si>
    <t>Contract Stamping Fee</t>
  </si>
  <si>
    <t>of GCC</t>
  </si>
  <si>
    <t>STRATA TITLE APPLICATION FEES &amp; SURVEY FEES</t>
  </si>
  <si>
    <t>PLANNING SUBMISSION FEES &amp; BUILDING PLAN FEES</t>
  </si>
  <si>
    <t>Development Charges</t>
  </si>
  <si>
    <t xml:space="preserve">TNB </t>
  </si>
  <si>
    <t>per Unit</t>
  </si>
  <si>
    <t>TM Fibre Optic</t>
  </si>
  <si>
    <t>Road &amp; Drainage</t>
  </si>
  <si>
    <t>per Acre</t>
  </si>
  <si>
    <t>School Contribution</t>
  </si>
  <si>
    <t>Improvement Service Fund ("ISF")</t>
  </si>
  <si>
    <t>Lump sum RM 30k–100k</t>
  </si>
  <si>
    <t>Paid to local authority (DBKL/MBPJ)</t>
  </si>
  <si>
    <t>9.11</t>
  </si>
  <si>
    <t>COB Deposit — Defect Rectification on Common Property</t>
  </si>
  <si>
    <t>0.5% of GCC — refundable post-VP</t>
  </si>
  <si>
    <t>Lump sum RM 1k–3k</t>
  </si>
  <si>
    <t>State-specific — enter lump sum if imposed</t>
  </si>
  <si>
    <t>CONSULTANCY FEES</t>
  </si>
  <si>
    <t>OTHER CONSTRUCTION COST</t>
  </si>
  <si>
    <t>Soil Investigation</t>
  </si>
  <si>
    <t>11.2</t>
  </si>
  <si>
    <t>Site Clearing &amp; Demolition</t>
  </si>
  <si>
    <t>Lump sum if applicable</t>
  </si>
  <si>
    <t>11.3</t>
  </si>
  <si>
    <t>Utility Mapping &amp; Underground Detection</t>
  </si>
  <si>
    <t>RM 12k–50k typical</t>
  </si>
  <si>
    <t>11.4</t>
  </si>
  <si>
    <t>Property Management Setup (JMB / MC)</t>
  </si>
  <si>
    <t>RM 50k–150k for VP handover</t>
  </si>
  <si>
    <t>11.5</t>
  </si>
  <si>
    <t>Notice of Objection (if applicable)</t>
  </si>
  <si>
    <t>SITE ADMINISTRATION COST</t>
  </si>
  <si>
    <t>SHORT TERM OPERATING COST - I.E. SITE SECURITY, SERVICE CHARGES FOR PROVISIONAL BLOCKS</t>
  </si>
  <si>
    <t>GROSS DEVELOPMENT COST (GDC) BEFORE MARKETING &amp; SELLING EXPENSES</t>
  </si>
  <si>
    <t xml:space="preserve">GROSS DEVELOPMENT COST (GDC) BEFORE LAND COST </t>
  </si>
  <si>
    <t>Marketing Expenses</t>
  </si>
  <si>
    <t xml:space="preserve">    General Marketing Expenses</t>
  </si>
  <si>
    <t xml:space="preserve">    Architectural Models</t>
  </si>
  <si>
    <t xml:space="preserve">    Market Research</t>
  </si>
  <si>
    <t xml:space="preserve">    Construction Sales Gallery </t>
  </si>
  <si>
    <t xml:space="preserve">Yenom Final Acc SG,G/Houseinc landscape </t>
  </si>
  <si>
    <t xml:space="preserve">    Construction of Show units inc I.D OR I.D &amp; Landscape cost for actual unit at site (include extra over)</t>
  </si>
  <si>
    <t>15.2</t>
  </si>
  <si>
    <t>Selling Expenses</t>
  </si>
  <si>
    <t xml:space="preserve">    Early Bird Rebate / VIP Discount</t>
  </si>
  <si>
    <t>of GDV</t>
  </si>
  <si>
    <t xml:space="preserve">    Commission &amp; Brokerage — Internal (80%×4%)</t>
  </si>
  <si>
    <t>of NDV (80%×4%)</t>
  </si>
  <si>
    <t xml:space="preserve">    Commission &amp; Brokerage — External (20%×5%)</t>
  </si>
  <si>
    <t>of NDV (20%×5%)</t>
  </si>
  <si>
    <t xml:space="preserve">    Repeat Buyers / BGB Rebate (2%×3% units)</t>
  </si>
  <si>
    <t xml:space="preserve">    Free SPA &amp; Loan Legal Fees</t>
  </si>
  <si>
    <t>per unit</t>
  </si>
  <si>
    <t xml:space="preserve">    Additional Sales Package / Promotion Package</t>
  </si>
  <si>
    <t xml:space="preserve">    Director / Staff Discount (5% disc × 3%)</t>
  </si>
  <si>
    <t xml:space="preserve">    Maintenance &amp; Sinking Fund (12 mths @ RM0.70 psf)</t>
  </si>
  <si>
    <t>psf NSA</t>
  </si>
  <si>
    <t>GROSS DEVELOPMENT COST AFTER MARKETING &amp; SELLING EXPENSES (BEFORE FINANCIAL CHARGES)</t>
  </si>
  <si>
    <t>GROSS DEVELOPMENT PROFIT AFTER MARKETING &amp; SELLING EXPENSES</t>
  </si>
  <si>
    <t>FINANCIAL CHARGES</t>
  </si>
  <si>
    <t>Land Cost Interest</t>
  </si>
  <si>
    <t>of Land Cost</t>
  </si>
  <si>
    <t>Construction Loan Interest</t>
  </si>
  <si>
    <t>GROSS DEVELOPMENT COST (GDC) AFTER FINANCIAL CHARGES</t>
  </si>
  <si>
    <t>GROSS DEVELOPMENT PROFIT (GDP) AFTER FINANCIAL CHARGES</t>
  </si>
  <si>
    <t>PROJECT DEPARTMENT OVERHEAD</t>
  </si>
  <si>
    <t>HEAD OFFICE OVERHEAD</t>
  </si>
  <si>
    <t>MARKETING DEPARTMENT OVERHEAD</t>
  </si>
  <si>
    <t>CORPORATE OVERHEAD</t>
  </si>
  <si>
    <t xml:space="preserve">NET DEVELOPMENT PROFIT (NDP) AFTER HEAD OFFICE OVERHEAD </t>
  </si>
  <si>
    <t>% (NDP/NDV)</t>
  </si>
  <si>
    <t>% (NDP/GDV)</t>
  </si>
  <si>
    <t>Profit / Land Ratio (NDP ÷ Land Cost)</t>
  </si>
  <si>
    <t>JV ANALYSIS — BRDB Equity Proposal</t>
  </si>
  <si>
    <t>Proposed JV Ratio — BRDB Share (%)</t>
  </si>
  <si>
    <t>Enter BRDB equity share in JV (e.g. 50%)</t>
  </si>
  <si>
    <t>NDP Attributable to BRDB (RM'000)</t>
  </si>
  <si>
    <t>BRDB Equity Required (RM'000) — enter amount</t>
  </si>
  <si>
    <t>Enter equity invested by BRDB</t>
  </si>
  <si>
    <t>Return on Equity — ROE (NDP BRDB ÷ Equity)</t>
  </si>
  <si>
    <t>Return on Investment — ROI (NDP BRDB ÷ NDV)</t>
  </si>
  <si>
    <t>BRDB LAND — MONTHLY CASHFLOW MODEL (RM'000)</t>
  </si>
  <si>
    <t>All values RM'000  |  Blue = inputs  |  Black = formulas  |  Green = linked from Feasibility Study</t>
  </si>
  <si>
    <t>Year 1</t>
  </si>
  <si>
    <t>Year 2</t>
  </si>
  <si>
    <t>Year 3</t>
  </si>
  <si>
    <t>Year 4</t>
  </si>
  <si>
    <t>Year 5</t>
  </si>
  <si>
    <t>DESCRIPTION</t>
  </si>
  <si>
    <t>BASIS / TOTAL (RM'000)</t>
  </si>
  <si>
    <t>Jan
'26</t>
  </si>
  <si>
    <t>Feb
'26</t>
  </si>
  <si>
    <t>Mar
'26</t>
  </si>
  <si>
    <t>Apr
'26</t>
  </si>
  <si>
    <t>May
'26</t>
  </si>
  <si>
    <t>Jun
'26</t>
  </si>
  <si>
    <t>Jul
'26</t>
  </si>
  <si>
    <t>Aug
'26</t>
  </si>
  <si>
    <t>Sep
'26</t>
  </si>
  <si>
    <t>Oct
'26</t>
  </si>
  <si>
    <t>Nov
'26</t>
  </si>
  <si>
    <t>Dec
'26</t>
  </si>
  <si>
    <t>Jan
'27</t>
  </si>
  <si>
    <t>Feb
'27</t>
  </si>
  <si>
    <t>Mar
'27</t>
  </si>
  <si>
    <t>Apr
'27</t>
  </si>
  <si>
    <t>May
'27</t>
  </si>
  <si>
    <t>Jun
'27</t>
  </si>
  <si>
    <t>Jul
'27</t>
  </si>
  <si>
    <t>Aug
'27</t>
  </si>
  <si>
    <t>Sep
'27</t>
  </si>
  <si>
    <t>Oct
'27</t>
  </si>
  <si>
    <t>Nov
'27</t>
  </si>
  <si>
    <t>Dec
'27</t>
  </si>
  <si>
    <t>Jan
'28</t>
  </si>
  <si>
    <t>Feb
'28</t>
  </si>
  <si>
    <t>Mar
'28</t>
  </si>
  <si>
    <t>Apr
'28</t>
  </si>
  <si>
    <t>May
'28</t>
  </si>
  <si>
    <t>Jun
'28</t>
  </si>
  <si>
    <t>Jul
'28</t>
  </si>
  <si>
    <t>Aug
'28</t>
  </si>
  <si>
    <t>Sep
'28</t>
  </si>
  <si>
    <t>Oct
'28</t>
  </si>
  <si>
    <t>Nov
'28</t>
  </si>
  <si>
    <t>Dec
'28</t>
  </si>
  <si>
    <t>Jan
'29</t>
  </si>
  <si>
    <t>Feb
'29</t>
  </si>
  <si>
    <t>Mar
'29</t>
  </si>
  <si>
    <t>Apr
'29</t>
  </si>
  <si>
    <t>May
'29</t>
  </si>
  <si>
    <t>Jun
'29</t>
  </si>
  <si>
    <t>Jul
'29</t>
  </si>
  <si>
    <t>Aug
'29</t>
  </si>
  <si>
    <t>Sep
'29</t>
  </si>
  <si>
    <t>Oct
'29</t>
  </si>
  <si>
    <t>Nov
'29</t>
  </si>
  <si>
    <t>Dec
'29</t>
  </si>
  <si>
    <t>Jan
'30</t>
  </si>
  <si>
    <t>Feb
'30</t>
  </si>
  <si>
    <t>Mar
'30</t>
  </si>
  <si>
    <t>Apr
'30</t>
  </si>
  <si>
    <t>May
'30</t>
  </si>
  <si>
    <t>Jun
'30</t>
  </si>
  <si>
    <t>Jul
'30</t>
  </si>
  <si>
    <t>Aug
'30</t>
  </si>
  <si>
    <t>Sep
'30</t>
  </si>
  <si>
    <t>Oct
'30</t>
  </si>
  <si>
    <t>Nov
'30</t>
  </si>
  <si>
    <t>Dec
'30</t>
  </si>
  <si>
    <t>Start date</t>
  </si>
  <si>
    <t>A. PROJECT ASSUMPTIONS</t>
  </si>
  <si>
    <t>Project name</t>
  </si>
  <si>
    <t>BRDB Land Development</t>
  </si>
  <si>
    <t>Development period (years)</t>
  </si>
  <si>
    <t>Project start</t>
  </si>
  <si>
    <t>January 2026</t>
  </si>
  <si>
    <t>Total GDV (RM'000)</t>
  </si>
  <si>
    <t>Total NDV (RM'000)</t>
  </si>
  <si>
    <t>Total GDC (RM'000)</t>
  </si>
  <si>
    <t>Total NDP (RM'000)</t>
  </si>
  <si>
    <t>Land cost (RM'000)</t>
  </si>
  <si>
    <t>Construction cost (RM'000)</t>
  </si>
  <si>
    <t>Annual interest rate</t>
  </si>
  <si>
    <t>Target IRR (hurdle)</t>
  </si>
  <si>
    <t>B. MONTHLY SALES ABSORPTION SCHEDULE (% of NDV collected per month)</t>
  </si>
  <si>
    <t>S-curve absorption — slow launch M1–M6, peak Y2–Y3, tail-off Y4–Y5. Edit % in blue.</t>
  </si>
  <si>
    <t>Phase</t>
  </si>
  <si>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</si>
  <si>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</si>
  <si>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</si>
  <si>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</si>
  <si>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</si>
  <si>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</si>
  <si>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</si>
  <si>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</si>
  <si>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</si>
  <si>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</si>
  <si>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</si>
  <si>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</si>
  <si>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</si>
  <si>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%</t>
  </si>
  <si>
    <t>Ph 1a</t>
  </si>
  <si>
    <t>residential</t>
  </si>
  <si>
    <t>Ph 1b</t>
  </si>
  <si>
    <t>Ph 1c</t>
  </si>
  <si>
    <t>affordable</t>
  </si>
  <si>
    <t>Ph 1d</t>
  </si>
  <si>
    <t>Ph 1e</t>
  </si>
  <si>
    <t>commercial</t>
  </si>
  <si>
    <t>Ph 1f</t>
  </si>
  <si>
    <t>Ph 1g</t>
  </si>
  <si>
    <t>Ph 1h</t>
  </si>
  <si>
    <t>Ph 2a</t>
  </si>
  <si>
    <t>Ph 2b</t>
  </si>
  <si>
    <t>Ph 2c</t>
  </si>
  <si>
    <t>Ph 2d</t>
  </si>
  <si>
    <t>Ph 2e</t>
  </si>
  <si>
    <t>Ph 2f</t>
  </si>
  <si>
    <t>Ph 2g1</t>
  </si>
  <si>
    <t>Ph 2g2</t>
  </si>
  <si>
    <t>Ph 2h</t>
  </si>
  <si>
    <t>Ph 2j</t>
  </si>
  <si>
    <t>C. SALES RECEIPTS (RM'000) — NDV × Monthly Absorption %</t>
  </si>
  <si>
    <t>NDV (RM'000)</t>
  </si>
  <si>
    <t>Total</t>
  </si>
  <si>
    <t>TOTAL SALES RECEIPTS</t>
  </si>
  <si>
    <t>D. LAND COST (RM'000) — Deposit M1, Balance spread M2–M12</t>
  </si>
  <si>
    <t>Item</t>
  </si>
  <si>
    <t>Deposit (10%)</t>
  </si>
  <si>
    <t>-</t>
  </si>
  <si>
    <t>Balance SPA — M2–M6</t>
  </si>
  <si>
    <t>Balance SPA — M7–M12</t>
  </si>
  <si>
    <t>Land conversion premium</t>
  </si>
  <si>
    <t>TOTAL LAND COST</t>
  </si>
  <si>
    <t>E. CONSTRUCTION COST (RM'000) — S-curve drawdown over 48 months</t>
  </si>
  <si>
    <t>Total (RM'000)</t>
  </si>
  <si>
    <t>Building works — residential (55%)</t>
  </si>
  <si>
    <t>Building works — commercial (15%)</t>
  </si>
  <si>
    <t>Earthworks &amp; infrastructure (15%)</t>
  </si>
  <si>
    <t>Prelims &amp; contingency (13%)</t>
  </si>
  <si>
    <t>Consultancy fees (6.5% of GCC)</t>
  </si>
  <si>
    <t>TOTAL CONSTRUCTION COST</t>
  </si>
  <si>
    <t>F. OVERHEADS &amp; MARKETING (RM'000) — spread evenly over 60 months</t>
  </si>
  <si>
    <t>Marketing &amp; selling expenses (4% NDV)</t>
  </si>
  <si>
    <t>Project dept overhead (1.4% NDV)</t>
  </si>
  <si>
    <t>Head office overhead (3% NDV)</t>
  </si>
  <si>
    <t>Corporate overhead (1% NDV)</t>
  </si>
  <si>
    <t>Site admin cost (2% GCC)</t>
  </si>
  <si>
    <t>Statutory contributions (3% NDV)</t>
  </si>
  <si>
    <t>TOTAL OVERHEADS &amp; MARKETING</t>
  </si>
  <si>
    <t>TOTAL OUTFLOWS</t>
  </si>
  <si>
    <t>G. NET CASHFLOW SUMMARY</t>
  </si>
  <si>
    <t>Total inflows (sales receipts)</t>
  </si>
  <si>
    <t>Total outflows</t>
  </si>
  <si>
    <t>NET CASHFLOW</t>
  </si>
  <si>
    <t>CUMULATIVE CASHFLOW</t>
  </si>
  <si>
    <t>PEAK EQUITY EXPOSURE (minimum cumulative cashflow)</t>
  </si>
  <si>
    <t>BRDB LAND — IRR, NPV &amp; SENSITIVITY ANALYSIS</t>
  </si>
  <si>
    <t>XIRR on 60 monthly cashflows  |  5 sensitivity tables  |  Blue = inputs  |  Yellow = base case  |  Green ≥ hurdle  |  Red &lt; hurdle</t>
  </si>
  <si>
    <t>A.  ASSUMPTIONS &amp; LIVE METRICS</t>
  </si>
  <si>
    <t>B.  SENSITIVITY 1 — PROJECT IRR (%) vs ASP psf × Absorption Rate</t>
  </si>
  <si>
    <t>Base ASP (RM psf)</t>
  </si>
  <si>
    <t>IRR scales proportionally from live XIRR with revenue (ASP × absorption). Accurate within ±15% of base. For exact values, edit inputs in Cashflow sheet.</t>
  </si>
  <si>
    <t>Base absorption rate</t>
  </si>
  <si>
    <t>ASP psf ↓
Absorption →</t>
  </si>
  <si>
    <t>50%</t>
  </si>
  <si>
    <t>60%</t>
  </si>
  <si>
    <t>70%</t>
  </si>
  <si>
    <t>★ 80%</t>
  </si>
  <si>
    <t>90%</t>
  </si>
  <si>
    <t>100%</t>
  </si>
  <si>
    <t>110%</t>
  </si>
  <si>
    <t>Base build cost (RM psf)</t>
  </si>
  <si>
    <t>RM 476
(−30%)</t>
  </si>
  <si>
    <t>Target hurdle IRR</t>
  </si>
  <si>
    <t>RM 544
(−20%)</t>
  </si>
  <si>
    <t>RM 612
(−10%)</t>
  </si>
  <si>
    <t>Development period (yrs)</t>
  </si>
  <si>
    <t>RM 680
★ Base</t>
  </si>
  <si>
    <t>RM 748
(+10%)</t>
  </si>
  <si>
    <t>LIVE MODEL OUTPUTS</t>
  </si>
  <si>
    <t>RM 816
(+20%)</t>
  </si>
  <si>
    <t>RM 884
(+30%)</t>
  </si>
  <si>
    <t>NDP (RM'000)</t>
  </si>
  <si>
    <t>C.  SENSITIVITY 2 — NDP MARGIN (%) vs ASP psf × Absorption Rate</t>
  </si>
  <si>
    <t>Dev margin % on NDV</t>
  </si>
  <si>
    <t>NDP margin = (NDV × ASP_factor × Abs_factor − GDC) / (NDV × ASP_factor × Abs_factor). GDC treated as fixed.</t>
  </si>
  <si>
    <t>Peak equity (RM'000)</t>
  </si>
  <si>
    <t>MOIC</t>
  </si>
  <si>
    <t>XIRR RETURN METRICS</t>
  </si>
  <si>
    <t>Project IRR (XIRR monthly)</t>
  </si>
  <si>
    <t>NPV @ 12% hurdle (RM'000)</t>
  </si>
  <si>
    <t>NPV @ 15% hurdle (RM'000)</t>
  </si>
  <si>
    <t>NPV @ 18% hurdle (RM'000)</t>
  </si>
  <si>
    <t>Payback period (months)</t>
  </si>
  <si>
    <t>D.  SENSITIVITY 3 — NPV (RM'000) vs Discount Rate × Absorption Rate</t>
  </si>
  <si>
    <t>Direct NPV() on 60 monthly cashflows from Returns sheet. Scaled by absorption factor. Negative NPV = project destroys value at that rate.</t>
  </si>
  <si>
    <t>COLOUR KEY</t>
  </si>
  <si>
    <t>Disc. rate ↓
Absorption →</t>
  </si>
  <si>
    <t>Base case (RM 680 psf / 80% absorption)</t>
  </si>
  <si>
    <t>8%</t>
  </si>
  <si>
    <t>At/above hurdle IRR or NDP margin ≥ 25%</t>
  </si>
  <si>
    <t>10%</t>
  </si>
  <si>
    <t>Within 3% below hurdle / margin 15–25%</t>
  </si>
  <si>
    <t>12%</t>
  </si>
  <si>
    <t>More than 3% below hurdle / margin &lt; 15%</t>
  </si>
  <si>
    <t>15%</t>
  </si>
  <si>
    <t>★ 16%</t>
  </si>
  <si>
    <t>18%</t>
  </si>
  <si>
    <t>20%</t>
  </si>
  <si>
    <t>E.  SENSITIVITY 4 — NDP MARGIN (%) vs Build Cost × ASP psf</t>
  </si>
  <si>
    <t>Construction cost varies ±30% from RM 280 psf base. GDC adjusted pro-rata. Revenue = NDV × ASP_factor at base absorption.</t>
  </si>
  <si>
    <t>Build cost ↓
ASP psf →</t>
  </si>
  <si>
    <t>RM 196
(−30%)</t>
  </si>
  <si>
    <t>RM 224
(−20%)</t>
  </si>
  <si>
    <t>RM 252
(−10%)</t>
  </si>
  <si>
    <t>RM 280
★ Base</t>
  </si>
  <si>
    <t>RM 308
(+10%)</t>
  </si>
  <si>
    <t>RM 336
(+20%)</t>
  </si>
  <si>
    <t>F.  LAND COST BREAKEVEN — Max land cost (RM'000) to achieve 25% NDP margin</t>
  </si>
  <si>
    <t>Max land = NDV_adj × 0.75 − GDC_ex_land.  GDC_ex_land = total GDC − current land cost.  Green = viable (max &gt; current land).  Red = land overpriced at that ASP.</t>
  </si>
  <si>
    <t>ASP psf</t>
  </si>
  <si>
    <t>Base NDV
(RM'000)</t>
  </si>
  <si>
    <t>NDV adj
(RM'000)</t>
  </si>
  <si>
    <t>GDC ex-land
(RM'000)</t>
  </si>
  <si>
    <t>Max land @
25% margin (RM'000)</t>
  </si>
  <si>
    <t>Max land
psf (RM)</t>
  </si>
  <si>
    <t>vs current
land cost</t>
  </si>
  <si>
    <t>Deal
indicator</t>
  </si>
  <si>
    <t>RM 476</t>
  </si>
  <si>
    <t>RM 544</t>
  </si>
  <si>
    <t>RM 612</t>
  </si>
  <si>
    <t>RM 680 ★</t>
  </si>
  <si>
    <t>RM 748</t>
  </si>
  <si>
    <t>RM 816</t>
  </si>
  <si>
    <t>NOTES:  (1) IRR matrices — proportional scaling from live XIRR; accurate within ~±15% of base case. For exact scenario IRR, change absorption % inputs in Cashflow tab and refresh.  (2) NPV matrices — computed directly from monthly cashflows in Returns tab; values are exact.  (3) Build cost sensitivity uses GCC adjusted pro-rata; other cost lines (land, overhead, etc.) fixed.  (4) All matrices auto-update once unit counts, sizes, and prices are entered in the Feasibility Study tab.  (5) Excel Data Table (What-If Analysis → Data Table) can provide exact two-variable IRR — use Returns!B81 as the result cell with ASP and absorption as row/column inputs.</t>
  </si>
  <si>
    <t>BRDB LAND — RETURNS &amp; SENSITIVITY ANALYSIS</t>
  </si>
  <si>
    <t>All values RM'000  |  XIRR on 60 monthly cashflows  |  Blue = inputs  |  Green = linked from other sheets</t>
  </si>
  <si>
    <t>A. PROJECT SUMMARY</t>
  </si>
  <si>
    <t>Gross dev cost — GDC (RM'000)</t>
  </si>
  <si>
    <t>Net dev profit — NDP (RM'000)</t>
  </si>
  <si>
    <t>Peak equity exposure (RM'000)</t>
  </si>
  <si>
    <t>B. EQUITY CASHFLOW SCHEDULE — Input for XIRR</t>
  </si>
  <si>
    <t>Equity invested = outflows up to peak; equity repaid = inflows after peak. Dates set to quarterly from project start.</t>
  </si>
  <si>
    <t>Quarter</t>
  </si>
  <si>
    <t>Date</t>
  </si>
  <si>
    <t>Net CF (RM'000)</t>
  </si>
  <si>
    <t>Cumulative (RM'000)</t>
  </si>
  <si>
    <t>Y1 M01</t>
  </si>
  <si>
    <t>Y1 M02</t>
  </si>
  <si>
    <t>Y1 M03</t>
  </si>
  <si>
    <t>Y1 M04</t>
  </si>
  <si>
    <t>Y1 M05</t>
  </si>
  <si>
    <t>Y1 M06</t>
  </si>
  <si>
    <t>Y1 M07</t>
  </si>
  <si>
    <t>Y1 M08</t>
  </si>
  <si>
    <t>Y1 M09</t>
  </si>
  <si>
    <t>Y1 M10</t>
  </si>
  <si>
    <t>Y1 M11</t>
  </si>
  <si>
    <t>Y1 M12</t>
  </si>
  <si>
    <t>Y2 M01</t>
  </si>
  <si>
    <t>Y2 M02</t>
  </si>
  <si>
    <t>Y2 M03</t>
  </si>
  <si>
    <t>Y2 M04</t>
  </si>
  <si>
    <t>Y2 M05</t>
  </si>
  <si>
    <t>Y2 M06</t>
  </si>
  <si>
    <t>Y2 M07</t>
  </si>
  <si>
    <t>Y2 M08</t>
  </si>
  <si>
    <t>Y2 M09</t>
  </si>
  <si>
    <t>Y2 M10</t>
  </si>
  <si>
    <t>Y2 M11</t>
  </si>
  <si>
    <t>Y2 M12</t>
  </si>
  <si>
    <t>Y3 M01</t>
  </si>
  <si>
    <t>Y3 M02</t>
  </si>
  <si>
    <t>Y3 M03</t>
  </si>
  <si>
    <t>Y3 M04</t>
  </si>
  <si>
    <t>Y3 M05</t>
  </si>
  <si>
    <t>Y3 M06</t>
  </si>
  <si>
    <t>Y3 M07</t>
  </si>
  <si>
    <t>Y3 M08</t>
  </si>
  <si>
    <t>Y3 M09</t>
  </si>
  <si>
    <t>Y3 M10</t>
  </si>
  <si>
    <t>Y3 M11</t>
  </si>
  <si>
    <t>Y3 M12</t>
  </si>
  <si>
    <t>Y4 M01</t>
  </si>
  <si>
    <t>Y4 M02</t>
  </si>
  <si>
    <t>Y4 M03</t>
  </si>
  <si>
    <t>Y4 M04</t>
  </si>
  <si>
    <t>Y4 M05</t>
  </si>
  <si>
    <t>Y4 M06</t>
  </si>
  <si>
    <t>Y4 M07</t>
  </si>
  <si>
    <t>Y4 M08</t>
  </si>
  <si>
    <t>Y4 M09</t>
  </si>
  <si>
    <t>Y4 M10</t>
  </si>
  <si>
    <t>Y4 M11</t>
  </si>
  <si>
    <t>Y4 M12</t>
  </si>
  <si>
    <t>Y5 M01</t>
  </si>
  <si>
    <t>Y5 M02</t>
  </si>
  <si>
    <t>Y5 M03</t>
  </si>
  <si>
    <t>Y5 M04</t>
  </si>
  <si>
    <t>Y5 M05</t>
  </si>
  <si>
    <t>Y5 M06</t>
  </si>
  <si>
    <t>Y5 M07</t>
  </si>
  <si>
    <t>Y5 M08</t>
  </si>
  <si>
    <t>Y5 M09</t>
  </si>
  <si>
    <t>Y5 M10</t>
  </si>
  <si>
    <t>Y5 M11</t>
  </si>
  <si>
    <t>Y5 M12</t>
  </si>
  <si>
    <t>C. RETURN METRICS — Based on 60 monthly cashflows (XIRR &amp; NPV)</t>
  </si>
  <si>
    <t>XIRR annualises internal rate of return on exact dated cashflows. NPV uses monthly discount rate. MOIC = total cash return ÷ peak equity invested.</t>
  </si>
  <si>
    <t>Project IRR  (XIRR — 60 monthly CFs)</t>
  </si>
  <si>
    <t>Equity IRR  (XIRR on equity cashflows)</t>
  </si>
  <si>
    <t>NPV @ 12% hurdle  (RM'000)</t>
  </si>
  <si>
    <t>NPV @ 15% hurdle  (RM'000)</t>
  </si>
  <si>
    <t>NPV @ 18% hurdle  (RM'000)</t>
  </si>
  <si>
    <t>Total return  NDV − GDC  (RM'000)</t>
  </si>
  <si>
    <t>Equity multiple  MOIC</t>
  </si>
  <si>
    <t>Dev margin % on GDV</t>
  </si>
  <si>
    <t>Payback period  (months to positive cumulative CF)</t>
  </si>
  <si>
    <t>D. IRR SENSITIVITY — ASP psf vs Absorption Rate  (Excel Data Table)</t>
  </si>
  <si>
    <t>Yellow = base case (RM680 psf / 80% absorption). Green ≥ 16% hurdle | Amber 12–15.9% | Red &lt; 12%. This is a live Excel Data Table — changing Cashflow inputs auto-updates all cells.</t>
  </si>
  <si>
    <t>Abs →  /  ASP ↓</t>
  </si>
  <si>
    <t>RM 680
(Base)</t>
  </si>
  <si>
    <t>Colour guide:</t>
  </si>
  <si>
    <t>≥ 16% — above hurdle</t>
  </si>
  <si>
    <t>12–15.9% — below hurdle</t>
  </si>
  <si>
    <t>&lt; 12% — significantly below</t>
  </si>
  <si>
    <t>E. NDP MARGIN SENSITIVITY — ASP psf vs Absorption Rate</t>
  </si>
  <si>
    <t>NDP margin = (NDV_adj − GDC) ÷ NDV_adj. NDV adjusted by ASP and absorption factors relative to base case. GDC held constant.</t>
  </si>
  <si>
    <t>≥ 25% margin</t>
  </si>
  <si>
    <t>15–24.9%</t>
  </si>
  <si>
    <t>&lt; 15%</t>
  </si>
  <si>
    <t>F. NPV SENSITIVITY — Discount Rate vs Absorption Rate  (RM'000)</t>
  </si>
  <si>
    <t>Monthly NPV scaled by absorption factor. Shows how NPV changes as both required return and sales velocity vary.</t>
  </si>
  <si>
    <t>Abs →
Discount ↓</t>
  </si>
  <si>
    <t>15%  (hurdle)</t>
  </si>
  <si>
    <t>G. LAND COST BREAKEVEN — Max land cost to achieve target IRR  (RM'000)</t>
  </si>
  <si>
    <t>Max land = NDV_adj × (1 − target margin) − GDC_ex_land.  GDC_ex_land = GDC − current land cost.  Target margin = 25%.  Use these figures in SPA price negotiation.</t>
  </si>
  <si>
    <t>Base NDV</t>
  </si>
  <si>
    <t>NDV_adj</t>
  </si>
  <si>
    <t>GDC ex-land</t>
  </si>
  <si>
    <t>Max land (25% margin)</t>
  </si>
  <si>
    <t>Max land psf</t>
  </si>
  <si>
    <t>vs current</t>
  </si>
  <si>
    <t>Deal indicator</t>
  </si>
  <si>
    <t>RM 680</t>
  </si>
  <si>
    <t>H. SCENARIO COMPARISON — Bear / Base / Bull</t>
  </si>
  <si>
    <t>Bear: ASP −20%, absorption 60%, 1yr delay. Base: as modelled. Bull: ASP +15%, absorption 100%, faster launch.</t>
  </si>
  <si>
    <t>Metric</t>
  </si>
  <si>
    <t>Bear  🐻</t>
  </si>
  <si>
    <t>Base  ★</t>
  </si>
  <si>
    <t>Bull  🐂</t>
  </si>
  <si>
    <t>RM 782</t>
  </si>
  <si>
    <t>Absorption rate</t>
  </si>
  <si>
    <t>80%</t>
  </si>
  <si>
    <t>NDV adj (RM'000)</t>
  </si>
  <si>
    <t>GDC (RM'000)</t>
  </si>
  <si>
    <t>NDP margin</t>
  </si>
  <si>
    <t>Approx. IRR</t>
  </si>
  <si>
    <t>I. CONSTRUCTION COST SENSITIVITY — Build Cost psf vs ASP psf  (NDP Margin %)</t>
  </si>
  <si>
    <t>Shows NDP margin as construction cost varies ±20%. Useful for stress-testing build cost inflation against selling price assumptions.</t>
  </si>
  <si>
    <t>ASP →
Build cost ↓</t>
  </si>
  <si>
    <t>RM 544
(-2%)</t>
  </si>
  <si>
    <t>RM 612
(-1%)</t>
  </si>
  <si>
    <t>RM 680
(★ Base)</t>
  </si>
  <si>
    <t>RM 748
(+1%)</t>
  </si>
  <si>
    <t>RM 816
(+2%)</t>
  </si>
  <si>
    <t>RM 224 (−20%)</t>
  </si>
  <si>
    <t>RM 252 (−10%)</t>
  </si>
  <si>
    <t>RM 280 (Base)</t>
  </si>
  <si>
    <t>RM 308 (+10%)</t>
  </si>
  <si>
    <t>RM 336 (+20%)</t>
  </si>
  <si>
    <t>NOTES:  (1) XIRR formula requires non-zero cashflows — populate unit counts and pricing in Feasibility Study tab first.  (2) Sensitivity matrices use linear factor scaling of base XIRR — indicative only; actual IRR will differ due to non-linear CF timing.  (3) Land cost breakeven assumes 25% target NDP margin on adjusted NDV.  (4) NPV uses monthly discount rate (annual ÷ 12).</t>
  </si>
  <si>
    <t>Feasibility Study</t>
  </si>
  <si>
    <t>Phase 3a</t>
  </si>
  <si>
    <t>No of units in the Phase =&gt;</t>
  </si>
  <si>
    <t>Gross Floor Area exclude Carpark (GFA) =&gt;</t>
  </si>
  <si>
    <t>Acre to Sqm</t>
  </si>
  <si>
    <t>Construction Floor Area include Carpark (CFA) =&gt;</t>
  </si>
  <si>
    <t>Highrise Design Efficiency (NSA ÷ CFA) =&gt;</t>
  </si>
  <si>
    <t>Highrise Design Efficiency (NSA ÷ GFA) =&gt;</t>
  </si>
  <si>
    <t>Plot Ratio / Density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</si>
</sst>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164" formatCode="m/d/yyyy"/>
    <numFmt numFmtId="165" formatCode="_(* #,##0.00_);_(* \(#,##0.00\);_(* \-??_);_(@_)"/>
    <numFmt numFmtId="166" formatCode="#,##0&quot;  sqm&quot;"/>
    <numFmt numFmtId="167" formatCode="0&quot; acres&quot;"/>
    <numFmt numFmtId="168" formatCode="0.00&quot; acres&quot;"/>
    <numFmt numFmtId="169" formatCode="#,##0&quot;  sqft&quot;"/>
    <numFmt numFmtId="170" formatCode="0.0%"/>
    <numFmt numFmtId="171" formatCode="0.0&quot; acres&quot;"/>
    <numFmt numFmtId="172" formatCode="0&quot; units&quot;"/>
    <numFmt numFmtId="173" formatCode="_(* #,##0_);_(* \(#,##0\);_(* \-??_);_(@_)"/>
    <numFmt numFmtId="174" formatCode="_(* #,##0_);_(* \(#,##0\);_(* \-_);_(@_)"/>
    <numFmt numFmtId="175" formatCode="#,##0&quot; units/acres&quot;"/>
    <numFmt numFmtId="176" formatCode="0.0"/>
    <numFmt numFmtId="177" formatCode="#,##0_);\(#,##0\)"/>
    <numFmt numFmtId="178" formatCode="&quot;RM&quot;#,##0&quot; psf&quot;"/>
    <numFmt numFmtId="179" formatCode="#,##0&quot;  sq.ft.&quot;"/>
    <numFmt numFmtId="180" formatCode="#,##0_);[Red]\(#,##0\)"/>
    <numFmt numFmtId="181" formatCode="&quot;RM&quot;#,##0.00&quot; psf&quot;"/>
    <numFmt numFmtId="182" formatCode="#,##0%&quot; Agri to Resi&quot;"/>
    <numFmt numFmtId="183" formatCode="#,##0%&quot; Agri to Comm&quot;"/>
    <numFmt numFmtId="184" formatCode="&quot;RM&quot;#,##0_);[Red]&quot;(RM&quot;#,##0\)"/>
    <numFmt numFmtId="185" formatCode="0.000%"/>
    <numFmt numFmtId="186" formatCode="&quot;RM&quot;#,##0"/>
    <numFmt numFmtId="187" formatCode="&quot;X  RM&quot;0&quot; per FS&quot;"/>
    <numFmt numFmtId="188" formatCode="&quot;RM&quot;#,##0&quot; lump sum&quot;"/>
    <numFmt numFmtId="189" formatCode="&quot;RM&quot;#,##0.0&quot; psf&quot;"/>
    <numFmt numFmtId="190" formatCode="&quot;RM&quot;#,##0&quot; per unit&quot;"/>
    <numFmt numFmtId="191" formatCode="_(* #,##0_)"/>
    <numFmt numFmtId="192" formatCode="&quot;RM&quot;#,##0&quot; per acre&quot;"/>
    <numFmt numFmtId="193" formatCode="&quot;Balance RM&quot;#,##0"/>
    <numFmt numFmtId="194" formatCode="#,##0&quot; units&quot;"/>
    <numFmt numFmtId="195" formatCode="&quot;x RM&quot;#,##0&quot; per Unit&quot;"/>
    <numFmt numFmtId="196" formatCode="_-* #,##0_-;\-* #,##0_-;_-* \-??_-;_-@_-"/>
    <numFmt numFmtId="197" formatCode="_-* #,##0.00_-;\-* #,##0.00_-;_-* \-??_-;_-@_-"/>
    <numFmt numFmtId="198" formatCode="&quot;&quot;#,##0%&quot;  of GCC&quot;"/>
    <numFmt numFmtId="199" formatCode="&quot;for &quot;0%&quot; of NDV&quot;"/>
    <numFmt numFmtId="200" formatCode="&quot;RM&quot;#,##0&quot; /unit&quot;"/>
    <numFmt numFmtId="201" formatCode="&quot;RM&quot;#,##0.000&quot; psf&quot;"/>
    <numFmt numFmtId="202" formatCode="#,##0.00%&quot; Interest Rate&quot;"/>
    <numFmt numFmtId="203" formatCode="&quot;over &quot;0&quot; years &quot;"/>
    <numFmt numFmtId="204" formatCode="&quot;&quot;#,##0.0&quot; yrs&quot;"/>
    <numFmt numFmtId="205" formatCode="0.00\x"/>
    <numFmt numFmtId="206" formatCode="#,##0;\(#,##0\);\-"/>
    <numFmt numFmtId="207" formatCode="0.0%;\(0.0%\);\-"/>
    <numFmt numFmtId="208" formatCode="\+0.0%;\(0.0%\);\-"/>
    <numFmt numFmtId="209" formatCode="mmm\-yyyy"/>
    <numFmt numFmtId="210" formatCode="#,##0.00;\(#,##0.00\);\-"/>
    <numFmt numFmtId="211" formatCode="#,##0&quot;  bays&quot;"/>
  </numFmts>
  <fonts count="92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14"/>
      <name val="Arial"/>
      <family val="2"/>
      <charset val="1"/>
    </font>
    <font>
      <sz val="7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theme="3" tint="-0.499984740745262"/>
      <name val="Arial"/>
      <family val="2"/>
      <charset val="1"/>
    </font>
    <font>
      <b/>
      <sz val="10"/>
      <color theme="3" tint="-0.499984740745262"/>
      <name val="Arial"/>
      <family val="2"/>
      <charset val="1"/>
    </font>
    <font>
      <sz val="9"/>
      <color rgb="FF000000"/>
      <name val="Arial"/>
      <family val="2"/>
    </font>
    <font>
      <sz val="11"/>
      <name val="Arial"/>
      <family val="2"/>
    </font>
    <font>
      <sz val="10"/>
      <color theme="6" tint="0.39988402966399123"/>
      <name val="Arial"/>
      <family val="2"/>
      <charset val="1"/>
    </font>
    <font>
      <sz val="8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i/>
      <sz val="10"/>
      <color theme="3" tint="-0.499984740745262"/>
      <name val="Arial"/>
      <family val="2"/>
      <charset val="1"/>
    </font>
    <font>
      <i/>
      <sz val="10"/>
      <name val="Arial"/>
      <family val="2"/>
      <charset val="1"/>
    </font>
    <font>
      <i/>
      <sz val="10"/>
      <color rgb="FFFF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</font>
    <font>
      <sz val="11"/>
      <color rgb="FF0000FF"/>
      <name val="Arial"/>
      <family val="2"/>
    </font>
    <font>
      <i/>
      <sz val="10"/>
      <color rgb="FF000000"/>
      <name val="Arial"/>
      <family val="2"/>
    </font>
    <font>
      <b/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i/>
      <sz val="10"/>
      <color theme="9"/>
      <name val="Arial"/>
      <family val="2"/>
      <charset val="1"/>
    </font>
    <font>
      <b/>
      <i/>
      <u/>
      <sz val="10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i/>
      <sz val="10"/>
      <color rgb="FF7030A0"/>
      <name val="Arial"/>
      <family val="2"/>
      <charset val="1"/>
    </font>
    <font>
      <i/>
      <sz val="10"/>
      <color rgb="FF7030A0"/>
      <name val="Arial"/>
      <family val="2"/>
      <charset val="1"/>
    </font>
    <font>
      <b/>
      <i/>
      <sz val="10"/>
      <color theme="3" tint="-0.499984740745262"/>
      <name val="Arial"/>
      <family val="2"/>
      <charset val="1"/>
    </font>
    <font>
      <b/>
      <sz val="8"/>
      <name val="Arial"/>
      <family val="2"/>
      <charset val="1"/>
    </font>
    <font>
      <i/>
      <sz val="10"/>
      <color theme="1"/>
      <name val="Arial"/>
      <family val="2"/>
      <charset val="1"/>
    </font>
    <font>
      <b/>
      <sz val="10"/>
      <color rgb="FF0000FF"/>
      <name val="Arial"/>
      <family val="2"/>
    </font>
    <font>
      <b/>
      <sz val="11"/>
      <color rgb="FF0000FF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2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theme="8" tint="-0.499984740745262"/>
      <name val="Arial"/>
      <family val="2"/>
      <charset val="1"/>
    </font>
    <font>
      <b/>
      <sz val="10"/>
      <color rgb="FF0070C0"/>
      <name val="Arial"/>
      <family val="2"/>
      <charset val="1"/>
    </font>
    <font>
      <b/>
      <sz val="14"/>
      <color rgb="FFFFFFFF"/>
      <name val="Arial"/>
      <family val="2"/>
    </font>
    <font>
      <b/>
      <sz val="9"/>
      <color rgb="FF1F4E79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595959"/>
      <name val="Arial"/>
      <family val="2"/>
    </font>
    <font>
      <sz val="10"/>
      <color rgb="FF0000FF"/>
      <name val="Arial"/>
      <family val="2"/>
    </font>
    <font>
      <sz val="10"/>
      <color rgb="FF006400"/>
      <name val="Arial"/>
      <family val="2"/>
    </font>
    <font>
      <sz val="9"/>
      <color rgb="FF595959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9"/>
      <color rgb="FFBFBFBF"/>
      <name val="Arial"/>
      <family val="2"/>
    </font>
    <font>
      <b/>
      <sz val="10"/>
      <color rgb="FF375623"/>
      <name val="Arial"/>
      <family val="2"/>
    </font>
    <font>
      <b/>
      <sz val="10"/>
      <color rgb="FF843C0C"/>
      <name val="Arial"/>
      <family val="2"/>
    </font>
    <font>
      <b/>
      <sz val="11"/>
      <color rgb="FFC00000"/>
      <name val="Arial"/>
      <family val="2"/>
    </font>
    <font>
      <sz val="9"/>
      <color rgb="FF333333"/>
      <name val="Arial"/>
      <family val="2"/>
    </font>
    <font>
      <i/>
      <sz val="8"/>
      <color rgb="FF595959"/>
      <name val="Arial"/>
      <family val="2"/>
    </font>
    <font>
      <b/>
      <sz val="8"/>
      <color rgb="FFFFFFFF"/>
      <name val="Arial"/>
      <family val="2"/>
    </font>
    <font>
      <b/>
      <sz val="10"/>
      <name val="Arial"/>
      <family val="2"/>
    </font>
    <font>
      <sz val="11"/>
      <color rgb="FF006400"/>
      <name val="Arial"/>
      <family val="2"/>
    </font>
    <font>
      <b/>
      <sz val="9"/>
      <color rgb="FF333333"/>
      <name val="Arial"/>
      <family val="2"/>
    </font>
    <font>
      <b/>
      <sz val="11"/>
      <color rgb="FF0064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rgb="FF006400"/>
      <name val="Arial"/>
      <family val="2"/>
    </font>
    <font>
      <sz val="9"/>
      <color rgb="FF0000FF"/>
      <name val="Arial"/>
      <family val="2"/>
    </font>
    <font>
      <sz val="9"/>
      <color rgb="FF006400"/>
      <name val="Arial"/>
      <family val="2"/>
    </font>
    <font>
      <b/>
      <sz val="11"/>
      <color rgb="FF27500A"/>
      <name val="Arial"/>
      <family val="2"/>
    </font>
    <font>
      <sz val="9"/>
      <color rgb="FFFFFFFF"/>
      <name val="Arial"/>
      <family val="2"/>
    </font>
    <font>
      <sz val="8"/>
      <name val="Arial"/>
      <family val="2"/>
    </font>
    <font>
      <sz val="10"/>
      <color rgb="FF27500A"/>
      <name val="Arial"/>
      <family val="2"/>
    </font>
    <font>
      <b/>
      <sz val="10"/>
      <color rgb="FF27500A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sz val="8"/>
      <color rgb="FF888888"/>
      <name val="Arial"/>
      <family val="2"/>
    </font>
    <font>
      <b/>
      <sz val="9"/>
      <color rgb="FF185FA5"/>
      <name val="Courier New"/>
      <family val="3"/>
    </font>
    <font>
      <sz val="9"/>
      <color rgb="FF006400"/>
      <name val="Courier New"/>
      <family val="3"/>
    </font>
    <font>
      <b/>
      <sz val="10"/>
      <color rgb="FF1F4E79"/>
      <name val="Arial"/>
      <family val="2"/>
    </font>
    <font>
      <sz val="9"/>
      <color rgb="FF333333"/>
      <name val="Arial"/>
      <family val="2"/>
    </font>
    <font>
      <sz val="9"/>
      <color rgb="FF854F0B"/>
      <name val="Courier New"/>
      <family val="3"/>
    </font>
    <font>
      <b/>
      <sz val="9"/>
      <color rgb="FF000000"/>
      <name val="Arial"/>
      <family val="2"/>
    </font>
    <font>
      <sz val="8"/>
      <color rgb="FF000000"/>
      <name val="Courier New"/>
      <family val="3"/>
    </font>
    <font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9" tint="0.79989013336588644"/>
        <bgColor rgb="FFE2EFDA"/>
      </patternFill>
    </fill>
    <fill>
      <patternFill patternType="solid">
        <fgColor rgb="FFFFFF00"/>
        <bgColor rgb="FFFFC000"/>
      </patternFill>
    </fill>
    <fill>
      <patternFill patternType="solid">
        <fgColor theme="9" tint="0.59987182226020086"/>
        <bgColor rgb="FFC6EFCE"/>
      </patternFill>
    </fill>
    <fill>
      <patternFill patternType="solid">
        <fgColor rgb="FFFFC000"/>
        <bgColor rgb="FFFFFF00"/>
      </patternFill>
    </fill>
    <fill>
      <patternFill patternType="solid">
        <fgColor rgb="FF00B0F0"/>
        <bgColor rgb="FF0070C0"/>
      </patternFill>
    </fill>
    <fill>
      <patternFill patternType="solid">
        <fgColor theme="8" tint="0.79989013336588644"/>
        <bgColor rgb="FFD9E1F2"/>
      </patternFill>
    </fill>
    <fill>
      <patternFill patternType="solid">
        <fgColor rgb="FFC0C0C0"/>
        <bgColor rgb="FFBFBFBF"/>
      </patternFill>
    </fill>
    <fill>
      <patternFill patternType="solid">
        <fgColor rgb="FF99CCFF"/>
        <bgColor rgb="FFC0C0C0"/>
      </patternFill>
    </fill>
    <fill>
      <patternFill patternType="solid">
        <fgColor rgb="FFFFCC99"/>
        <bgColor rgb="FFFFC7CE"/>
      </patternFill>
    </fill>
    <fill>
      <patternFill patternType="solid">
        <fgColor rgb="FF00FFFF"/>
        <bgColor rgb="FF00B0F0"/>
      </patternFill>
    </fill>
    <fill>
      <patternFill patternType="solid">
        <fgColor rgb="FF4472C4"/>
        <bgColor rgb="FF2E75B6"/>
      </patternFill>
    </fill>
    <fill>
      <patternFill patternType="solid">
        <fgColor rgb="FFD9E1F2"/>
        <bgColor rgb="FFDAE3F3"/>
      </patternFill>
    </fill>
    <fill>
      <patternFill patternType="solid">
        <fgColor rgb="FF1F4E79"/>
        <bgColor rgb="FF203864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27500A"/>
      </patternFill>
    </fill>
    <fill>
      <patternFill patternType="solid">
        <fgColor rgb="FFEBF3FA"/>
        <bgColor rgb="FFF5F5F5"/>
      </patternFill>
    </fill>
    <fill>
      <patternFill patternType="solid">
        <fgColor rgb="FFD6E4F0"/>
        <bgColor rgb="FFDAE3F3"/>
      </patternFill>
    </fill>
    <fill>
      <patternFill patternType="solid">
        <fgColor rgb="FFC6EFCE"/>
        <bgColor rgb="FFC5E0B4"/>
      </patternFill>
    </fill>
    <fill>
      <patternFill patternType="solid">
        <fgColor rgb="FF843C0C"/>
        <bgColor rgb="FFA32D2D"/>
      </patternFill>
    </fill>
    <fill>
      <patternFill patternType="solid">
        <fgColor rgb="FFFCE4D6"/>
        <bgColor rgb="FFFFF2CC"/>
      </patternFill>
    </fill>
    <fill>
      <patternFill patternType="solid">
        <fgColor rgb="FF4A0000"/>
        <bgColor rgb="FF6B0000"/>
      </patternFill>
    </fill>
    <fill>
      <patternFill patternType="solid">
        <fgColor rgb="FFFAFAFA"/>
        <bgColor rgb="FFFFFFFF"/>
      </patternFill>
    </fill>
    <fill>
      <patternFill patternType="solid">
        <fgColor rgb="FFF5F5F5"/>
        <bgColor rgb="FFFAFAFA"/>
      </patternFill>
    </fill>
    <fill>
      <patternFill patternType="solid">
        <fgColor rgb="FF1F7A4E"/>
        <bgColor rgb="FF375623"/>
      </patternFill>
    </fill>
    <fill>
      <patternFill patternType="solid">
        <fgColor rgb="FFE2EFDA"/>
        <bgColor rgb="FFE2F0D9"/>
      </patternFill>
    </fill>
    <fill>
      <patternFill patternType="solid">
        <fgColor rgb="FF595959"/>
        <bgColor rgb="FF375623"/>
      </patternFill>
    </fill>
    <fill>
      <patternFill patternType="solid">
        <fgColor rgb="FFB94B00"/>
        <bgColor rgb="FFA32D2D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CC99"/>
      </patternFill>
    </fill>
    <fill>
      <patternFill patternType="solid">
        <fgColor rgb="FF6B0000"/>
        <bgColor rgb="FF4A0000"/>
      </patternFill>
    </fill>
    <fill>
      <patternFill patternType="solid">
        <fgColor rgb="FFFFFFC7"/>
        <bgColor rgb="FFFFF2CC"/>
      </patternFill>
    </fill>
    <fill>
      <patternFill patternType="solid">
        <fgColor rgb="FFFFFFFF"/>
        <bgColor rgb="FFFAFAFA"/>
      </patternFill>
    </fill>
    <fill>
      <patternFill patternType="solid">
        <fgColor rgb="FFA32D2D"/>
        <bgColor rgb="FF843C0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9FAFB"/>
      </patternFill>
    </fill>
    <fill>
      <patternFill patternType="solid">
        <fgColor rgb="FFEBF3FA"/>
      </patternFill>
    </fill>
    <fill>
      <patternFill patternType="solid">
        <fgColor rgb="FFDBEAFE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4A0000"/>
      </patternFill>
    </fill>
    <fill>
      <patternFill patternType="solid">
        <fgColor rgb="FF595959"/>
      </patternFill>
    </fill>
    <fill>
      <patternFill patternType="solid">
        <fgColor rgb="FFD6E4F0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</borders>
  <cellStyleXfs count="15">
    <xf numFmtId="0" fontId="0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9" fontId="2" fillId="0" borderId="0"/>
    <xf numFmtId="9" fontId="3" fillId="0" borderId="0"/>
    <xf numFmtId="9" fontId="3" fillId="0" borderId="0"/>
  </cellStyleXfs>
  <cellXfs count="678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0" xfId="0" applyFont="1"/>
    <xf numFmtId="0" fontId="6" fillId="0" borderId="0" xfId="0" applyFont="1"/>
    <xf numFmtId="164" fontId="6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horizontal="right"/>
    </xf>
    <xf numFmtId="165" fontId="6" fillId="0" borderId="0" xfId="0" applyNumberFormat="1" applyFont="1"/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7" fontId="11" fillId="0" borderId="0" xfId="0" applyNumberFormat="1" applyFont="1" applyAlignment="1">
      <alignment horizontal="right"/>
    </xf>
    <xf numFmtId="169" fontId="11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0" borderId="5" xfId="0" applyFont="1" applyBorder="1"/>
    <xf numFmtId="0" fontId="2" fillId="4" borderId="4" xfId="0" applyFont="1" applyFill="1" applyBorder="1"/>
    <xf numFmtId="0" fontId="2" fillId="5" borderId="4" xfId="0" applyFont="1" applyFill="1" applyBorder="1"/>
    <xf numFmtId="0" fontId="12" fillId="6" borderId="4" xfId="0" applyFont="1" applyFill="1" applyBorder="1"/>
    <xf numFmtId="0" fontId="6" fillId="3" borderId="6" xfId="0" applyFont="1" applyFill="1" applyBorder="1"/>
    <xf numFmtId="0" fontId="2" fillId="3" borderId="0" xfId="0" applyFont="1" applyFill="1"/>
    <xf numFmtId="17" fontId="2" fillId="3" borderId="7" xfId="0" applyNumberFormat="1" applyFont="1" applyFill="1" applyBorder="1" applyAlignment="1">
      <alignment horizontal="center"/>
    </xf>
    <xf numFmtId="17" fontId="2" fillId="0" borderId="5" xfId="0" applyNumberFormat="1" applyFont="1" applyBorder="1" applyAlignment="1">
      <alignment horizontal="center"/>
    </xf>
    <xf numFmtId="17" fontId="2" fillId="4" borderId="7" xfId="0" applyNumberFormat="1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17" fontId="2" fillId="5" borderId="7" xfId="0" applyNumberFormat="1" applyFont="1" applyFill="1" applyBorder="1" applyAlignment="1">
      <alignment horizontal="center"/>
    </xf>
    <xf numFmtId="17" fontId="13" fillId="6" borderId="7" xfId="0" applyNumberFormat="1" applyFont="1" applyFill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4" borderId="10" xfId="0" applyFont="1" applyFill="1" applyBorder="1"/>
    <xf numFmtId="17" fontId="2" fillId="3" borderId="10" xfId="0" applyNumberFormat="1" applyFont="1" applyFill="1" applyBorder="1" applyAlignment="1">
      <alignment horizontal="center"/>
    </xf>
    <xf numFmtId="0" fontId="2" fillId="5" borderId="10" xfId="0" applyFont="1" applyFill="1" applyBorder="1"/>
    <xf numFmtId="17" fontId="11" fillId="5" borderId="7" xfId="0" applyNumberFormat="1" applyFont="1" applyFill="1" applyBorder="1" applyAlignment="1">
      <alignment horizontal="center"/>
    </xf>
    <xf numFmtId="0" fontId="12" fillId="6" borderId="10" xfId="0" applyFont="1" applyFill="1" applyBorder="1"/>
    <xf numFmtId="171" fontId="2" fillId="0" borderId="0" xfId="0" applyNumberFormat="1" applyFont="1"/>
    <xf numFmtId="0" fontId="2" fillId="0" borderId="6" xfId="0" applyFont="1" applyBorder="1"/>
    <xf numFmtId="0" fontId="2" fillId="0" borderId="0" xfId="0" applyFont="1" applyAlignment="1">
      <alignment horizontal="right" vertical="center"/>
    </xf>
    <xf numFmtId="168" fontId="2" fillId="3" borderId="7" xfId="0" applyNumberFormat="1" applyFont="1" applyFill="1" applyBorder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171" fontId="2" fillId="0" borderId="5" xfId="0" applyNumberFormat="1" applyFont="1" applyBorder="1" applyAlignment="1">
      <alignment horizontal="center"/>
    </xf>
    <xf numFmtId="168" fontId="2" fillId="0" borderId="7" xfId="0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71" fontId="2" fillId="3" borderId="7" xfId="0" applyNumberFormat="1" applyFont="1" applyFill="1" applyBorder="1" applyAlignment="1">
      <alignment horizontal="center"/>
    </xf>
    <xf numFmtId="171" fontId="2" fillId="0" borderId="0" xfId="0" applyNumberFormat="1" applyFont="1" applyAlignment="1">
      <alignment horizontal="center"/>
    </xf>
    <xf numFmtId="171" fontId="2" fillId="0" borderId="7" xfId="0" applyNumberFormat="1" applyFont="1" applyBorder="1" applyAlignment="1">
      <alignment horizontal="center"/>
    </xf>
    <xf numFmtId="171" fontId="12" fillId="0" borderId="7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9" fontId="2" fillId="0" borderId="7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72" fontId="2" fillId="0" borderId="7" xfId="0" applyNumberFormat="1" applyFont="1" applyBorder="1" applyAlignment="1">
      <alignment horizontal="center"/>
    </xf>
    <xf numFmtId="172" fontId="2" fillId="0" borderId="5" xfId="0" applyNumberFormat="1" applyFont="1" applyBorder="1" applyAlignment="1">
      <alignment horizontal="center"/>
    </xf>
    <xf numFmtId="172" fontId="2" fillId="0" borderId="0" xfId="0" applyNumberFormat="1" applyFont="1" applyAlignment="1">
      <alignment horizontal="center"/>
    </xf>
    <xf numFmtId="172" fontId="10" fillId="0" borderId="7" xfId="0" applyNumberFormat="1" applyFont="1" applyBorder="1" applyAlignment="1">
      <alignment horizontal="center"/>
    </xf>
    <xf numFmtId="173" fontId="2" fillId="0" borderId="0" xfId="0" applyNumberFormat="1" applyFont="1"/>
    <xf numFmtId="165" fontId="2" fillId="0" borderId="0" xfId="0" applyNumberFormat="1" applyFont="1"/>
    <xf numFmtId="169" fontId="2" fillId="3" borderId="7" xfId="0" applyNumberFormat="1" applyFont="1" applyFill="1" applyBorder="1" applyAlignment="1">
      <alignment horizontal="center"/>
    </xf>
    <xf numFmtId="169" fontId="2" fillId="0" borderId="5" xfId="0" applyNumberFormat="1" applyFont="1" applyBorder="1" applyAlignment="1">
      <alignment horizontal="center"/>
    </xf>
    <xf numFmtId="169" fontId="10" fillId="0" borderId="7" xfId="0" applyNumberFormat="1" applyFont="1" applyBorder="1" applyAlignment="1">
      <alignment horizontal="center"/>
    </xf>
    <xf numFmtId="169" fontId="12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left" vertical="center" wrapText="1"/>
    </xf>
    <xf numFmtId="174" fontId="15" fillId="0" borderId="0" xfId="0" applyNumberFormat="1" applyFont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0" fillId="0" borderId="0" xfId="0" applyNumberFormat="1"/>
    <xf numFmtId="175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175" fontId="10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173" fontId="2" fillId="0" borderId="0" xfId="0" applyNumberFormat="1" applyFont="1" applyAlignment="1">
      <alignment vertical="center"/>
    </xf>
    <xf numFmtId="165" fontId="16" fillId="0" borderId="0" xfId="0" applyNumberFormat="1" applyFont="1"/>
    <xf numFmtId="10" fontId="2" fillId="0" borderId="7" xfId="0" applyNumberFormat="1" applyFont="1" applyBorder="1"/>
    <xf numFmtId="10" fontId="2" fillId="0" borderId="5" xfId="0" applyNumberFormat="1" applyFont="1" applyBorder="1"/>
    <xf numFmtId="10" fontId="2" fillId="0" borderId="7" xfId="0" applyNumberFormat="1" applyFont="1" applyBorder="1" applyAlignment="1">
      <alignment horizontal="center"/>
    </xf>
    <xf numFmtId="10" fontId="2" fillId="0" borderId="0" xfId="0" applyNumberFormat="1" applyFont="1"/>
    <xf numFmtId="10" fontId="10" fillId="0" borderId="7" xfId="0" applyNumberFormat="1" applyFont="1" applyBorder="1"/>
    <xf numFmtId="10" fontId="12" fillId="0" borderId="7" xfId="0" applyNumberFormat="1" applyFont="1" applyBorder="1"/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0" fontId="2" fillId="0" borderId="7" xfId="0" applyNumberFormat="1" applyFont="1" applyBorder="1" applyAlignment="1">
      <alignment horizontal="left"/>
    </xf>
    <xf numFmtId="176" fontId="2" fillId="0" borderId="6" xfId="0" applyNumberFormat="1" applyFont="1" applyBorder="1" applyAlignment="1">
      <alignment horizontal="center" vertical="center"/>
    </xf>
    <xf numFmtId="173" fontId="2" fillId="0" borderId="0" xfId="0" applyNumberFormat="1" applyFont="1" applyAlignment="1">
      <alignment horizontal="right" vertical="center"/>
    </xf>
    <xf numFmtId="10" fontId="2" fillId="3" borderId="7" xfId="0" applyNumberFormat="1" applyFont="1" applyFill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3" fontId="2" fillId="3" borderId="7" xfId="0" applyNumberFormat="1" applyFont="1" applyFill="1" applyBorder="1" applyAlignment="1">
      <alignment horizontal="center"/>
    </xf>
    <xf numFmtId="10" fontId="2" fillId="0" borderId="5" xfId="0" applyNumberFormat="1" applyFont="1" applyBorder="1" applyAlignment="1">
      <alignment horizontal="center" vertical="center"/>
    </xf>
    <xf numFmtId="10" fontId="2" fillId="3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0" fontId="2" fillId="3" borderId="7" xfId="0" applyNumberFormat="1" applyFont="1" applyFill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/>
    </xf>
    <xf numFmtId="3" fontId="2" fillId="3" borderId="7" xfId="0" applyNumberFormat="1" applyFont="1" applyFill="1" applyBorder="1" applyAlignment="1">
      <alignment vertical="center" wrapText="1"/>
    </xf>
    <xf numFmtId="3" fontId="2" fillId="3" borderId="7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left" vertical="top" wrapText="1"/>
    </xf>
    <xf numFmtId="10" fontId="2" fillId="0" borderId="7" xfId="0" applyNumberFormat="1" applyFont="1" applyBorder="1" applyAlignment="1">
      <alignment vertical="center" wrapText="1"/>
    </xf>
    <xf numFmtId="3" fontId="2" fillId="0" borderId="7" xfId="0" applyNumberFormat="1" applyFont="1" applyBorder="1"/>
    <xf numFmtId="3" fontId="2" fillId="0" borderId="7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left" vertical="top"/>
    </xf>
    <xf numFmtId="1" fontId="2" fillId="0" borderId="7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3" fontId="2" fillId="0" borderId="0" xfId="0" applyNumberFormat="1" applyFont="1"/>
    <xf numFmtId="173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3" fontId="17" fillId="0" borderId="0" xfId="0" applyNumberFormat="1" applyFont="1"/>
    <xf numFmtId="178" fontId="18" fillId="0" borderId="7" xfId="0" applyNumberFormat="1" applyFont="1" applyBorder="1" applyAlignment="1">
      <alignment horizontal="center" vertical="center"/>
    </xf>
    <xf numFmtId="3" fontId="2" fillId="0" borderId="5" xfId="0" applyNumberFormat="1" applyFont="1" applyBorder="1"/>
    <xf numFmtId="178" fontId="18" fillId="4" borderId="7" xfId="0" applyNumberFormat="1" applyFont="1" applyFill="1" applyBorder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78" fontId="20" fillId="0" borderId="7" xfId="0" applyNumberFormat="1" applyFont="1" applyBorder="1" applyAlignment="1">
      <alignment horizontal="center" vertical="center"/>
    </xf>
    <xf numFmtId="10" fontId="19" fillId="0" borderId="7" xfId="0" applyNumberFormat="1" applyFont="1" applyBorder="1" applyAlignment="1">
      <alignment horizontal="center"/>
    </xf>
    <xf numFmtId="179" fontId="2" fillId="0" borderId="0" xfId="0" applyNumberFormat="1" applyFont="1" applyAlignment="1">
      <alignment horizontal="center"/>
    </xf>
    <xf numFmtId="1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77" fontId="2" fillId="0" borderId="0" xfId="0" applyNumberFormat="1" applyFont="1" applyAlignment="1">
      <alignment horizontal="center"/>
    </xf>
    <xf numFmtId="173" fontId="2" fillId="0" borderId="7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173" fontId="2" fillId="0" borderId="5" xfId="0" applyNumberFormat="1" applyFont="1" applyBorder="1" applyAlignment="1">
      <alignment horizontal="right"/>
    </xf>
    <xf numFmtId="173" fontId="18" fillId="0" borderId="7" xfId="0" applyNumberFormat="1" applyFont="1" applyBorder="1" applyAlignment="1">
      <alignment horizontal="right" vertical="center"/>
    </xf>
    <xf numFmtId="173" fontId="21" fillId="0" borderId="7" xfId="0" applyNumberFormat="1" applyFont="1" applyBorder="1"/>
    <xf numFmtId="176" fontId="2" fillId="3" borderId="6" xfId="0" applyNumberFormat="1" applyFont="1" applyFill="1" applyBorder="1" applyAlignment="1">
      <alignment horizontal="center" vertical="center"/>
    </xf>
    <xf numFmtId="0" fontId="22" fillId="0" borderId="0" xfId="0" applyFont="1"/>
    <xf numFmtId="180" fontId="23" fillId="0" borderId="0" xfId="0" applyNumberFormat="1" applyFont="1" applyAlignment="1">
      <alignment horizontal="center"/>
    </xf>
    <xf numFmtId="173" fontId="22" fillId="0" borderId="7" xfId="0" applyNumberFormat="1" applyFont="1" applyBorder="1" applyAlignment="1">
      <alignment horizontal="right"/>
    </xf>
    <xf numFmtId="173" fontId="22" fillId="0" borderId="5" xfId="0" applyNumberFormat="1" applyFont="1" applyBorder="1" applyAlignment="1">
      <alignment horizontal="right"/>
    </xf>
    <xf numFmtId="173" fontId="2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6" fillId="7" borderId="0" xfId="0" applyFont="1" applyFill="1" applyAlignment="1">
      <alignment vertical="center"/>
    </xf>
    <xf numFmtId="179" fontId="2" fillId="7" borderId="0" xfId="0" applyNumberFormat="1" applyFont="1" applyFill="1" applyAlignment="1">
      <alignment horizontal="center"/>
    </xf>
    <xf numFmtId="177" fontId="2" fillId="7" borderId="0" xfId="0" applyNumberFormat="1" applyFont="1" applyFill="1" applyAlignment="1">
      <alignment horizontal="center"/>
    </xf>
    <xf numFmtId="176" fontId="2" fillId="0" borderId="6" xfId="0" applyNumberFormat="1" applyFont="1" applyBorder="1"/>
    <xf numFmtId="165" fontId="24" fillId="0" borderId="0" xfId="0" applyNumberFormat="1" applyFont="1"/>
    <xf numFmtId="173" fontId="6" fillId="0" borderId="0" xfId="0" applyNumberFormat="1" applyFont="1"/>
    <xf numFmtId="3" fontId="12" fillId="0" borderId="7" xfId="0" applyNumberFormat="1" applyFont="1" applyBorder="1"/>
    <xf numFmtId="0" fontId="6" fillId="0" borderId="11" xfId="0" applyFont="1" applyBorder="1" applyAlignment="1">
      <alignment vertical="center"/>
    </xf>
    <xf numFmtId="0" fontId="2" fillId="0" borderId="12" xfId="0" applyFont="1" applyBorder="1"/>
    <xf numFmtId="0" fontId="6" fillId="0" borderId="12" xfId="0" applyFont="1" applyBorder="1" applyAlignment="1">
      <alignment vertical="center"/>
    </xf>
    <xf numFmtId="173" fontId="6" fillId="0" borderId="13" xfId="0" applyNumberFormat="1" applyFont="1" applyBorder="1" applyAlignment="1">
      <alignment vertical="center"/>
    </xf>
    <xf numFmtId="173" fontId="6" fillId="0" borderId="5" xfId="0" applyNumberFormat="1" applyFont="1" applyBorder="1" applyAlignment="1">
      <alignment vertical="center"/>
    </xf>
    <xf numFmtId="173" fontId="6" fillId="0" borderId="0" xfId="0" applyNumberFormat="1" applyFont="1" applyAlignment="1">
      <alignment vertical="center"/>
    </xf>
    <xf numFmtId="0" fontId="25" fillId="0" borderId="0" xfId="0" applyFont="1" applyAlignment="1">
      <alignment horizontal="left" vertical="center" wrapText="1"/>
    </xf>
    <xf numFmtId="181" fontId="15" fillId="0" borderId="0" xfId="0" applyNumberFormat="1" applyFont="1" applyAlignment="1">
      <alignment horizontal="center" vertical="center"/>
    </xf>
    <xf numFmtId="181" fontId="0" fillId="0" borderId="0" xfId="0" applyNumberFormat="1"/>
    <xf numFmtId="0" fontId="6" fillId="0" borderId="6" xfId="0" applyFont="1" applyBorder="1" applyAlignment="1">
      <alignment vertical="center"/>
    </xf>
    <xf numFmtId="173" fontId="6" fillId="0" borderId="7" xfId="0" applyNumberFormat="1" applyFont="1" applyBorder="1" applyAlignment="1">
      <alignment vertical="center"/>
    </xf>
    <xf numFmtId="173" fontId="13" fillId="0" borderId="7" xfId="0" applyNumberFormat="1" applyFont="1" applyBorder="1" applyAlignment="1">
      <alignment vertical="center"/>
    </xf>
    <xf numFmtId="10" fontId="26" fillId="0" borderId="0" xfId="0" applyNumberFormat="1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174" fontId="0" fillId="0" borderId="0" xfId="0" applyNumberFormat="1"/>
    <xf numFmtId="0" fontId="28" fillId="0" borderId="0" xfId="0" applyFont="1" applyAlignment="1">
      <alignment vertical="center"/>
    </xf>
    <xf numFmtId="0" fontId="22" fillId="0" borderId="0" xfId="0" applyFont="1" applyAlignment="1">
      <alignment horizontal="left"/>
    </xf>
    <xf numFmtId="10" fontId="22" fillId="3" borderId="14" xfId="0" applyNumberFormat="1" applyFont="1" applyFill="1" applyBorder="1" applyAlignment="1">
      <alignment horizontal="center"/>
    </xf>
    <xf numFmtId="0" fontId="22" fillId="0" borderId="0" xfId="0" applyFont="1" applyAlignment="1">
      <alignment horizontal="right" vertical="center"/>
    </xf>
    <xf numFmtId="10" fontId="22" fillId="0" borderId="15" xfId="0" applyNumberFormat="1" applyFont="1" applyBorder="1" applyAlignment="1">
      <alignment horizontal="center"/>
    </xf>
    <xf numFmtId="0" fontId="22" fillId="0" borderId="16" xfId="0" applyFont="1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28" fillId="8" borderId="11" xfId="0" applyFont="1" applyFill="1" applyBorder="1" applyAlignment="1">
      <alignment vertical="center"/>
    </xf>
    <xf numFmtId="0" fontId="28" fillId="8" borderId="12" xfId="0" applyFont="1" applyFill="1" applyBorder="1" applyAlignment="1">
      <alignment vertical="center"/>
    </xf>
    <xf numFmtId="173" fontId="28" fillId="8" borderId="13" xfId="0" applyNumberFormat="1" applyFont="1" applyFill="1" applyBorder="1" applyAlignment="1">
      <alignment vertical="center"/>
    </xf>
    <xf numFmtId="173" fontId="28" fillId="0" borderId="5" xfId="0" applyNumberFormat="1" applyFont="1" applyBorder="1" applyAlignment="1">
      <alignment vertical="center"/>
    </xf>
    <xf numFmtId="173" fontId="28" fillId="4" borderId="13" xfId="0" applyNumberFormat="1" applyFont="1" applyFill="1" applyBorder="1" applyAlignment="1">
      <alignment vertical="center"/>
    </xf>
    <xf numFmtId="173" fontId="28" fillId="0" borderId="0" xfId="0" applyNumberFormat="1" applyFont="1" applyAlignment="1">
      <alignment vertical="center"/>
    </xf>
    <xf numFmtId="0" fontId="29" fillId="0" borderId="17" xfId="0" applyFont="1" applyBorder="1"/>
    <xf numFmtId="0" fontId="28" fillId="0" borderId="15" xfId="0" applyFont="1" applyBorder="1" applyAlignment="1">
      <alignment vertical="center"/>
    </xf>
    <xf numFmtId="0" fontId="29" fillId="0" borderId="15" xfId="0" applyFont="1" applyBorder="1"/>
    <xf numFmtId="173" fontId="28" fillId="0" borderId="18" xfId="0" applyNumberFormat="1" applyFont="1" applyBorder="1" applyAlignment="1">
      <alignment vertical="center"/>
    </xf>
    <xf numFmtId="0" fontId="30" fillId="0" borderId="0" xfId="0" applyFont="1"/>
    <xf numFmtId="173" fontId="28" fillId="3" borderId="18" xfId="0" applyNumberFormat="1" applyFont="1" applyFill="1" applyBorder="1" applyAlignment="1">
      <alignment vertical="center"/>
    </xf>
    <xf numFmtId="173" fontId="13" fillId="0" borderId="18" xfId="0" applyNumberFormat="1" applyFont="1" applyBorder="1" applyAlignment="1">
      <alignment vertical="center"/>
    </xf>
    <xf numFmtId="0" fontId="29" fillId="0" borderId="6" xfId="0" applyFont="1" applyBorder="1"/>
    <xf numFmtId="0" fontId="29" fillId="0" borderId="0" xfId="0" applyFont="1"/>
    <xf numFmtId="173" fontId="28" fillId="0" borderId="7" xfId="0" applyNumberFormat="1" applyFont="1" applyBorder="1" applyAlignment="1">
      <alignment vertical="center"/>
    </xf>
    <xf numFmtId="173" fontId="28" fillId="3" borderId="7" xfId="0" applyNumberFormat="1" applyFont="1" applyFill="1" applyBorder="1" applyAlignment="1">
      <alignment vertical="center"/>
    </xf>
    <xf numFmtId="165" fontId="6" fillId="0" borderId="7" xfId="0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5" fontId="6" fillId="0" borderId="0" xfId="0" applyNumberFormat="1" applyFont="1" applyAlignment="1">
      <alignment vertical="center"/>
    </xf>
    <xf numFmtId="165" fontId="13" fillId="0" borderId="7" xfId="0" applyNumberFormat="1" applyFont="1" applyBorder="1" applyAlignment="1">
      <alignment vertical="center"/>
    </xf>
    <xf numFmtId="0" fontId="29" fillId="0" borderId="8" xfId="0" applyFont="1" applyBorder="1"/>
    <xf numFmtId="0" fontId="28" fillId="0" borderId="9" xfId="0" applyFont="1" applyBorder="1" applyAlignment="1">
      <alignment vertical="center"/>
    </xf>
    <xf numFmtId="0" fontId="29" fillId="0" borderId="9" xfId="0" applyFont="1" applyBorder="1"/>
    <xf numFmtId="0" fontId="29" fillId="3" borderId="9" xfId="0" applyFont="1" applyFill="1" applyBorder="1"/>
    <xf numFmtId="173" fontId="28" fillId="0" borderId="10" xfId="0" applyNumberFormat="1" applyFont="1" applyBorder="1" applyAlignment="1">
      <alignment vertical="center"/>
    </xf>
    <xf numFmtId="173" fontId="13" fillId="0" borderId="10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9" fontId="2" fillId="0" borderId="7" xfId="0" applyNumberFormat="1" applyFont="1" applyBorder="1" applyAlignment="1">
      <alignment horizontal="right"/>
    </xf>
    <xf numFmtId="173" fontId="2" fillId="0" borderId="5" xfId="0" applyNumberFormat="1" applyFont="1" applyBorder="1"/>
    <xf numFmtId="170" fontId="2" fillId="0" borderId="7" xfId="0" applyNumberFormat="1" applyFont="1" applyBorder="1" applyAlignment="1">
      <alignment horizontal="right"/>
    </xf>
    <xf numFmtId="173" fontId="2" fillId="0" borderId="7" xfId="0" applyNumberFormat="1" applyFont="1" applyBorder="1"/>
    <xf numFmtId="173" fontId="12" fillId="0" borderId="7" xfId="0" applyNumberFormat="1" applyFont="1" applyBorder="1"/>
    <xf numFmtId="0" fontId="30" fillId="0" borderId="6" xfId="0" applyFont="1" applyBorder="1"/>
    <xf numFmtId="0" fontId="0" fillId="3" borderId="0" xfId="0" applyFill="1"/>
    <xf numFmtId="173" fontId="30" fillId="0" borderId="0" xfId="0" applyNumberFormat="1" applyFont="1"/>
    <xf numFmtId="0" fontId="30" fillId="0" borderId="7" xfId="0" applyFont="1" applyBorder="1"/>
    <xf numFmtId="0" fontId="30" fillId="0" borderId="0" xfId="0" applyFont="1" applyAlignment="1">
      <alignment vertical="center"/>
    </xf>
    <xf numFmtId="0" fontId="30" fillId="0" borderId="5" xfId="0" applyFont="1" applyBorder="1"/>
    <xf numFmtId="3" fontId="30" fillId="0" borderId="0" xfId="0" applyNumberFormat="1" applyFont="1"/>
    <xf numFmtId="176" fontId="6" fillId="9" borderId="6" xfId="0" applyNumberFormat="1" applyFont="1" applyFill="1" applyBorder="1" applyAlignment="1">
      <alignment horizontal="center"/>
    </xf>
    <xf numFmtId="0" fontId="6" fillId="9" borderId="0" xfId="0" applyFont="1" applyFill="1"/>
    <xf numFmtId="0" fontId="2" fillId="9" borderId="0" xfId="0" applyFont="1" applyFill="1"/>
    <xf numFmtId="173" fontId="2" fillId="9" borderId="0" xfId="0" applyNumberFormat="1" applyFont="1" applyFill="1"/>
    <xf numFmtId="173" fontId="6" fillId="9" borderId="7" xfId="0" applyNumberFormat="1" applyFont="1" applyFill="1" applyBorder="1"/>
    <xf numFmtId="173" fontId="6" fillId="0" borderId="5" xfId="0" applyNumberFormat="1" applyFont="1" applyBorder="1"/>
    <xf numFmtId="173" fontId="6" fillId="4" borderId="7" xfId="0" applyNumberFormat="1" applyFont="1" applyFill="1" applyBorder="1"/>
    <xf numFmtId="173" fontId="13" fillId="9" borderId="7" xfId="0" applyNumberFormat="1" applyFont="1" applyFill="1" applyBorder="1"/>
    <xf numFmtId="0" fontId="31" fillId="0" borderId="0" xfId="0" applyFont="1"/>
    <xf numFmtId="178" fontId="22" fillId="3" borderId="0" xfId="0" applyNumberFormat="1" applyFont="1" applyFill="1"/>
    <xf numFmtId="173" fontId="22" fillId="0" borderId="7" xfId="0" applyNumberFormat="1" applyFont="1" applyBorder="1"/>
    <xf numFmtId="173" fontId="22" fillId="0" borderId="5" xfId="0" applyNumberFormat="1" applyFont="1" applyBorder="1"/>
    <xf numFmtId="173" fontId="22" fillId="0" borderId="0" xfId="0" applyNumberFormat="1" applyFont="1"/>
    <xf numFmtId="9" fontId="6" fillId="0" borderId="0" xfId="0" applyNumberFormat="1" applyFont="1" applyAlignment="1">
      <alignment vertical="center"/>
    </xf>
    <xf numFmtId="182" fontId="22" fillId="0" borderId="0" xfId="0" applyNumberFormat="1" applyFont="1"/>
    <xf numFmtId="183" fontId="22" fillId="0" borderId="0" xfId="0" applyNumberFormat="1" applyFont="1"/>
    <xf numFmtId="9" fontId="22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173" fontId="23" fillId="0" borderId="0" xfId="0" applyNumberFormat="1" applyFont="1"/>
    <xf numFmtId="176" fontId="18" fillId="0" borderId="6" xfId="0" applyNumberFormat="1" applyFont="1" applyBorder="1" applyAlignment="1">
      <alignment horizontal="center" vertical="center"/>
    </xf>
    <xf numFmtId="184" fontId="22" fillId="3" borderId="0" xfId="0" applyNumberFormat="1" applyFont="1" applyFill="1" applyAlignment="1">
      <alignment horizontal="right"/>
    </xf>
    <xf numFmtId="0" fontId="22" fillId="0" borderId="7" xfId="0" applyFont="1" applyBorder="1"/>
    <xf numFmtId="0" fontId="32" fillId="0" borderId="0" xfId="0" applyFont="1" applyAlignment="1">
      <alignment vertical="center"/>
    </xf>
    <xf numFmtId="0" fontId="33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185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87" fontId="2" fillId="0" borderId="0" xfId="0" applyNumberFormat="1" applyFont="1" applyAlignment="1">
      <alignment horizontal="left"/>
    </xf>
    <xf numFmtId="173" fontId="6" fillId="0" borderId="7" xfId="0" applyNumberFormat="1" applyFont="1" applyBorder="1"/>
    <xf numFmtId="173" fontId="13" fillId="0" borderId="7" xfId="0" applyNumberFormat="1" applyFont="1" applyBorder="1"/>
    <xf numFmtId="176" fontId="6" fillId="9" borderId="6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center"/>
    </xf>
    <xf numFmtId="0" fontId="22" fillId="9" borderId="0" xfId="0" applyFont="1" applyFill="1" applyAlignment="1">
      <alignment vertical="center"/>
    </xf>
    <xf numFmtId="0" fontId="0" fillId="0" borderId="6" xfId="0" applyBorder="1"/>
    <xf numFmtId="10" fontId="28" fillId="9" borderId="7" xfId="0" applyNumberFormat="1" applyFont="1" applyFill="1" applyBorder="1"/>
    <xf numFmtId="10" fontId="28" fillId="0" borderId="5" xfId="0" applyNumberFormat="1" applyFont="1" applyBorder="1"/>
    <xf numFmtId="10" fontId="28" fillId="4" borderId="7" xfId="0" applyNumberFormat="1" applyFont="1" applyFill="1" applyBorder="1"/>
    <xf numFmtId="10" fontId="28" fillId="0" borderId="0" xfId="0" applyNumberFormat="1" applyFont="1"/>
    <xf numFmtId="10" fontId="13" fillId="9" borderId="7" xfId="0" applyNumberFormat="1" applyFont="1" applyFill="1" applyBorder="1"/>
    <xf numFmtId="9" fontId="2" fillId="0" borderId="0" xfId="0" applyNumberFormat="1" applyFont="1"/>
    <xf numFmtId="0" fontId="18" fillId="0" borderId="0" xfId="0" applyFont="1"/>
    <xf numFmtId="0" fontId="28" fillId="9" borderId="7" xfId="0" applyFont="1" applyFill="1" applyBorder="1"/>
    <xf numFmtId="188" fontId="26" fillId="0" borderId="0" xfId="0" applyNumberFormat="1" applyFont="1" applyAlignment="1">
      <alignment horizontal="center" vertical="center"/>
    </xf>
    <xf numFmtId="176" fontId="22" fillId="0" borderId="6" xfId="0" applyNumberFormat="1" applyFont="1" applyBorder="1" applyAlignment="1">
      <alignment horizontal="center" vertical="center"/>
    </xf>
    <xf numFmtId="173" fontId="18" fillId="0" borderId="0" xfId="0" applyNumberFormat="1" applyFont="1"/>
    <xf numFmtId="173" fontId="35" fillId="0" borderId="7" xfId="0" applyNumberFormat="1" applyFont="1" applyBorder="1"/>
    <xf numFmtId="9" fontId="22" fillId="0" borderId="0" xfId="0" applyNumberFormat="1" applyFont="1"/>
    <xf numFmtId="189" fontId="22" fillId="3" borderId="0" xfId="0" applyNumberFormat="1" applyFont="1" applyFill="1"/>
    <xf numFmtId="173" fontId="36" fillId="0" borderId="7" xfId="0" applyNumberFormat="1" applyFont="1" applyBorder="1"/>
    <xf numFmtId="165" fontId="22" fillId="0" borderId="7" xfId="0" applyNumberFormat="1" applyFont="1" applyBorder="1"/>
    <xf numFmtId="190" fontId="26" fillId="0" borderId="0" xfId="0" applyNumberFormat="1" applyFont="1" applyAlignment="1">
      <alignment horizontal="center" vertical="center"/>
    </xf>
    <xf numFmtId="191" fontId="26" fillId="0" borderId="0" xfId="0" applyNumberFormat="1" applyFont="1" applyAlignment="1">
      <alignment horizontal="center" vertical="center"/>
    </xf>
    <xf numFmtId="186" fontId="22" fillId="0" borderId="0" xfId="0" applyNumberFormat="1" applyFont="1"/>
    <xf numFmtId="192" fontId="22" fillId="3" borderId="0" xfId="0" applyNumberFormat="1" applyFont="1" applyFill="1"/>
    <xf numFmtId="173" fontId="20" fillId="0" borderId="0" xfId="0" applyNumberFormat="1" applyFont="1"/>
    <xf numFmtId="165" fontId="22" fillId="0" borderId="5" xfId="0" applyNumberFormat="1" applyFont="1" applyBorder="1"/>
    <xf numFmtId="165" fontId="22" fillId="0" borderId="0" xfId="0" applyNumberFormat="1" applyFont="1"/>
    <xf numFmtId="168" fontId="22" fillId="0" borderId="0" xfId="0" applyNumberFormat="1" applyFont="1"/>
    <xf numFmtId="186" fontId="22" fillId="3" borderId="0" xfId="0" applyNumberFormat="1" applyFont="1" applyFill="1"/>
    <xf numFmtId="192" fontId="20" fillId="0" borderId="0" xfId="0" applyNumberFormat="1" applyFont="1"/>
    <xf numFmtId="173" fontId="22" fillId="0" borderId="10" xfId="0" applyNumberFormat="1" applyFont="1" applyBorder="1"/>
    <xf numFmtId="173" fontId="21" fillId="0" borderId="10" xfId="0" applyNumberFormat="1" applyFont="1" applyBorder="1"/>
    <xf numFmtId="186" fontId="18" fillId="0" borderId="0" xfId="0" applyNumberFormat="1" applyFont="1"/>
    <xf numFmtId="173" fontId="18" fillId="0" borderId="7" xfId="0" applyNumberFormat="1" applyFont="1" applyBorder="1"/>
    <xf numFmtId="173" fontId="18" fillId="0" borderId="5" xfId="0" applyNumberFormat="1" applyFont="1" applyBorder="1"/>
    <xf numFmtId="177" fontId="18" fillId="0" borderId="0" xfId="0" applyNumberFormat="1" applyFont="1"/>
    <xf numFmtId="173" fontId="37" fillId="0" borderId="7" xfId="0" applyNumberFormat="1" applyFont="1" applyBorder="1"/>
    <xf numFmtId="3" fontId="6" fillId="0" borderId="0" xfId="0" applyNumberFormat="1" applyFont="1"/>
    <xf numFmtId="9" fontId="22" fillId="3" borderId="0" xfId="0" applyNumberFormat="1" applyFont="1" applyFill="1"/>
    <xf numFmtId="177" fontId="22" fillId="0" borderId="0" xfId="0" applyNumberFormat="1" applyFont="1"/>
    <xf numFmtId="0" fontId="39" fillId="0" borderId="0" xfId="0" applyFont="1"/>
    <xf numFmtId="173" fontId="20" fillId="0" borderId="7" xfId="0" applyNumberFormat="1" applyFont="1" applyBorder="1"/>
    <xf numFmtId="0" fontId="11" fillId="0" borderId="0" xfId="0" applyFont="1"/>
    <xf numFmtId="0" fontId="6" fillId="9" borderId="0" xfId="0" applyFont="1" applyFill="1" applyAlignment="1">
      <alignment vertical="center"/>
    </xf>
    <xf numFmtId="10" fontId="2" fillId="9" borderId="0" xfId="0" applyNumberFormat="1" applyFont="1" applyFill="1" applyAlignment="1">
      <alignment vertical="center"/>
    </xf>
    <xf numFmtId="194" fontId="22" fillId="9" borderId="0" xfId="0" applyNumberFormat="1" applyFont="1" applyFill="1" applyAlignment="1">
      <alignment vertical="center"/>
    </xf>
    <xf numFmtId="195" fontId="22" fillId="9" borderId="0" xfId="0" applyNumberFormat="1" applyFont="1" applyFill="1" applyAlignment="1">
      <alignment horizontal="left" vertical="center"/>
    </xf>
    <xf numFmtId="3" fontId="23" fillId="9" borderId="0" xfId="0" applyNumberFormat="1" applyFont="1" applyFill="1" applyAlignment="1">
      <alignment horizontal="left" vertical="center"/>
    </xf>
    <xf numFmtId="173" fontId="6" fillId="9" borderId="7" xfId="0" applyNumberFormat="1" applyFont="1" applyFill="1" applyBorder="1" applyAlignment="1">
      <alignment vertical="center"/>
    </xf>
    <xf numFmtId="196" fontId="6" fillId="4" borderId="7" xfId="0" applyNumberFormat="1" applyFont="1" applyFill="1" applyBorder="1" applyAlignment="1">
      <alignment vertical="center"/>
    </xf>
    <xf numFmtId="10" fontId="2" fillId="0" borderId="0" xfId="0" applyNumberFormat="1" applyFont="1" applyAlignment="1">
      <alignment vertical="center"/>
    </xf>
    <xf numFmtId="194" fontId="22" fillId="0" borderId="0" xfId="0" applyNumberFormat="1" applyFont="1" applyAlignment="1">
      <alignment vertical="center"/>
    </xf>
    <xf numFmtId="195" fontId="22" fillId="0" borderId="0" xfId="0" applyNumberFormat="1" applyFont="1" applyAlignment="1">
      <alignment horizontal="left" vertical="center"/>
    </xf>
    <xf numFmtId="3" fontId="23" fillId="0" borderId="0" xfId="0" applyNumberFormat="1" applyFont="1" applyAlignment="1">
      <alignment horizontal="left" vertical="center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3" fontId="23" fillId="9" borderId="0" xfId="0" applyNumberFormat="1" applyFont="1" applyFill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196" fontId="6" fillId="0" borderId="7" xfId="0" applyNumberFormat="1" applyFont="1" applyBorder="1" applyAlignment="1">
      <alignment vertical="center"/>
    </xf>
    <xf numFmtId="180" fontId="19" fillId="0" borderId="0" xfId="0" applyNumberFormat="1" applyFont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10" fontId="22" fillId="3" borderId="0" xfId="0" applyNumberFormat="1" applyFont="1" applyFill="1"/>
    <xf numFmtId="0" fontId="6" fillId="0" borderId="0" xfId="0" applyFont="1" applyAlignment="1">
      <alignment horizontal="center" vertical="top" wrapText="1"/>
    </xf>
    <xf numFmtId="197" fontId="22" fillId="0" borderId="7" xfId="0" applyNumberFormat="1" applyFont="1" applyBorder="1"/>
    <xf numFmtId="10" fontId="22" fillId="0" borderId="0" xfId="0" applyNumberFormat="1" applyFont="1"/>
    <xf numFmtId="0" fontId="2" fillId="0" borderId="7" xfId="0" applyFont="1" applyBorder="1"/>
    <xf numFmtId="0" fontId="12" fillId="0" borderId="7" xfId="0" applyFont="1" applyBorder="1"/>
    <xf numFmtId="10" fontId="22" fillId="9" borderId="0" xfId="0" applyNumberFormat="1" applyFont="1" applyFill="1" applyAlignment="1">
      <alignment vertical="center"/>
    </xf>
    <xf numFmtId="170" fontId="2" fillId="9" borderId="0" xfId="0" applyNumberFormat="1" applyFont="1" applyFill="1" applyAlignment="1">
      <alignment vertical="center"/>
    </xf>
    <xf numFmtId="173" fontId="6" fillId="4" borderId="7" xfId="0" applyNumberFormat="1" applyFont="1" applyFill="1" applyBorder="1" applyAlignment="1">
      <alignment vertical="center"/>
    </xf>
    <xf numFmtId="10" fontId="22" fillId="3" borderId="0" xfId="0" applyNumberFormat="1" applyFont="1" applyFill="1" applyAlignment="1">
      <alignment vertical="center"/>
    </xf>
    <xf numFmtId="170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vertical="center"/>
    </xf>
    <xf numFmtId="173" fontId="2" fillId="0" borderId="5" xfId="0" applyNumberFormat="1" applyFont="1" applyBorder="1" applyAlignment="1">
      <alignment vertical="center"/>
    </xf>
    <xf numFmtId="173" fontId="2" fillId="0" borderId="7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70" fontId="19" fillId="0" borderId="7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98" fontId="22" fillId="0" borderId="7" xfId="0" applyNumberFormat="1" applyFont="1" applyBorder="1"/>
    <xf numFmtId="0" fontId="12" fillId="0" borderId="7" xfId="0" applyFont="1" applyBorder="1" applyAlignment="1">
      <alignment vertical="center"/>
    </xf>
    <xf numFmtId="3" fontId="22" fillId="0" borderId="0" xfId="0" applyNumberFormat="1" applyFont="1"/>
    <xf numFmtId="10" fontId="20" fillId="9" borderId="0" xfId="0" applyNumberFormat="1" applyFont="1" applyFill="1" applyAlignment="1">
      <alignment vertical="center"/>
    </xf>
    <xf numFmtId="10" fontId="23" fillId="0" borderId="0" xfId="0" applyNumberFormat="1" applyFont="1" applyAlignment="1">
      <alignment vertical="center"/>
    </xf>
    <xf numFmtId="0" fontId="2" fillId="9" borderId="0" xfId="0" applyFont="1" applyFill="1" applyAlignment="1">
      <alignment horizontal="right" vertical="center"/>
    </xf>
    <xf numFmtId="9" fontId="22" fillId="9" borderId="0" xfId="0" applyNumberFormat="1" applyFont="1" applyFill="1"/>
    <xf numFmtId="199" fontId="22" fillId="9" borderId="0" xfId="0" applyNumberFormat="1" applyFont="1" applyFill="1" applyAlignment="1">
      <alignment horizontal="left"/>
    </xf>
    <xf numFmtId="10" fontId="23" fillId="9" borderId="0" xfId="0" applyNumberFormat="1" applyFont="1" applyFill="1" applyAlignment="1">
      <alignment vertical="center"/>
    </xf>
    <xf numFmtId="173" fontId="13" fillId="9" borderId="7" xfId="0" applyNumberFormat="1" applyFont="1" applyFill="1" applyBorder="1" applyAlignment="1">
      <alignment vertical="center"/>
    </xf>
    <xf numFmtId="0" fontId="0" fillId="0" borderId="15" xfId="0" applyBorder="1"/>
    <xf numFmtId="0" fontId="29" fillId="8" borderId="15" xfId="0" applyFont="1" applyFill="1" applyBorder="1"/>
    <xf numFmtId="173" fontId="28" fillId="4" borderId="18" xfId="0" applyNumberFormat="1" applyFont="1" applyFill="1" applyBorder="1" applyAlignment="1">
      <alignment vertical="center"/>
    </xf>
    <xf numFmtId="0" fontId="29" fillId="8" borderId="9" xfId="0" applyFont="1" applyFill="1" applyBorder="1"/>
    <xf numFmtId="0" fontId="0" fillId="0" borderId="10" xfId="0" applyBorder="1"/>
    <xf numFmtId="173" fontId="28" fillId="4" borderId="10" xfId="0" applyNumberFormat="1" applyFont="1" applyFill="1" applyBorder="1" applyAlignment="1">
      <alignment vertical="center"/>
    </xf>
    <xf numFmtId="176" fontId="6" fillId="3" borderId="19" xfId="0" applyNumberFormat="1" applyFont="1" applyFill="1" applyBorder="1" applyAlignment="1">
      <alignment horizontal="left" vertical="center"/>
    </xf>
    <xf numFmtId="173" fontId="2" fillId="0" borderId="6" xfId="0" applyNumberFormat="1" applyFont="1" applyBorder="1"/>
    <xf numFmtId="176" fontId="6" fillId="10" borderId="6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2" fillId="10" borderId="0" xfId="0" applyFont="1" applyFill="1"/>
    <xf numFmtId="173" fontId="6" fillId="10" borderId="7" xfId="0" applyNumberFormat="1" applyFont="1" applyFill="1" applyBorder="1"/>
    <xf numFmtId="173" fontId="13" fillId="10" borderId="7" xfId="0" applyNumberFormat="1" applyFont="1" applyFill="1" applyBorder="1"/>
    <xf numFmtId="2" fontId="22" fillId="0" borderId="6" xfId="0" applyNumberFormat="1" applyFont="1" applyBorder="1" applyAlignment="1">
      <alignment horizontal="center" vertical="center"/>
    </xf>
    <xf numFmtId="176" fontId="22" fillId="0" borderId="0" xfId="0" applyNumberFormat="1" applyFont="1"/>
    <xf numFmtId="0" fontId="22" fillId="0" borderId="7" xfId="0" applyFont="1" applyBorder="1" applyAlignment="1">
      <alignment horizontal="right"/>
    </xf>
    <xf numFmtId="173" fontId="22" fillId="0" borderId="0" xfId="0" applyNumberFormat="1" applyFont="1" applyAlignment="1">
      <alignment vertical="center"/>
    </xf>
    <xf numFmtId="176" fontId="22" fillId="3" borderId="0" xfId="0" applyNumberFormat="1" applyFont="1" applyFill="1"/>
    <xf numFmtId="0" fontId="22" fillId="0" borderId="0" xfId="0" applyFont="1" applyAlignment="1">
      <alignment horizontal="right"/>
    </xf>
    <xf numFmtId="173" fontId="2" fillId="0" borderId="0" xfId="0" applyNumberFormat="1" applyFont="1" applyAlignment="1">
      <alignment horizontal="center"/>
    </xf>
    <xf numFmtId="200" fontId="26" fillId="0" borderId="0" xfId="0" applyNumberFormat="1" applyFont="1" applyAlignment="1">
      <alignment horizontal="center" vertical="center"/>
    </xf>
    <xf numFmtId="201" fontId="26" fillId="0" borderId="0" xfId="0" applyNumberFormat="1" applyFont="1" applyAlignment="1">
      <alignment horizontal="center" vertical="center"/>
    </xf>
    <xf numFmtId="173" fontId="28" fillId="8" borderId="13" xfId="0" applyNumberFormat="1" applyFont="1" applyFill="1" applyBorder="1" applyAlignment="1">
      <alignment horizontal="center" vertical="center"/>
    </xf>
    <xf numFmtId="173" fontId="13" fillId="8" borderId="13" xfId="0" applyNumberFormat="1" applyFont="1" applyFill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8" fillId="3" borderId="11" xfId="0" applyFont="1" applyFill="1" applyBorder="1" applyAlignment="1">
      <alignment vertical="center"/>
    </xf>
    <xf numFmtId="0" fontId="29" fillId="3" borderId="15" xfId="0" applyFont="1" applyFill="1" applyBorder="1"/>
    <xf numFmtId="173" fontId="28" fillId="3" borderId="18" xfId="0" applyNumberFormat="1" applyFont="1" applyFill="1" applyBorder="1"/>
    <xf numFmtId="173" fontId="28" fillId="0" borderId="5" xfId="0" applyNumberFormat="1" applyFont="1" applyBorder="1"/>
    <xf numFmtId="173" fontId="28" fillId="4" borderId="18" xfId="0" applyNumberFormat="1" applyFont="1" applyFill="1" applyBorder="1"/>
    <xf numFmtId="173" fontId="28" fillId="0" borderId="0" xfId="0" applyNumberFormat="1" applyFont="1"/>
    <xf numFmtId="173" fontId="13" fillId="3" borderId="18" xfId="0" applyNumberFormat="1" applyFont="1" applyFill="1" applyBorder="1"/>
    <xf numFmtId="10" fontId="28" fillId="3" borderId="10" xfId="0" applyNumberFormat="1" applyFont="1" applyFill="1" applyBorder="1"/>
    <xf numFmtId="10" fontId="28" fillId="4" borderId="10" xfId="0" applyNumberFormat="1" applyFont="1" applyFill="1" applyBorder="1"/>
    <xf numFmtId="10" fontId="13" fillId="3" borderId="10" xfId="0" applyNumberFormat="1" applyFont="1" applyFill="1" applyBorder="1"/>
    <xf numFmtId="176" fontId="6" fillId="11" borderId="6" xfId="0" applyNumberFormat="1" applyFont="1" applyFill="1" applyBorder="1" applyAlignment="1">
      <alignment horizontal="center"/>
    </xf>
    <xf numFmtId="0" fontId="6" fillId="11" borderId="0" xfId="0" applyFont="1" applyFill="1"/>
    <xf numFmtId="173" fontId="18" fillId="11" borderId="7" xfId="0" applyNumberFormat="1" applyFont="1" applyFill="1" applyBorder="1"/>
    <xf numFmtId="165" fontId="18" fillId="0" borderId="5" xfId="0" applyNumberFormat="1" applyFont="1" applyBorder="1"/>
    <xf numFmtId="173" fontId="13" fillId="11" borderId="7" xfId="0" applyNumberFormat="1" applyFont="1" applyFill="1" applyBorder="1"/>
    <xf numFmtId="176" fontId="6" fillId="0" borderId="6" xfId="0" applyNumberFormat="1" applyFont="1" applyBorder="1" applyAlignment="1">
      <alignment horizontal="center"/>
    </xf>
    <xf numFmtId="202" fontId="2" fillId="0" borderId="0" xfId="0" applyNumberFormat="1" applyFont="1"/>
    <xf numFmtId="9" fontId="2" fillId="0" borderId="0" xfId="0" applyNumberFormat="1" applyFont="1" applyAlignment="1">
      <alignment horizontal="left"/>
    </xf>
    <xf numFmtId="203" fontId="2" fillId="0" borderId="0" xfId="0" applyNumberFormat="1" applyFont="1" applyAlignment="1">
      <alignment horizontal="left"/>
    </xf>
    <xf numFmtId="170" fontId="22" fillId="0" borderId="0" xfId="0" applyNumberFormat="1" applyFont="1"/>
    <xf numFmtId="203" fontId="22" fillId="0" borderId="0" xfId="0" applyNumberFormat="1" applyFont="1" applyAlignment="1">
      <alignment horizontal="left"/>
    </xf>
    <xf numFmtId="204" fontId="18" fillId="0" borderId="10" xfId="0" applyNumberFormat="1" applyFont="1" applyBorder="1" applyAlignment="1">
      <alignment horizontal="center" vertical="center"/>
    </xf>
    <xf numFmtId="204" fontId="18" fillId="0" borderId="0" xfId="0" applyNumberFormat="1" applyFont="1" applyAlignment="1">
      <alignment horizontal="center" vertical="center"/>
    </xf>
    <xf numFmtId="173" fontId="29" fillId="0" borderId="0" xfId="0" applyNumberFormat="1" applyFont="1" applyAlignment="1">
      <alignment vertical="center"/>
    </xf>
    <xf numFmtId="0" fontId="28" fillId="3" borderId="15" xfId="0" applyFont="1" applyFill="1" applyBorder="1"/>
    <xf numFmtId="0" fontId="28" fillId="3" borderId="9" xfId="0" applyFont="1" applyFill="1" applyBorder="1"/>
    <xf numFmtId="0" fontId="22" fillId="9" borderId="0" xfId="0" applyFont="1" applyFill="1"/>
    <xf numFmtId="185" fontId="6" fillId="9" borderId="0" xfId="0" applyNumberFormat="1" applyFont="1" applyFill="1" applyAlignment="1">
      <alignment horizontal="right" vertical="center"/>
    </xf>
    <xf numFmtId="173" fontId="22" fillId="9" borderId="7" xfId="0" applyNumberFormat="1" applyFont="1" applyFill="1" applyBorder="1"/>
    <xf numFmtId="165" fontId="6" fillId="0" borderId="0" xfId="0" applyNumberFormat="1" applyFont="1" applyAlignment="1">
      <alignment horizontal="right" vertical="center"/>
    </xf>
    <xf numFmtId="173" fontId="19" fillId="0" borderId="7" xfId="0" applyNumberFormat="1" applyFont="1" applyBorder="1"/>
    <xf numFmtId="176" fontId="6" fillId="10" borderId="6" xfId="0" applyNumberFormat="1" applyFont="1" applyFill="1" applyBorder="1" applyAlignment="1">
      <alignment horizontal="center"/>
    </xf>
    <xf numFmtId="0" fontId="6" fillId="10" borderId="0" xfId="0" applyFont="1" applyFill="1"/>
    <xf numFmtId="0" fontId="22" fillId="10" borderId="0" xfId="0" applyFont="1" applyFill="1"/>
    <xf numFmtId="165" fontId="6" fillId="10" borderId="0" xfId="0" applyNumberFormat="1" applyFont="1" applyFill="1" applyAlignment="1">
      <alignment horizontal="right" vertical="center"/>
    </xf>
    <xf numFmtId="173" fontId="22" fillId="10" borderId="7" xfId="0" applyNumberFormat="1" applyFont="1" applyFill="1" applyBorder="1"/>
    <xf numFmtId="0" fontId="22" fillId="11" borderId="0" xfId="0" applyFont="1" applyFill="1"/>
    <xf numFmtId="165" fontId="6" fillId="11" borderId="0" xfId="0" applyNumberFormat="1" applyFont="1" applyFill="1" applyAlignment="1">
      <alignment horizontal="right" vertical="center"/>
    </xf>
    <xf numFmtId="173" fontId="22" fillId="11" borderId="7" xfId="0" applyNumberFormat="1" applyFont="1" applyFill="1" applyBorder="1"/>
    <xf numFmtId="170" fontId="2" fillId="0" borderId="0" xfId="0" applyNumberFormat="1" applyFont="1"/>
    <xf numFmtId="173" fontId="6" fillId="0" borderId="13" xfId="0" applyNumberFormat="1" applyFont="1" applyBorder="1"/>
    <xf numFmtId="173" fontId="13" fillId="0" borderId="13" xfId="0" applyNumberFormat="1" applyFont="1" applyBorder="1"/>
    <xf numFmtId="0" fontId="28" fillId="3" borderId="17" xfId="0" applyFont="1" applyFill="1" applyBorder="1" applyAlignment="1">
      <alignment vertical="center"/>
    </xf>
    <xf numFmtId="0" fontId="29" fillId="3" borderId="15" xfId="0" applyFont="1" applyFill="1" applyBorder="1" applyAlignment="1">
      <alignment vertical="center"/>
    </xf>
    <xf numFmtId="0" fontId="28" fillId="3" borderId="20" xfId="0" applyFont="1" applyFill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28" fillId="3" borderId="1" xfId="0" applyFont="1" applyFill="1" applyBorder="1"/>
    <xf numFmtId="10" fontId="28" fillId="3" borderId="21" xfId="0" applyNumberFormat="1" applyFont="1" applyFill="1" applyBorder="1"/>
    <xf numFmtId="10" fontId="28" fillId="4" borderId="21" xfId="0" applyNumberFormat="1" applyFont="1" applyFill="1" applyBorder="1"/>
    <xf numFmtId="10" fontId="13" fillId="3" borderId="21" xfId="0" applyNumberFormat="1" applyFont="1" applyFill="1" applyBorder="1"/>
    <xf numFmtId="0" fontId="40" fillId="3" borderId="0" xfId="0" applyFont="1" applyFill="1" applyAlignment="1">
      <alignment horizontal="left" vertical="center" wrapText="1"/>
    </xf>
    <xf numFmtId="170" fontId="41" fillId="3" borderId="0" xfId="0" applyNumberFormat="1" applyFont="1" applyFill="1" applyAlignment="1">
      <alignment horizontal="center" vertical="center"/>
    </xf>
    <xf numFmtId="170" fontId="41" fillId="3" borderId="0" xfId="0" applyNumberFormat="1" applyFont="1" applyFill="1"/>
    <xf numFmtId="205" fontId="41" fillId="3" borderId="0" xfId="0" applyNumberFormat="1" applyFont="1" applyFill="1" applyAlignment="1">
      <alignment horizontal="center" vertical="center"/>
    </xf>
    <xf numFmtId="205" fontId="41" fillId="3" borderId="0" xfId="0" applyNumberFormat="1" applyFont="1" applyFill="1"/>
    <xf numFmtId="0" fontId="42" fillId="12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 wrapText="1"/>
    </xf>
    <xf numFmtId="0" fontId="25" fillId="13" borderId="0" xfId="0" applyFont="1" applyFill="1" applyAlignment="1">
      <alignment horizontal="left" vertical="center" wrapText="1"/>
    </xf>
    <xf numFmtId="174" fontId="43" fillId="13" borderId="0" xfId="0" applyNumberFormat="1" applyFont="1" applyFill="1" applyAlignment="1">
      <alignment horizontal="center" vertical="center"/>
    </xf>
    <xf numFmtId="174" fontId="0" fillId="13" borderId="0" xfId="0" applyNumberFormat="1" applyFill="1"/>
    <xf numFmtId="170" fontId="43" fillId="13" borderId="0" xfId="0" applyNumberFormat="1" applyFont="1" applyFill="1" applyAlignment="1">
      <alignment horizontal="center" vertical="center"/>
    </xf>
    <xf numFmtId="170" fontId="0" fillId="13" borderId="0" xfId="0" applyNumberFormat="1" applyFill="1"/>
    <xf numFmtId="0" fontId="44" fillId="0" borderId="0" xfId="0" applyFont="1"/>
    <xf numFmtId="0" fontId="45" fillId="0" borderId="0" xfId="0" applyFont="1"/>
    <xf numFmtId="0" fontId="28" fillId="0" borderId="0" xfId="0" applyFont="1"/>
    <xf numFmtId="10" fontId="19" fillId="0" borderId="0" xfId="0" applyNumberFormat="1" applyFont="1"/>
    <xf numFmtId="0" fontId="46" fillId="0" borderId="0" xfId="0" applyFont="1"/>
    <xf numFmtId="10" fontId="47" fillId="0" borderId="0" xfId="0" applyNumberFormat="1" applyFont="1"/>
    <xf numFmtId="0" fontId="6" fillId="0" borderId="0" xfId="0" applyFont="1" applyAlignment="1">
      <alignment horizontal="right" vertical="center" wrapText="1"/>
    </xf>
    <xf numFmtId="0" fontId="25" fillId="0" borderId="0" xfId="0" applyFont="1" applyAlignment="1">
      <alignment horizontal="left" vertical="center"/>
    </xf>
    <xf numFmtId="0" fontId="42" fillId="14" borderId="0" xfId="0" applyFont="1" applyFill="1" applyAlignment="1">
      <alignment horizontal="left" vertical="center"/>
    </xf>
    <xf numFmtId="0" fontId="50" fillId="14" borderId="1" xfId="0" applyFont="1" applyFill="1" applyBorder="1" applyAlignment="1">
      <alignment horizontal="center" vertical="center"/>
    </xf>
    <xf numFmtId="0" fontId="51" fillId="14" borderId="1" xfId="0" applyFont="1" applyFill="1" applyBorder="1" applyAlignment="1">
      <alignment horizontal="center" vertical="center" wrapText="1"/>
    </xf>
    <xf numFmtId="0" fontId="51" fillId="15" borderId="1" xfId="0" applyFont="1" applyFill="1" applyBorder="1" applyAlignment="1">
      <alignment horizontal="center" vertical="center" wrapText="1"/>
    </xf>
    <xf numFmtId="0" fontId="42" fillId="16" borderId="1" xfId="0" applyFont="1" applyFill="1" applyBorder="1" applyAlignment="1">
      <alignment horizontal="center" vertical="center"/>
    </xf>
    <xf numFmtId="17" fontId="52" fillId="0" borderId="0" xfId="0" applyNumberFormat="1" applyFont="1" applyAlignment="1">
      <alignment horizontal="center" vertical="center"/>
    </xf>
    <xf numFmtId="0" fontId="33" fillId="17" borderId="0" xfId="0" applyFont="1" applyFill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53" fillId="0" borderId="0" xfId="0" applyFont="1" applyAlignment="1">
      <alignment horizontal="center" vertical="center"/>
    </xf>
    <xf numFmtId="206" fontId="54" fillId="0" borderId="0" xfId="0" applyNumberFormat="1" applyFont="1" applyAlignment="1">
      <alignment horizontal="center" vertical="center"/>
    </xf>
    <xf numFmtId="10" fontId="53" fillId="0" borderId="0" xfId="0" applyNumberFormat="1" applyFont="1" applyAlignment="1">
      <alignment horizontal="center" vertical="center"/>
    </xf>
    <xf numFmtId="170" fontId="53" fillId="0" borderId="0" xfId="0" applyNumberFormat="1" applyFont="1" applyAlignment="1">
      <alignment horizontal="center" vertical="center"/>
    </xf>
    <xf numFmtId="0" fontId="50" fillId="15" borderId="0" xfId="0" applyFont="1" applyFill="1" applyAlignment="1">
      <alignment horizontal="center" vertical="center"/>
    </xf>
    <xf numFmtId="0" fontId="51" fillId="15" borderId="0" xfId="0" applyFont="1" applyFill="1" applyAlignment="1">
      <alignment horizontal="center" vertical="center"/>
    </xf>
    <xf numFmtId="0" fontId="50" fillId="16" borderId="0" xfId="0" applyFont="1" applyFill="1" applyAlignment="1">
      <alignment horizontal="center" vertical="center"/>
    </xf>
    <xf numFmtId="0" fontId="55" fillId="0" borderId="0" xfId="0" applyFont="1" applyAlignment="1">
      <alignment horizontal="center"/>
    </xf>
    <xf numFmtId="207" fontId="53" fillId="0" borderId="0" xfId="0" applyNumberFormat="1" applyFont="1" applyAlignment="1">
      <alignment horizontal="center"/>
    </xf>
    <xf numFmtId="207" fontId="25" fillId="18" borderId="0" xfId="0" applyNumberFormat="1" applyFont="1" applyFill="1" applyAlignment="1">
      <alignment horizontal="center"/>
    </xf>
    <xf numFmtId="0" fontId="51" fillId="16" borderId="0" xfId="0" applyFont="1" applyFill="1" applyAlignment="1">
      <alignment horizontal="center" vertical="center"/>
    </xf>
    <xf numFmtId="206" fontId="33" fillId="0" borderId="0" xfId="0" applyNumberFormat="1" applyFont="1" applyAlignment="1">
      <alignment horizontal="center" vertical="center"/>
    </xf>
    <xf numFmtId="206" fontId="56" fillId="18" borderId="22" xfId="0" applyNumberFormat="1" applyFont="1" applyFill="1" applyBorder="1" applyAlignment="1">
      <alignment horizontal="center" vertical="center"/>
    </xf>
    <xf numFmtId="0" fontId="57" fillId="16" borderId="0" xfId="0" applyFont="1" applyFill="1" applyAlignment="1">
      <alignment horizontal="left" vertical="center"/>
    </xf>
    <xf numFmtId="206" fontId="56" fillId="19" borderId="22" xfId="0" applyNumberFormat="1" applyFont="1" applyFill="1" applyBorder="1" applyAlignment="1">
      <alignment horizontal="center" vertical="center"/>
    </xf>
    <xf numFmtId="0" fontId="50" fillId="20" borderId="0" xfId="0" applyFont="1" applyFill="1" applyAlignment="1">
      <alignment horizontal="center" vertical="center"/>
    </xf>
    <xf numFmtId="0" fontId="51" fillId="20" borderId="0" xfId="0" applyFont="1" applyFill="1" applyAlignment="1">
      <alignment horizontal="center" vertical="center"/>
    </xf>
    <xf numFmtId="0" fontId="33" fillId="0" borderId="0" xfId="0" applyFont="1" applyAlignment="1">
      <alignment vertical="center" indent="1"/>
    </xf>
    <xf numFmtId="0" fontId="58" fillId="0" borderId="0" xfId="0" applyFont="1" applyAlignment="1">
      <alignment horizontal="center" vertical="center"/>
    </xf>
    <xf numFmtId="206" fontId="56" fillId="21" borderId="22" xfId="0" applyNumberFormat="1" applyFont="1" applyFill="1" applyBorder="1" applyAlignment="1">
      <alignment horizontal="center" vertical="center"/>
    </xf>
    <xf numFmtId="0" fontId="57" fillId="20" borderId="0" xfId="0" applyFont="1" applyFill="1" applyAlignment="1">
      <alignment horizontal="left" vertical="center"/>
    </xf>
    <xf numFmtId="0" fontId="42" fillId="22" borderId="0" xfId="0" applyFont="1" applyFill="1" applyAlignment="1">
      <alignment horizontal="left" vertical="center"/>
    </xf>
    <xf numFmtId="206" fontId="57" fillId="22" borderId="22" xfId="0" applyNumberFormat="1" applyFont="1" applyFill="1" applyBorder="1" applyAlignment="1">
      <alignment horizontal="center" vertical="center"/>
    </xf>
    <xf numFmtId="0" fontId="50" fillId="14" borderId="0" xfId="0" applyFont="1" applyFill="1" applyAlignment="1">
      <alignment horizontal="center" vertical="center"/>
    </xf>
    <xf numFmtId="0" fontId="51" fillId="14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left" vertical="center"/>
    </xf>
    <xf numFmtId="206" fontId="59" fillId="0" borderId="0" xfId="0" applyNumberFormat="1" applyFont="1" applyAlignment="1">
      <alignment horizontal="center" vertical="center"/>
    </xf>
    <xf numFmtId="206" fontId="59" fillId="18" borderId="0" xfId="0" applyNumberFormat="1" applyFont="1" applyFill="1" applyAlignment="1">
      <alignment horizontal="center" vertical="center"/>
    </xf>
    <xf numFmtId="206" fontId="60" fillId="0" borderId="0" xfId="0" applyNumberFormat="1" applyFont="1" applyAlignment="1">
      <alignment horizontal="center" vertical="center"/>
    </xf>
    <xf numFmtId="206" fontId="60" fillId="18" borderId="0" xfId="0" applyNumberFormat="1" applyFont="1" applyFill="1" applyAlignment="1">
      <alignment horizontal="center" vertical="center"/>
    </xf>
    <xf numFmtId="0" fontId="57" fillId="14" borderId="0" xfId="0" applyFont="1" applyFill="1" applyAlignment="1">
      <alignment horizontal="left" vertical="center"/>
    </xf>
    <xf numFmtId="206" fontId="57" fillId="14" borderId="22" xfId="0" applyNumberFormat="1" applyFont="1" applyFill="1" applyBorder="1" applyAlignment="1">
      <alignment horizontal="center" vertical="center"/>
    </xf>
    <xf numFmtId="0" fontId="57" fillId="15" borderId="0" xfId="0" applyFont="1" applyFill="1" applyAlignment="1">
      <alignment horizontal="left" vertical="center"/>
    </xf>
    <xf numFmtId="206" fontId="57" fillId="15" borderId="0" xfId="0" applyNumberFormat="1" applyFont="1" applyFill="1" applyAlignment="1">
      <alignment horizontal="center" vertical="center"/>
    </xf>
    <xf numFmtId="206" fontId="61" fillId="21" borderId="0" xfId="0" applyNumberFormat="1" applyFont="1" applyFill="1" applyAlignment="1">
      <alignment horizontal="center" vertical="center"/>
    </xf>
    <xf numFmtId="0" fontId="62" fillId="23" borderId="0" xfId="0" applyFont="1" applyFill="1" applyAlignment="1">
      <alignment horizontal="left" vertical="center"/>
    </xf>
    <xf numFmtId="3" fontId="26" fillId="17" borderId="0" xfId="0" applyNumberFormat="1" applyFont="1" applyFill="1" applyAlignment="1">
      <alignment horizontal="center" vertical="center"/>
    </xf>
    <xf numFmtId="0" fontId="62" fillId="24" borderId="0" xfId="0" applyFont="1" applyFill="1" applyAlignment="1">
      <alignment horizontal="left" vertical="center"/>
    </xf>
    <xf numFmtId="9" fontId="26" fillId="17" borderId="0" xfId="0" applyNumberFormat="1" applyFont="1" applyFill="1" applyAlignment="1">
      <alignment horizontal="center" vertical="center"/>
    </xf>
    <xf numFmtId="0" fontId="64" fillId="15" borderId="1" xfId="0" applyFont="1" applyFill="1" applyBorder="1" applyAlignment="1">
      <alignment horizontal="center" vertical="center" wrapText="1"/>
    </xf>
    <xf numFmtId="0" fontId="64" fillId="15" borderId="9" xfId="0" applyFont="1" applyFill="1" applyBorder="1" applyAlignment="1">
      <alignment horizontal="center" vertical="center" wrapText="1"/>
    </xf>
    <xf numFmtId="0" fontId="64" fillId="25" borderId="1" xfId="0" applyFont="1" applyFill="1" applyBorder="1" applyAlignment="1">
      <alignment horizontal="center" vertical="center" wrapText="1"/>
    </xf>
    <xf numFmtId="0" fontId="64" fillId="15" borderId="0" xfId="0" applyFont="1" applyFill="1" applyAlignment="1">
      <alignment horizontal="center" vertical="center" wrapText="1"/>
    </xf>
    <xf numFmtId="170" fontId="0" fillId="0" borderId="0" xfId="0" applyNumberFormat="1" applyAlignment="1">
      <alignment horizontal="center" vertical="center"/>
    </xf>
    <xf numFmtId="170" fontId="65" fillId="3" borderId="23" xfId="0" applyNumberFormat="1" applyFont="1" applyFill="1" applyBorder="1" applyAlignment="1">
      <alignment horizontal="center" vertical="center"/>
    </xf>
    <xf numFmtId="170" fontId="66" fillId="24" borderId="0" xfId="0" applyNumberFormat="1" applyFont="1" applyFill="1" applyAlignment="1">
      <alignment horizontal="center" vertical="center"/>
    </xf>
    <xf numFmtId="10" fontId="66" fillId="24" borderId="0" xfId="0" applyNumberFormat="1" applyFont="1" applyFill="1" applyAlignment="1">
      <alignment horizontal="center" vertical="center"/>
    </xf>
    <xf numFmtId="1" fontId="66" fillId="24" borderId="0" xfId="0" applyNumberFormat="1" applyFont="1" applyFill="1" applyAlignment="1">
      <alignment horizontal="center" vertical="center"/>
    </xf>
    <xf numFmtId="0" fontId="64" fillId="25" borderId="0" xfId="0" applyFont="1" applyFill="1" applyAlignment="1">
      <alignment horizontal="center" vertical="center" wrapText="1"/>
    </xf>
    <xf numFmtId="206" fontId="66" fillId="24" borderId="0" xfId="0" applyNumberFormat="1" applyFont="1" applyFill="1" applyAlignment="1">
      <alignment horizontal="center" vertical="center"/>
    </xf>
    <xf numFmtId="0" fontId="62" fillId="17" borderId="0" xfId="0" applyFont="1" applyFill="1" applyAlignment="1">
      <alignment horizontal="left" vertical="center"/>
    </xf>
    <xf numFmtId="206" fontId="66" fillId="17" borderId="0" xfId="0" applyNumberFormat="1" applyFont="1" applyFill="1" applyAlignment="1">
      <alignment horizontal="center" vertical="center"/>
    </xf>
    <xf numFmtId="0" fontId="64" fillId="16" borderId="1" xfId="0" applyFont="1" applyFill="1" applyBorder="1" applyAlignment="1">
      <alignment horizontal="center" vertical="center" wrapText="1"/>
    </xf>
    <xf numFmtId="0" fontId="64" fillId="16" borderId="9" xfId="0" applyFont="1" applyFill="1" applyBorder="1" applyAlignment="1">
      <alignment horizontal="center" vertical="center" wrapText="1"/>
    </xf>
    <xf numFmtId="0" fontId="64" fillId="16" borderId="0" xfId="0" applyFont="1" applyFill="1" applyAlignment="1">
      <alignment horizontal="center" vertical="center" wrapText="1"/>
    </xf>
    <xf numFmtId="205" fontId="66" fillId="24" borderId="0" xfId="0" applyNumberFormat="1" applyFont="1" applyFill="1" applyAlignment="1">
      <alignment horizontal="center" vertical="center"/>
    </xf>
    <xf numFmtId="0" fontId="67" fillId="26" borderId="0" xfId="0" applyFont="1" applyFill="1" applyAlignment="1">
      <alignment horizontal="left" vertical="center"/>
    </xf>
    <xf numFmtId="170" fontId="68" fillId="26" borderId="0" xfId="0" applyNumberFormat="1" applyFont="1" applyFill="1" applyAlignment="1">
      <alignment horizontal="center" vertical="center"/>
    </xf>
    <xf numFmtId="1" fontId="66" fillId="17" borderId="0" xfId="0" applyNumberFormat="1" applyFont="1" applyFill="1" applyAlignment="1">
      <alignment horizontal="center" vertical="center"/>
    </xf>
    <xf numFmtId="0" fontId="64" fillId="20" borderId="1" xfId="0" applyFont="1" applyFill="1" applyBorder="1" applyAlignment="1">
      <alignment horizontal="center" vertical="center" wrapText="1"/>
    </xf>
    <xf numFmtId="0" fontId="64" fillId="20" borderId="9" xfId="0" applyFont="1" applyFill="1" applyBorder="1" applyAlignment="1">
      <alignment horizontal="center" vertical="center" wrapText="1"/>
    </xf>
    <xf numFmtId="0" fontId="64" fillId="28" borderId="1" xfId="0" applyFont="1" applyFill="1" applyBorder="1" applyAlignment="1">
      <alignment horizontal="center" vertical="center" wrapText="1"/>
    </xf>
    <xf numFmtId="0" fontId="64" fillId="20" borderId="0" xfId="0" applyFont="1" applyFill="1" applyAlignment="1">
      <alignment horizontal="center" vertical="center" wrapText="1"/>
    </xf>
    <xf numFmtId="206" fontId="0" fillId="0" borderId="0" xfId="0" applyNumberFormat="1" applyAlignment="1">
      <alignment horizontal="center" vertical="center"/>
    </xf>
    <xf numFmtId="206" fontId="65" fillId="3" borderId="23" xfId="0" applyNumberFormat="1" applyFont="1" applyFill="1" applyBorder="1" applyAlignment="1">
      <alignment horizontal="center" vertical="center"/>
    </xf>
    <xf numFmtId="0" fontId="64" fillId="28" borderId="0" xfId="0" applyFont="1" applyFill="1" applyAlignment="1">
      <alignment horizontal="center" vertical="center" wrapText="1"/>
    </xf>
    <xf numFmtId="0" fontId="64" fillId="22" borderId="1" xfId="0" applyFont="1" applyFill="1" applyBorder="1" applyAlignment="1">
      <alignment horizontal="center" vertical="center" wrapText="1"/>
    </xf>
    <xf numFmtId="0" fontId="64" fillId="22" borderId="9" xfId="0" applyFont="1" applyFill="1" applyBorder="1" applyAlignment="1">
      <alignment horizontal="center" vertical="center" wrapText="1"/>
    </xf>
    <xf numFmtId="0" fontId="64" fillId="31" borderId="1" xfId="0" applyFont="1" applyFill="1" applyBorder="1" applyAlignment="1">
      <alignment horizontal="center" vertical="center" wrapText="1"/>
    </xf>
    <xf numFmtId="0" fontId="64" fillId="22" borderId="0" xfId="0" applyFont="1" applyFill="1" applyAlignment="1">
      <alignment horizontal="center" vertical="center" wrapText="1"/>
    </xf>
    <xf numFmtId="0" fontId="64" fillId="31" borderId="0" xfId="0" applyFont="1" applyFill="1" applyAlignment="1">
      <alignment horizontal="center" vertical="center" wrapText="1"/>
    </xf>
    <xf numFmtId="0" fontId="69" fillId="17" borderId="0" xfId="0" applyFont="1" applyFill="1" applyAlignment="1">
      <alignment horizontal="center" vertical="center"/>
    </xf>
    <xf numFmtId="206" fontId="69" fillId="17" borderId="0" xfId="0" applyNumberFormat="1" applyFont="1" applyFill="1" applyAlignment="1">
      <alignment horizontal="center" vertical="center"/>
    </xf>
    <xf numFmtId="208" fontId="69" fillId="17" borderId="0" xfId="0" applyNumberFormat="1" applyFont="1" applyFill="1" applyAlignment="1">
      <alignment horizontal="center" vertical="center"/>
    </xf>
    <xf numFmtId="0" fontId="69" fillId="24" borderId="0" xfId="0" applyFont="1" applyFill="1" applyAlignment="1">
      <alignment horizontal="center" vertical="center"/>
    </xf>
    <xf numFmtId="206" fontId="69" fillId="24" borderId="0" xfId="0" applyNumberFormat="1" applyFont="1" applyFill="1" applyAlignment="1">
      <alignment horizontal="center" vertical="center"/>
    </xf>
    <xf numFmtId="208" fontId="69" fillId="24" borderId="0" xfId="0" applyNumberFormat="1" applyFont="1" applyFill="1" applyAlignment="1">
      <alignment horizontal="center" vertical="center"/>
    </xf>
    <xf numFmtId="0" fontId="70" fillId="32" borderId="0" xfId="0" applyFont="1" applyFill="1" applyAlignment="1">
      <alignment horizontal="center" vertical="center"/>
    </xf>
    <xf numFmtId="206" fontId="70" fillId="32" borderId="0" xfId="0" applyNumberFormat="1" applyFont="1" applyFill="1" applyAlignment="1">
      <alignment horizontal="center" vertical="center"/>
    </xf>
    <xf numFmtId="208" fontId="70" fillId="32" borderId="0" xfId="0" applyNumberFormat="1" applyFont="1" applyFill="1" applyAlignment="1">
      <alignment horizontal="center" vertical="center"/>
    </xf>
    <xf numFmtId="206" fontId="71" fillId="17" borderId="0" xfId="0" applyNumberFormat="1" applyFont="1" applyFill="1" applyAlignment="1">
      <alignment horizontal="center" vertical="center"/>
    </xf>
    <xf numFmtId="0" fontId="33" fillId="24" borderId="0" xfId="0" applyFont="1" applyFill="1" applyAlignment="1">
      <alignment horizontal="left" vertical="center"/>
    </xf>
    <xf numFmtId="206" fontId="71" fillId="24" borderId="0" xfId="0" applyNumberFormat="1" applyFont="1" applyFill="1" applyAlignment="1">
      <alignment horizontal="center" vertical="center"/>
    </xf>
    <xf numFmtId="207" fontId="71" fillId="17" borderId="0" xfId="0" applyNumberFormat="1" applyFont="1" applyFill="1" applyAlignment="1">
      <alignment horizontal="center" vertical="center"/>
    </xf>
    <xf numFmtId="1" fontId="71" fillId="17" borderId="0" xfId="0" applyNumberFormat="1" applyFont="1" applyFill="1" applyAlignment="1">
      <alignment horizontal="center" vertical="center"/>
    </xf>
    <xf numFmtId="209" fontId="72" fillId="17" borderId="0" xfId="0" applyNumberFormat="1" applyFont="1" applyFill="1" applyAlignment="1">
      <alignment horizontal="center" vertical="center"/>
    </xf>
    <xf numFmtId="206" fontId="73" fillId="17" borderId="0" xfId="0" applyNumberFormat="1" applyFont="1" applyFill="1" applyAlignment="1">
      <alignment horizontal="center" vertical="center"/>
    </xf>
    <xf numFmtId="209" fontId="72" fillId="24" borderId="0" xfId="0" applyNumberFormat="1" applyFont="1" applyFill="1" applyAlignment="1">
      <alignment horizontal="center" vertical="center"/>
    </xf>
    <xf numFmtId="206" fontId="73" fillId="24" borderId="0" xfId="0" applyNumberFormat="1" applyFont="1" applyFill="1" applyAlignment="1">
      <alignment horizontal="center" vertical="center"/>
    </xf>
    <xf numFmtId="10" fontId="57" fillId="14" borderId="14" xfId="0" applyNumberFormat="1" applyFont="1" applyFill="1" applyBorder="1" applyAlignment="1">
      <alignment horizontal="center" vertical="center"/>
    </xf>
    <xf numFmtId="10" fontId="57" fillId="15" borderId="14" xfId="0" applyNumberFormat="1" applyFont="1" applyFill="1" applyBorder="1" applyAlignment="1">
      <alignment horizontal="center" vertical="center"/>
    </xf>
    <xf numFmtId="206" fontId="0" fillId="0" borderId="0" xfId="0" applyNumberFormat="1"/>
    <xf numFmtId="206" fontId="74" fillId="26" borderId="14" xfId="0" applyNumberFormat="1" applyFont="1" applyFill="1" applyBorder="1" applyAlignment="1">
      <alignment horizontal="center" vertical="center"/>
    </xf>
    <xf numFmtId="206" fontId="56" fillId="17" borderId="14" xfId="0" applyNumberFormat="1" applyFont="1" applyFill="1" applyBorder="1" applyAlignment="1">
      <alignment horizontal="center" vertical="center"/>
    </xf>
    <xf numFmtId="205" fontId="56" fillId="17" borderId="14" xfId="0" applyNumberFormat="1" applyFont="1" applyFill="1" applyBorder="1" applyAlignment="1">
      <alignment horizontal="center" vertical="center"/>
    </xf>
    <xf numFmtId="170" fontId="56" fillId="17" borderId="14" xfId="0" applyNumberFormat="1" applyFont="1" applyFill="1" applyBorder="1" applyAlignment="1">
      <alignment horizontal="center" vertical="center"/>
    </xf>
    <xf numFmtId="1" fontId="56" fillId="17" borderId="14" xfId="0" applyNumberFormat="1" applyFont="1" applyFill="1" applyBorder="1" applyAlignment="1">
      <alignment horizontal="center" vertical="center"/>
    </xf>
    <xf numFmtId="3" fontId="72" fillId="0" borderId="0" xfId="0" applyNumberFormat="1" applyFont="1" applyAlignment="1">
      <alignment horizontal="center"/>
    </xf>
    <xf numFmtId="9" fontId="72" fillId="0" borderId="0" xfId="0" applyNumberFormat="1" applyFont="1" applyAlignment="1">
      <alignment horizontal="center"/>
    </xf>
    <xf numFmtId="0" fontId="50" fillId="14" borderId="14" xfId="0" applyFont="1" applyFill="1" applyBorder="1" applyAlignment="1">
      <alignment horizontal="center" vertical="center" wrapText="1"/>
    </xf>
    <xf numFmtId="0" fontId="42" fillId="15" borderId="14" xfId="0" applyFont="1" applyFill="1" applyBorder="1" applyAlignment="1">
      <alignment horizontal="center" vertical="center"/>
    </xf>
    <xf numFmtId="0" fontId="42" fillId="25" borderId="23" xfId="0" applyFont="1" applyFill="1" applyBorder="1" applyAlignment="1">
      <alignment horizontal="center" vertical="center"/>
    </xf>
    <xf numFmtId="0" fontId="75" fillId="15" borderId="14" xfId="0" applyFont="1" applyFill="1" applyBorder="1" applyAlignment="1">
      <alignment horizontal="center" vertical="center" wrapText="1"/>
    </xf>
    <xf numFmtId="10" fontId="0" fillId="33" borderId="14" xfId="0" applyNumberFormat="1" applyFill="1" applyBorder="1" applyAlignment="1">
      <alignment horizontal="center" vertical="center"/>
    </xf>
    <xf numFmtId="0" fontId="50" fillId="25" borderId="23" xfId="0" applyFont="1" applyFill="1" applyBorder="1" applyAlignment="1">
      <alignment horizontal="center" vertical="center" wrapText="1"/>
    </xf>
    <xf numFmtId="10" fontId="65" fillId="3" borderId="23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76" fillId="19" borderId="14" xfId="0" applyFont="1" applyFill="1" applyBorder="1" applyAlignment="1">
      <alignment horizontal="center" vertical="center"/>
    </xf>
    <xf numFmtId="0" fontId="76" fillId="29" borderId="14" xfId="0" applyFont="1" applyFill="1" applyBorder="1" applyAlignment="1">
      <alignment horizontal="center" vertical="center"/>
    </xf>
    <xf numFmtId="0" fontId="76" fillId="30" borderId="14" xfId="0" applyFont="1" applyFill="1" applyBorder="1" applyAlignment="1">
      <alignment horizontal="center" vertical="center"/>
    </xf>
    <xf numFmtId="207" fontId="72" fillId="0" borderId="0" xfId="0" applyNumberFormat="1" applyFont="1" applyAlignment="1">
      <alignment horizontal="center" vertical="center"/>
    </xf>
    <xf numFmtId="207" fontId="0" fillId="0" borderId="0" xfId="0" applyNumberFormat="1" applyAlignment="1">
      <alignment horizontal="center" vertical="center"/>
    </xf>
    <xf numFmtId="0" fontId="50" fillId="16" borderId="14" xfId="0" applyFont="1" applyFill="1" applyBorder="1" applyAlignment="1">
      <alignment horizontal="center" vertical="center" wrapText="1"/>
    </xf>
    <xf numFmtId="207" fontId="42" fillId="16" borderId="14" xfId="0" applyNumberFormat="1" applyFont="1" applyFill="1" applyBorder="1" applyAlignment="1">
      <alignment horizontal="center" vertical="center"/>
    </xf>
    <xf numFmtId="207" fontId="42" fillId="25" borderId="23" xfId="0" applyNumberFormat="1" applyFont="1" applyFill="1" applyBorder="1" applyAlignment="1">
      <alignment horizontal="center" vertical="center"/>
    </xf>
    <xf numFmtId="0" fontId="75" fillId="16" borderId="14" xfId="0" applyFont="1" applyFill="1" applyBorder="1" applyAlignment="1">
      <alignment horizontal="center" vertical="center" wrapText="1"/>
    </xf>
    <xf numFmtId="207" fontId="0" fillId="33" borderId="14" xfId="0" applyNumberFormat="1" applyFill="1" applyBorder="1" applyAlignment="1">
      <alignment horizontal="center" vertical="center"/>
    </xf>
    <xf numFmtId="207" fontId="65" fillId="3" borderId="23" xfId="0" applyNumberFormat="1" applyFont="1" applyFill="1" applyBorder="1" applyAlignment="1">
      <alignment horizontal="center" vertical="center"/>
    </xf>
    <xf numFmtId="170" fontId="0" fillId="33" borderId="14" xfId="0" applyNumberFormat="1" applyFill="1" applyBorder="1" applyAlignment="1">
      <alignment horizontal="center" vertical="center"/>
    </xf>
    <xf numFmtId="0" fontId="75" fillId="15" borderId="14" xfId="0" applyFont="1" applyFill="1" applyBorder="1" applyAlignment="1">
      <alignment horizontal="center" vertical="center"/>
    </xf>
    <xf numFmtId="206" fontId="0" fillId="33" borderId="14" xfId="0" applyNumberFormat="1" applyFill="1" applyBorder="1" applyAlignment="1">
      <alignment horizontal="center" vertical="center"/>
    </xf>
    <xf numFmtId="0" fontId="50" fillId="25" borderId="23" xfId="0" applyFont="1" applyFill="1" applyBorder="1" applyAlignment="1">
      <alignment horizontal="center" vertical="center"/>
    </xf>
    <xf numFmtId="0" fontId="50" fillId="20" borderId="14" xfId="0" applyFont="1" applyFill="1" applyBorder="1" applyAlignment="1">
      <alignment horizontal="center" vertical="center" wrapText="1"/>
    </xf>
    <xf numFmtId="49" fontId="33" fillId="17" borderId="14" xfId="0" applyNumberFormat="1" applyFont="1" applyFill="1" applyBorder="1" applyAlignment="1">
      <alignment horizontal="center" vertical="center"/>
    </xf>
    <xf numFmtId="206" fontId="54" fillId="17" borderId="14" xfId="0" applyNumberFormat="1" applyFont="1" applyFill="1" applyBorder="1" applyAlignment="1">
      <alignment horizontal="center" vertical="center"/>
    </xf>
    <xf numFmtId="206" fontId="33" fillId="17" borderId="14" xfId="0" applyNumberFormat="1" applyFont="1" applyFill="1" applyBorder="1" applyAlignment="1">
      <alignment horizontal="center" vertical="center"/>
    </xf>
    <xf numFmtId="208" fontId="77" fillId="17" borderId="14" xfId="0" applyNumberFormat="1" applyFont="1" applyFill="1" applyBorder="1" applyAlignment="1">
      <alignment horizontal="center" vertical="center"/>
    </xf>
    <xf numFmtId="49" fontId="14" fillId="17" borderId="14" xfId="0" applyNumberFormat="1" applyFont="1" applyFill="1" applyBorder="1" applyAlignment="1">
      <alignment horizontal="left" vertical="center"/>
    </xf>
    <xf numFmtId="207" fontId="0" fillId="0" borderId="0" xfId="0" applyNumberFormat="1"/>
    <xf numFmtId="207" fontId="33" fillId="24" borderId="14" xfId="0" applyNumberFormat="1" applyFont="1" applyFill="1" applyBorder="1" applyAlignment="1">
      <alignment horizontal="center" vertical="center"/>
    </xf>
    <xf numFmtId="206" fontId="54" fillId="24" borderId="14" xfId="0" applyNumberFormat="1" applyFont="1" applyFill="1" applyBorder="1" applyAlignment="1">
      <alignment horizontal="center" vertical="center"/>
    </xf>
    <xf numFmtId="206" fontId="33" fillId="24" borderId="14" xfId="0" applyNumberFormat="1" applyFont="1" applyFill="1" applyBorder="1" applyAlignment="1">
      <alignment horizontal="center" vertical="center"/>
    </xf>
    <xf numFmtId="208" fontId="77" fillId="24" borderId="14" xfId="0" applyNumberFormat="1" applyFont="1" applyFill="1" applyBorder="1" applyAlignment="1">
      <alignment horizontal="center" vertical="center"/>
    </xf>
    <xf numFmtId="49" fontId="14" fillId="24" borderId="14" xfId="0" applyNumberFormat="1" applyFont="1" applyFill="1" applyBorder="1" applyAlignment="1">
      <alignment horizontal="left" vertical="center"/>
    </xf>
    <xf numFmtId="49" fontId="25" fillId="17" borderId="23" xfId="0" applyNumberFormat="1" applyFont="1" applyFill="1" applyBorder="1" applyAlignment="1">
      <alignment horizontal="center" vertical="center"/>
    </xf>
    <xf numFmtId="206" fontId="71" fillId="17" borderId="23" xfId="0" applyNumberFormat="1" applyFont="1" applyFill="1" applyBorder="1" applyAlignment="1">
      <alignment horizontal="center" vertical="center"/>
    </xf>
    <xf numFmtId="206" fontId="25" fillId="3" borderId="23" xfId="0" applyNumberFormat="1" applyFont="1" applyFill="1" applyBorder="1" applyAlignment="1">
      <alignment horizontal="center" vertical="center"/>
    </xf>
    <xf numFmtId="206" fontId="25" fillId="17" borderId="23" xfId="0" applyNumberFormat="1" applyFont="1" applyFill="1" applyBorder="1" applyAlignment="1">
      <alignment horizontal="center" vertical="center"/>
    </xf>
    <xf numFmtId="206" fontId="42" fillId="14" borderId="23" xfId="0" applyNumberFormat="1" applyFont="1" applyFill="1" applyBorder="1" applyAlignment="1">
      <alignment horizontal="center" vertical="center"/>
    </xf>
    <xf numFmtId="208" fontId="78" fillId="17" borderId="23" xfId="0" applyNumberFormat="1" applyFont="1" applyFill="1" applyBorder="1" applyAlignment="1">
      <alignment horizontal="center" vertical="center"/>
    </xf>
    <xf numFmtId="49" fontId="79" fillId="17" borderId="23" xfId="0" applyNumberFormat="1" applyFont="1" applyFill="1" applyBorder="1" applyAlignment="1">
      <alignment horizontal="left" vertical="center"/>
    </xf>
    <xf numFmtId="49" fontId="33" fillId="24" borderId="14" xfId="0" applyNumberFormat="1" applyFont="1" applyFill="1" applyBorder="1" applyAlignment="1">
      <alignment horizontal="center" vertical="center"/>
    </xf>
    <xf numFmtId="0" fontId="42" fillId="14" borderId="14" xfId="0" applyFont="1" applyFill="1" applyBorder="1" applyAlignment="1">
      <alignment horizontal="center" vertical="center"/>
    </xf>
    <xf numFmtId="0" fontId="42" fillId="34" borderId="14" xfId="0" applyFont="1" applyFill="1" applyBorder="1" applyAlignment="1">
      <alignment horizontal="center" vertical="center"/>
    </xf>
    <xf numFmtId="0" fontId="42" fillId="25" borderId="14" xfId="0" applyFont="1" applyFill="1" applyBorder="1" applyAlignment="1">
      <alignment horizontal="center" vertical="center"/>
    </xf>
    <xf numFmtId="0" fontId="0" fillId="17" borderId="14" xfId="0" applyFill="1" applyBorder="1" applyAlignment="1">
      <alignment horizontal="left" vertical="center"/>
    </xf>
    <xf numFmtId="49" fontId="33" fillId="30" borderId="14" xfId="0" applyNumberFormat="1" applyFont="1" applyFill="1" applyBorder="1" applyAlignment="1">
      <alignment horizontal="center" vertical="center"/>
    </xf>
    <xf numFmtId="49" fontId="25" fillId="3" borderId="23" xfId="0" applyNumberFormat="1" applyFont="1" applyFill="1" applyBorder="1" applyAlignment="1">
      <alignment horizontal="center" vertical="center"/>
    </xf>
    <xf numFmtId="49" fontId="33" fillId="19" borderId="14" xfId="0" applyNumberFormat="1" applyFont="1" applyFill="1" applyBorder="1" applyAlignment="1">
      <alignment horizontal="center" vertical="center"/>
    </xf>
    <xf numFmtId="0" fontId="0" fillId="24" borderId="14" xfId="0" applyFill="1" applyBorder="1" applyAlignment="1">
      <alignment horizontal="left" vertical="center"/>
    </xf>
    <xf numFmtId="206" fontId="33" fillId="30" borderId="14" xfId="0" applyNumberFormat="1" applyFont="1" applyFill="1" applyBorder="1" applyAlignment="1">
      <alignment horizontal="center" vertical="center"/>
    </xf>
    <xf numFmtId="206" fontId="33" fillId="19" borderId="14" xfId="0" applyNumberFormat="1" applyFont="1" applyFill="1" applyBorder="1" applyAlignment="1">
      <alignment horizontal="center" vertical="center"/>
    </xf>
    <xf numFmtId="170" fontId="33" fillId="30" borderId="14" xfId="0" applyNumberFormat="1" applyFont="1" applyFill="1" applyBorder="1" applyAlignment="1">
      <alignment horizontal="center" vertical="center"/>
    </xf>
    <xf numFmtId="170" fontId="25" fillId="3" borderId="23" xfId="0" applyNumberFormat="1" applyFont="1" applyFill="1" applyBorder="1" applyAlignment="1">
      <alignment horizontal="center" vertical="center"/>
    </xf>
    <xf numFmtId="170" fontId="33" fillId="19" borderId="14" xfId="0" applyNumberFormat="1" applyFont="1" applyFill="1" applyBorder="1" applyAlignment="1">
      <alignment horizontal="center" vertical="center"/>
    </xf>
    <xf numFmtId="10" fontId="33" fillId="30" borderId="14" xfId="0" applyNumberFormat="1" applyFont="1" applyFill="1" applyBorder="1" applyAlignment="1">
      <alignment horizontal="center" vertical="center"/>
    </xf>
    <xf numFmtId="10" fontId="25" fillId="3" borderId="23" xfId="0" applyNumberFormat="1" applyFont="1" applyFill="1" applyBorder="1" applyAlignment="1">
      <alignment horizontal="center" vertical="center"/>
    </xf>
    <xf numFmtId="10" fontId="33" fillId="19" borderId="14" xfId="0" applyNumberFormat="1" applyFont="1" applyFill="1" applyBorder="1" applyAlignment="1">
      <alignment horizontal="center" vertical="center"/>
    </xf>
    <xf numFmtId="205" fontId="33" fillId="30" borderId="14" xfId="0" applyNumberFormat="1" applyFont="1" applyFill="1" applyBorder="1" applyAlignment="1">
      <alignment horizontal="center" vertical="center"/>
    </xf>
    <xf numFmtId="205" fontId="25" fillId="3" borderId="23" xfId="0" applyNumberFormat="1" applyFont="1" applyFill="1" applyBorder="1" applyAlignment="1">
      <alignment horizontal="center" vertical="center"/>
    </xf>
    <xf numFmtId="205" fontId="33" fillId="19" borderId="14" xfId="0" applyNumberFormat="1" applyFont="1" applyFill="1" applyBorder="1" applyAlignment="1">
      <alignment horizontal="center" vertical="center"/>
    </xf>
    <xf numFmtId="0" fontId="50" fillId="22" borderId="14" xfId="0" applyFont="1" applyFill="1" applyBorder="1" applyAlignment="1">
      <alignment horizontal="center" vertical="center" wrapText="1"/>
    </xf>
    <xf numFmtId="0" fontId="75" fillId="22" borderId="14" xfId="0" applyFont="1" applyFill="1" applyBorder="1" applyAlignment="1">
      <alignment horizontal="center" vertical="center"/>
    </xf>
    <xf numFmtId="0" fontId="82" fillId="36" borderId="0" xfId="0" applyFont="1" applyFill="1" applyAlignment="1">
      <alignment horizontal="center" vertical="center"/>
    </xf>
    <xf numFmtId="0" fontId="83" fillId="37" borderId="0" xfId="0" applyFont="1" applyFill="1" applyAlignment="1">
      <alignment horizontal="center" vertical="center"/>
    </xf>
    <xf numFmtId="0" fontId="84" fillId="37" borderId="0" xfId="0" applyFont="1" applyFill="1" applyAlignment="1">
      <alignment horizontal="left" vertical="center"/>
    </xf>
    <xf numFmtId="0" fontId="85" fillId="37" borderId="0" xfId="0" applyFont="1" applyFill="1" applyAlignment="1">
      <alignment horizontal="center" vertical="center"/>
    </xf>
    <xf numFmtId="210" fontId="86" fillId="38" borderId="0" xfId="0" applyNumberFormat="1" applyFont="1" applyFill="1" applyAlignment="1">
      <alignment horizontal="right" vertical="center"/>
    </xf>
    <xf numFmtId="0" fontId="87" fillId="37" borderId="0" xfId="0" applyFont="1" applyFill="1" applyAlignment="1">
      <alignment horizontal="left" vertical="center"/>
    </xf>
    <xf numFmtId="0" fontId="88" fillId="37" borderId="0" xfId="0" applyFont="1" applyFill="1" applyAlignment="1">
      <alignment horizontal="left" vertical="center"/>
    </xf>
    <xf numFmtId="0" fontId="83" fillId="38" borderId="0" xfId="0" applyFont="1" applyFill="1" applyAlignment="1">
      <alignment horizontal="center" vertical="center"/>
    </xf>
    <xf numFmtId="0" fontId="84" fillId="38" borderId="0" xfId="0" applyFont="1" applyFill="1" applyAlignment="1">
      <alignment horizontal="left" vertical="center"/>
    </xf>
    <xf numFmtId="0" fontId="85" fillId="38" borderId="0" xfId="0" applyFont="1" applyFill="1" applyAlignment="1">
      <alignment horizontal="center" vertical="center"/>
    </xf>
    <xf numFmtId="210" fontId="86" fillId="39" borderId="0" xfId="0" applyNumberFormat="1" applyFont="1" applyFill="1" applyAlignment="1">
      <alignment horizontal="right" vertical="center"/>
    </xf>
    <xf numFmtId="0" fontId="87" fillId="38" borderId="0" xfId="0" applyFont="1" applyFill="1" applyAlignment="1">
      <alignment horizontal="left" vertical="center"/>
    </xf>
    <xf numFmtId="0" fontId="88" fillId="38" borderId="0" xfId="0" applyFont="1" applyFill="1" applyAlignment="1">
      <alignment horizontal="left" vertical="center"/>
    </xf>
    <xf numFmtId="0" fontId="65" fillId="0" borderId="0" xfId="0" applyFont="1"/>
    <xf numFmtId="0" fontId="1" fillId="0" borderId="0" xfId="0" applyFont="1"/>
    <xf numFmtId="193" fontId="38" fillId="0" borderId="24" xfId="0" applyNumberFormat="1" applyFont="1" applyBorder="1" applyAlignment="1">
      <alignment horizontal="center"/>
    </xf>
    <xf numFmtId="174" fontId="15" fillId="0" borderId="7" xfId="0" applyNumberFormat="1" applyFont="1" applyBorder="1" applyAlignment="1">
      <alignment horizontal="center" vertical="center"/>
    </xf>
    <xf numFmtId="170" fontId="15" fillId="0" borderId="7" xfId="0" applyNumberFormat="1" applyFont="1" applyBorder="1" applyAlignment="1">
      <alignment horizontal="center" vertical="center"/>
    </xf>
    <xf numFmtId="181" fontId="15" fillId="0" borderId="7" xfId="0" applyNumberFormat="1" applyFont="1" applyBorder="1" applyAlignment="1">
      <alignment horizontal="center" vertical="center"/>
    </xf>
    <xf numFmtId="169" fontId="10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center"/>
    </xf>
    <xf numFmtId="167" fontId="91" fillId="0" borderId="0" xfId="0" applyNumberFormat="1" applyFont="1" applyAlignment="1">
      <alignment horizontal="right"/>
    </xf>
    <xf numFmtId="166" fontId="91" fillId="0" borderId="0" xfId="0" applyNumberFormat="1" applyFont="1" applyAlignment="1">
      <alignment horizontal="left"/>
    </xf>
    <xf numFmtId="211" fontId="2" fillId="0" borderId="7" xfId="0" applyNumberFormat="1" applyFont="1" applyBorder="1" applyAlignment="1">
      <alignment horizontal="center"/>
    </xf>
    <xf numFmtId="0" fontId="90" fillId="0" borderId="0" xfId="0" applyFont="1" applyAlignment="1">
      <alignment horizontal="left" vertical="top" wrapText="1"/>
    </xf>
    <xf numFmtId="0" fontId="0" fillId="0" borderId="0" xfId="0"/>
    <xf numFmtId="0" fontId="80" fillId="35" borderId="0" xfId="0" applyFont="1" applyFill="1" applyAlignment="1">
      <alignment horizontal="left" vertical="center"/>
    </xf>
    <xf numFmtId="0" fontId="82" fillId="35" borderId="0" xfId="0" applyFont="1" applyFill="1"/>
    <xf numFmtId="0" fontId="82" fillId="40" borderId="0" xfId="0" applyFont="1" applyFill="1" applyAlignment="1">
      <alignment horizontal="left" vertical="center"/>
    </xf>
    <xf numFmtId="0" fontId="82" fillId="35" borderId="0" xfId="0" applyFont="1" applyFill="1" applyAlignment="1">
      <alignment horizontal="left" vertical="center"/>
    </xf>
    <xf numFmtId="0" fontId="82" fillId="42" borderId="0" xfId="0" applyFont="1" applyFill="1" applyAlignment="1">
      <alignment horizontal="left" vertical="center"/>
    </xf>
    <xf numFmtId="0" fontId="82" fillId="41" borderId="0" xfId="0" applyFont="1" applyFill="1" applyAlignment="1">
      <alignment horizontal="left" vertical="center"/>
    </xf>
    <xf numFmtId="0" fontId="89" fillId="44" borderId="0" xfId="0" applyFont="1" applyFill="1" applyAlignment="1">
      <alignment horizontal="left" vertical="center"/>
    </xf>
    <xf numFmtId="0" fontId="82" fillId="36" borderId="0" xfId="0" applyFont="1" applyFill="1" applyAlignment="1">
      <alignment horizontal="left" vertical="center"/>
    </xf>
    <xf numFmtId="0" fontId="82" fillId="43" borderId="0" xfId="0" applyFont="1" applyFill="1" applyAlignment="1">
      <alignment horizontal="left" vertical="center"/>
    </xf>
    <xf numFmtId="0" fontId="81" fillId="0" borderId="0" xfId="0" applyFont="1"/>
    <xf numFmtId="173" fontId="6" fillId="0" borderId="7" xfId="0" applyNumberFormat="1" applyFont="1" applyBorder="1" applyAlignment="1">
      <alignment vertical="center"/>
    </xf>
    <xf numFmtId="0" fontId="0" fillId="0" borderId="7" xfId="0" applyBorder="1"/>
    <xf numFmtId="165" fontId="22" fillId="0" borderId="7" xfId="0" applyNumberFormat="1" applyFont="1" applyBorder="1"/>
    <xf numFmtId="176" fontId="6" fillId="9" borderId="6" xfId="0" applyNumberFormat="1" applyFont="1" applyFill="1" applyBorder="1" applyAlignment="1">
      <alignment horizontal="center"/>
    </xf>
    <xf numFmtId="0" fontId="0" fillId="0" borderId="6" xfId="0" applyBorder="1"/>
    <xf numFmtId="0" fontId="9" fillId="0" borderId="0" xfId="0" applyFont="1" applyAlignment="1">
      <alignment horizontal="left" vertical="top" wrapText="1"/>
    </xf>
    <xf numFmtId="0" fontId="2" fillId="0" borderId="0" xfId="0" applyFont="1"/>
    <xf numFmtId="173" fontId="21" fillId="0" borderId="7" xfId="0" applyNumberFormat="1" applyFont="1" applyBorder="1"/>
    <xf numFmtId="174" fontId="1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0" fillId="0" borderId="1" xfId="0" applyBorder="1"/>
    <xf numFmtId="176" fontId="6" fillId="0" borderId="6" xfId="0" applyNumberFormat="1" applyFont="1" applyBorder="1" applyAlignment="1">
      <alignment horizontal="center" vertical="center"/>
    </xf>
    <xf numFmtId="174" fontId="15" fillId="0" borderId="7" xfId="0" applyNumberFormat="1" applyFont="1" applyBorder="1" applyAlignment="1">
      <alignment horizontal="center" vertical="center"/>
    </xf>
    <xf numFmtId="0" fontId="2" fillId="0" borderId="7" xfId="0" applyFont="1" applyBorder="1"/>
    <xf numFmtId="3" fontId="2" fillId="0" borderId="0" xfId="0" applyNumberFormat="1" applyFont="1"/>
    <xf numFmtId="173" fontId="13" fillId="0" borderId="7" xfId="0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176" fontId="18" fillId="0" borderId="6" xfId="0" applyNumberFormat="1" applyFont="1" applyBorder="1" applyAlignment="1">
      <alignment horizontal="center" vertical="center"/>
    </xf>
    <xf numFmtId="0" fontId="6" fillId="9" borderId="0" xfId="0" applyFont="1" applyFill="1"/>
    <xf numFmtId="0" fontId="48" fillId="14" borderId="0" xfId="0" applyFont="1" applyFill="1" applyAlignment="1">
      <alignment horizontal="left" vertical="center"/>
    </xf>
    <xf numFmtId="0" fontId="42" fillId="20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42" fillId="16" borderId="0" xfId="0" applyFont="1" applyFill="1" applyAlignment="1">
      <alignment horizontal="left" vertical="center"/>
    </xf>
    <xf numFmtId="0" fontId="42" fillId="14" borderId="0" xfId="0" applyFont="1" applyFill="1" applyAlignment="1">
      <alignment horizontal="left" vertical="center"/>
    </xf>
    <xf numFmtId="0" fontId="34" fillId="0" borderId="0" xfId="0" applyFont="1"/>
    <xf numFmtId="0" fontId="49" fillId="0" borderId="0" xfId="0" applyFont="1" applyAlignment="1">
      <alignment horizontal="center" vertical="center"/>
    </xf>
    <xf numFmtId="0" fontId="50" fillId="27" borderId="0" xfId="0" applyFont="1" applyFill="1" applyAlignment="1">
      <alignment horizontal="left" vertical="center"/>
    </xf>
    <xf numFmtId="0" fontId="63" fillId="0" borderId="0" xfId="0" applyFont="1" applyAlignment="1">
      <alignment horizontal="left" vertical="center" wrapText="1"/>
    </xf>
    <xf numFmtId="0" fontId="69" fillId="3" borderId="0" xfId="0" applyFont="1" applyFill="1" applyAlignment="1">
      <alignment horizontal="left" vertical="center"/>
    </xf>
    <xf numFmtId="0" fontId="69" fillId="30" borderId="0" xfId="0" applyFont="1" applyFill="1" applyAlignment="1">
      <alignment horizontal="left" vertical="center"/>
    </xf>
    <xf numFmtId="0" fontId="50" fillId="15" borderId="0" xfId="0" applyFont="1" applyFill="1" applyAlignment="1">
      <alignment horizontal="left" vertical="center"/>
    </xf>
    <xf numFmtId="0" fontId="69" fillId="29" borderId="0" xfId="0" applyFont="1" applyFill="1" applyAlignment="1">
      <alignment horizontal="left" vertical="center"/>
    </xf>
    <xf numFmtId="0" fontId="69" fillId="19" borderId="0" xfId="0" applyFont="1" applyFill="1" applyAlignment="1">
      <alignment horizontal="left" vertical="center"/>
    </xf>
    <xf numFmtId="0" fontId="50" fillId="16" borderId="0" xfId="0" applyFont="1" applyFill="1" applyAlignment="1">
      <alignment horizontal="left" vertical="center"/>
    </xf>
    <xf numFmtId="0" fontId="42" fillId="22" borderId="0" xfId="0" applyFont="1" applyFill="1" applyAlignment="1">
      <alignment horizontal="left" vertical="center"/>
    </xf>
    <xf numFmtId="0" fontId="42" fillId="15" borderId="0" xfId="0" applyFont="1" applyFill="1" applyAlignment="1">
      <alignment horizontal="left" vertical="center"/>
    </xf>
    <xf numFmtId="0" fontId="69" fillId="17" borderId="0" xfId="0" applyFont="1" applyFill="1" applyAlignment="1">
      <alignment horizontal="center" vertical="center"/>
    </xf>
    <xf numFmtId="0" fontId="69" fillId="24" borderId="0" xfId="0" applyFont="1" applyFill="1" applyAlignment="1">
      <alignment horizontal="center" vertical="center"/>
    </xf>
  </cellXfs>
  <cellStyles count="15">
    <cellStyle name="Comma 2" xfId="1" xr:uid="{00000000-0005-0000-0000-000006000000}"/>
    <cellStyle name="Comma 3" xfId="2" xr:uid="{00000000-0005-0000-0000-000007000000}"/>
    <cellStyle name="Comma 3 2" xfId="3" xr:uid="{00000000-0005-0000-0000-000008000000}"/>
    <cellStyle name="Comma 4" xfId="4" xr:uid="{00000000-0005-0000-0000-000009000000}"/>
    <cellStyle name="Comma 4 2" xfId="5" xr:uid="{00000000-0005-0000-0000-00000A000000}"/>
    <cellStyle name="Comma 5" xfId="6" xr:uid="{00000000-0005-0000-0000-00000B000000}"/>
    <cellStyle name="Comma 6" xfId="7" xr:uid="{00000000-0005-0000-0000-00000C000000}"/>
    <cellStyle name="Normal" xfId="0" builtinId="0"/>
    <cellStyle name="Normal 2" xfId="8" xr:uid="{00000000-0005-0000-0000-00000D000000}"/>
    <cellStyle name="Normal 2 2" xfId="9" xr:uid="{00000000-0005-0000-0000-00000E000000}"/>
    <cellStyle name="Normal 3" xfId="10" xr:uid="{00000000-0005-0000-0000-00000F000000}"/>
    <cellStyle name="Normal 4" xfId="11" xr:uid="{00000000-0005-0000-0000-000010000000}"/>
    <cellStyle name="Percent 2" xfId="12" xr:uid="{00000000-0005-0000-0000-000011000000}"/>
    <cellStyle name="Percent 2 2" xfId="13" xr:uid="{00000000-0005-0000-0000-000012000000}"/>
    <cellStyle name="Percent 3" xfId="14" xr:uid="{00000000-0005-0000-0000-00001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FFF00"/>
      <rgbColor rgb="FFFAFAFA"/>
      <rgbColor rgb="FF00FFFF"/>
      <rgbColor rgb="FF6B0000"/>
      <rgbColor rgb="FF006400"/>
      <rgbColor rgb="FF000080"/>
      <rgbColor rgb="FF375623"/>
      <rgbColor rgb="FFC00000"/>
      <rgbColor rgb="FF1F7A4E"/>
      <rgbColor rgb="FFC0C0C0"/>
      <rgbColor rgb="FF808080"/>
      <rgbColor rgb="FFC5E0B4"/>
      <rgbColor rgb="FFA32D2D"/>
      <rgbColor rgb="FFFFFFC7"/>
      <rgbColor rgb="FFEBF3FA"/>
      <rgbColor rgb="FF660066"/>
      <rgbColor rgb="FFFCE4D6"/>
      <rgbColor rgb="FF0070C0"/>
      <rgbColor rgb="FFC9C9C9"/>
      <rgbColor rgb="FF000080"/>
      <rgbColor rgb="FFFF00FF"/>
      <rgbColor rgb="FFFFF2CC"/>
      <rgbColor rgb="FFDAE3F3"/>
      <rgbColor rgb="FF800080"/>
      <rgbColor rgb="FF4A0000"/>
      <rgbColor rgb="FF2E75B6"/>
      <rgbColor rgb="FF0000FF"/>
      <rgbColor rgb="FF00B0F0"/>
      <rgbColor rgb="FFE2F0D9"/>
      <rgbColor rgb="FFC6EFCE"/>
      <rgbColor rgb="FFFFEB9C"/>
      <rgbColor rgb="FF99CCFF"/>
      <rgbColor rgb="FFFFC7CE"/>
      <rgbColor rgb="FFBFBFBF"/>
      <rgbColor rgb="FFFFCC99"/>
      <rgbColor rgb="FF4472C4"/>
      <rgbColor rgb="FFD6E4F0"/>
      <rgbColor rgb="FFE2EFDA"/>
      <rgbColor rgb="FFFFC000"/>
      <rgbColor rgb="FFD9E1F2"/>
      <rgbColor rgb="FFB94B00"/>
      <rgbColor rgb="FF595959"/>
      <rgbColor rgb="FF7F7F7F"/>
      <rgbColor rgb="FF203864"/>
      <rgbColor rgb="FF70AD47"/>
      <rgbColor rgb="FF27500A"/>
      <rgbColor rgb="FF222A35"/>
      <rgbColor rgb="FF843C0C"/>
      <rgbColor rgb="FF7030A0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98"/>
  <sheetViews>
    <sheetView workbookViewId="0">
      <pane ySplit="3" topLeftCell="A29" activePane="bottomLeft" state="frozen"/>
      <selection pane="bottomLeft" sqref="A1:F1"/>
    </sheetView>
  </sheetViews>
  <sheetFormatPr defaultRowHeight="13.2" x14ac:dyDescent="0.25"/>
  <cols>
    <col min="1" max="1" width="6" customWidth="1"/>
    <col min="2" max="2" width="42" customWidth="1"/>
    <col min="3" max="4" width="22" customWidth="1"/>
    <col min="5" max="5" width="35" customWidth="1"/>
    <col min="6" max="6" width="32" customWidth="1"/>
  </cols>
  <sheetData>
    <row r="1" spans="1:51" ht="28.05" customHeight="1" x14ac:dyDescent="0.25">
      <c r="A1" s="628" t="s">
        <v>0</v>
      </c>
      <c r="B1" s="627"/>
      <c r="C1" s="627"/>
      <c r="D1" s="627"/>
      <c r="E1" s="627"/>
      <c r="F1" s="627"/>
    </row>
    <row r="2" spans="1:51" ht="13.95" customHeight="1" x14ac:dyDescent="0.25">
      <c r="A2" s="637" t="s">
        <v>1</v>
      </c>
      <c r="B2" s="627"/>
      <c r="C2" s="627"/>
      <c r="D2" s="627"/>
      <c r="E2" s="627"/>
      <c r="F2" s="627"/>
      <c r="G2" s="616"/>
      <c r="H2" s="616"/>
    </row>
    <row r="3" spans="1:51" ht="19.95" customHeight="1" x14ac:dyDescent="0.25">
      <c r="A3" s="602" t="s">
        <v>1029</v>
      </c>
      <c r="B3" s="602" t="s">
        <v>2</v>
      </c>
      <c r="C3" s="602" t="s">
        <v>3</v>
      </c>
      <c r="D3" s="602" t="s">
        <v>4</v>
      </c>
      <c r="E3" s="602" t="s">
        <v>5</v>
      </c>
      <c r="F3" s="602" t="s">
        <v>6</v>
      </c>
    </row>
    <row r="4" spans="1:51" ht="16.05" customHeight="1" x14ac:dyDescent="0.25">
      <c r="A4" s="631"/>
      <c r="B4" s="627"/>
      <c r="C4" s="627"/>
      <c r="D4" s="627"/>
      <c r="E4" s="627"/>
      <c r="F4" s="627"/>
      <c r="G4" s="616"/>
      <c r="H4" s="616"/>
    </row>
    <row r="5" spans="1:51" ht="16.05" customHeight="1" x14ac:dyDescent="0.25">
      <c r="A5" s="603"/>
      <c r="B5" s="604"/>
      <c r="C5" s="605"/>
      <c r="D5" s="606"/>
      <c r="E5" s="607"/>
      <c r="F5" s="608"/>
      <c r="G5" s="616"/>
      <c r="H5" s="616"/>
    </row>
    <row r="6" spans="1:51" ht="16.05" customHeight="1" x14ac:dyDescent="0.25">
      <c r="A6" s="609">
        <v>2</v>
      </c>
      <c r="B6" s="610" t="s">
        <v>7</v>
      </c>
      <c r="C6" s="611" t="e">
        <f>'Feasibility Study'!#REF!</f>
        <v>#REF!</v>
      </c>
      <c r="D6" s="612" t="e">
        <f>DevLandArea_Acres</f>
        <v>#NAME?</v>
      </c>
      <c r="E6" s="613" t="s">
        <v>8</v>
      </c>
      <c r="F6" s="614" t="s">
        <v>9</v>
      </c>
      <c r="G6" s="616"/>
      <c r="H6" s="616"/>
    </row>
    <row r="7" spans="1:51" ht="16.05" customHeight="1" x14ac:dyDescent="0.25">
      <c r="A7" s="603">
        <v>3</v>
      </c>
      <c r="B7" s="604" t="s">
        <v>10</v>
      </c>
      <c r="C7" s="605">
        <f>'Feasibility Study'!AY10</f>
        <v>0</v>
      </c>
      <c r="D7" s="606"/>
      <c r="E7" s="607"/>
      <c r="F7" s="607"/>
      <c r="G7" s="616"/>
      <c r="H7" s="616"/>
    </row>
    <row r="8" spans="1:51" ht="16.05" customHeight="1" x14ac:dyDescent="0.25">
      <c r="A8" s="609">
        <v>4</v>
      </c>
      <c r="B8" s="610" t="s">
        <v>11</v>
      </c>
      <c r="C8" s="611">
        <f>'Feasibility Study'!AY12</f>
        <v>0</v>
      </c>
      <c r="D8" s="612"/>
      <c r="E8" s="613"/>
      <c r="F8" s="613"/>
    </row>
    <row r="9" spans="1:51" ht="16.05" customHeight="1" x14ac:dyDescent="0.25">
      <c r="A9" s="603">
        <v>5</v>
      </c>
      <c r="B9" s="604" t="s">
        <v>12</v>
      </c>
      <c r="C9" s="605">
        <f>'Feasibility Study'!AY13</f>
        <v>0</v>
      </c>
      <c r="D9" s="606" t="e">
        <f>TotalUnits_AllPhases</f>
        <v>#NAME?</v>
      </c>
      <c r="E9" s="607" t="s">
        <v>13</v>
      </c>
      <c r="F9" s="608" t="s">
        <v>14</v>
      </c>
      <c r="AY9" t="s">
        <v>1030</v>
      </c>
    </row>
    <row r="10" spans="1:51" ht="16.05" customHeight="1" x14ac:dyDescent="0.25">
      <c r="A10" s="609">
        <v>6</v>
      </c>
      <c r="B10" s="610" t="s">
        <v>15</v>
      </c>
      <c r="C10" s="611">
        <f>'Feasibility Study'!AY17</f>
        <v>0</v>
      </c>
      <c r="D10" s="612" t="e">
        <f>TotalNFA_AllPhases_Sqft</f>
        <v>#NAME?</v>
      </c>
      <c r="E10" s="613" t="s">
        <v>16</v>
      </c>
      <c r="F10" s="614" t="s">
        <v>17</v>
      </c>
    </row>
    <row r="11" spans="1:51" ht="16.05" customHeight="1" x14ac:dyDescent="0.25">
      <c r="A11" s="603">
        <v>7</v>
      </c>
      <c r="B11" s="604" t="s">
        <v>18</v>
      </c>
      <c r="C11" s="605">
        <f>'Feasibility Study'!AY16</f>
        <v>0</v>
      </c>
      <c r="D11" s="606" t="e">
        <f>TotalGFA_ExcludeCP_Sqft</f>
        <v>#NAME?</v>
      </c>
      <c r="E11" s="607" t="s">
        <v>19</v>
      </c>
      <c r="F11" s="608" t="s">
        <v>20</v>
      </c>
    </row>
    <row r="12" spans="1:51" ht="16.05" customHeight="1" x14ac:dyDescent="0.25">
      <c r="A12" s="630" t="s">
        <v>21</v>
      </c>
      <c r="B12" s="627"/>
      <c r="C12" s="627"/>
      <c r="D12" s="627"/>
      <c r="E12" s="627"/>
      <c r="F12" s="627"/>
    </row>
    <row r="13" spans="1:51" ht="16.05" customHeight="1" x14ac:dyDescent="0.25">
      <c r="A13" s="609">
        <v>8</v>
      </c>
      <c r="B13" s="610" t="s">
        <v>22</v>
      </c>
      <c r="C13" s="611" t="str">
        <f ca="1">'Feasibility Study'!AY69</f>
        <v/>
      </c>
      <c r="D13" s="612" t="e">
        <f>GDV_Total</f>
        <v>#NAME?</v>
      </c>
      <c r="E13" s="613" t="s">
        <v>23</v>
      </c>
      <c r="F13" s="614" t="s">
        <v>24</v>
      </c>
    </row>
    <row r="14" spans="1:51" ht="16.05" customHeight="1" x14ac:dyDescent="0.25">
      <c r="A14" s="603">
        <v>9</v>
      </c>
      <c r="B14" s="604" t="s">
        <v>25</v>
      </c>
      <c r="C14" s="605" t="str">
        <f ca="1">'Feasibility Study'!AY70</f>
        <v/>
      </c>
      <c r="D14" s="606" t="e">
        <f>GDV_GrossSellingPSF</f>
        <v>#NAME?</v>
      </c>
      <c r="E14" s="607" t="s">
        <v>26</v>
      </c>
      <c r="F14" s="608" t="s">
        <v>27</v>
      </c>
    </row>
    <row r="15" spans="1:51" ht="16.05" customHeight="1" x14ac:dyDescent="0.25">
      <c r="A15" s="609">
        <v>10</v>
      </c>
      <c r="B15" s="610" t="s">
        <v>28</v>
      </c>
      <c r="C15" s="611">
        <f>'Feasibility Study'!AY72</f>
        <v>0</v>
      </c>
      <c r="D15" s="612" t="e">
        <f>BumiDiscount_Total</f>
        <v>#NAME?</v>
      </c>
      <c r="E15" s="613" t="s">
        <v>29</v>
      </c>
      <c r="F15" s="614" t="s">
        <v>30</v>
      </c>
    </row>
    <row r="16" spans="1:51" ht="16.05" customHeight="1" x14ac:dyDescent="0.25">
      <c r="A16" s="603">
        <v>11</v>
      </c>
      <c r="B16" s="604" t="s">
        <v>31</v>
      </c>
      <c r="C16" s="605">
        <f>'Feasibility Study'!AY73</f>
        <v>0</v>
      </c>
      <c r="D16" s="606" t="e">
        <f>BumiPenalty_Total</f>
        <v>#NAME?</v>
      </c>
      <c r="E16" s="607" t="s">
        <v>32</v>
      </c>
      <c r="F16" s="608" t="s">
        <v>33</v>
      </c>
    </row>
    <row r="17" spans="1:6" ht="16.05" customHeight="1" x14ac:dyDescent="0.25">
      <c r="A17" s="609">
        <v>12</v>
      </c>
      <c r="B17" s="610" t="s">
        <v>34</v>
      </c>
      <c r="C17" s="611">
        <f>'Feasibility Study'!AY74</f>
        <v>0</v>
      </c>
      <c r="D17" s="612" t="e">
        <f>LegalFeesSelling_Total</f>
        <v>#NAME?</v>
      </c>
      <c r="E17" s="613" t="s">
        <v>35</v>
      </c>
      <c r="F17" s="614" t="s">
        <v>36</v>
      </c>
    </row>
    <row r="18" spans="1:6" ht="16.05" customHeight="1" x14ac:dyDescent="0.25">
      <c r="A18" s="603">
        <v>13</v>
      </c>
      <c r="B18" s="604" t="s">
        <v>37</v>
      </c>
      <c r="C18" s="605" t="str">
        <f ca="1">'Feasibility Study'!AY75</f>
        <v/>
      </c>
      <c r="D18" s="606" t="e">
        <f>EarlyBirdDiscount_Total</f>
        <v>#NAME?</v>
      </c>
      <c r="E18" s="607" t="s">
        <v>38</v>
      </c>
      <c r="F18" s="608" t="s">
        <v>39</v>
      </c>
    </row>
    <row r="19" spans="1:6" ht="16.05" customHeight="1" x14ac:dyDescent="0.25">
      <c r="A19" s="609">
        <v>14</v>
      </c>
      <c r="B19" s="610" t="s">
        <v>40</v>
      </c>
      <c r="C19" s="611" t="str">
        <f ca="1">'Feasibility Study'!AY79</f>
        <v/>
      </c>
      <c r="D19" s="612" t="e">
        <f>NDV_Total</f>
        <v>#NAME?</v>
      </c>
      <c r="E19" s="613" t="s">
        <v>41</v>
      </c>
      <c r="F19" s="614" t="s">
        <v>42</v>
      </c>
    </row>
    <row r="20" spans="1:6" ht="16.05" customHeight="1" x14ac:dyDescent="0.25">
      <c r="A20" s="603">
        <v>15</v>
      </c>
      <c r="B20" s="604" t="s">
        <v>43</v>
      </c>
      <c r="C20" s="605" t="e">
        <f>'Feasibility Study'!AY83</f>
        <v>#DIV/0!</v>
      </c>
      <c r="D20" s="606" t="e">
        <f>NDV_NetSellingPSF</f>
        <v>#NAME?</v>
      </c>
      <c r="E20" s="607" t="s">
        <v>44</v>
      </c>
      <c r="F20" s="608" t="s">
        <v>45</v>
      </c>
    </row>
    <row r="21" spans="1:6" ht="16.05" customHeight="1" x14ac:dyDescent="0.25">
      <c r="A21" s="633" t="s">
        <v>46</v>
      </c>
      <c r="B21" s="627"/>
      <c r="C21" s="627"/>
      <c r="D21" s="627"/>
      <c r="E21" s="627"/>
      <c r="F21" s="627"/>
    </row>
    <row r="22" spans="1:6" ht="16.05" customHeight="1" x14ac:dyDescent="0.25">
      <c r="A22" s="609">
        <v>16</v>
      </c>
      <c r="B22" s="610" t="s">
        <v>47</v>
      </c>
      <c r="C22" s="611" t="e">
        <f>'Feasibility Study'!AY87</f>
        <v>#DIV/0!</v>
      </c>
      <c r="D22" s="612" t="e">
        <f>LandRelatedCosts_Total</f>
        <v>#NAME?</v>
      </c>
      <c r="E22" s="613" t="s">
        <v>48</v>
      </c>
      <c r="F22" s="614" t="s">
        <v>49</v>
      </c>
    </row>
    <row r="23" spans="1:6" ht="16.05" customHeight="1" x14ac:dyDescent="0.25">
      <c r="A23" s="603">
        <v>17</v>
      </c>
      <c r="B23" s="604" t="s">
        <v>50</v>
      </c>
      <c r="C23" s="605">
        <f>'Feasibility Study'!AY88</f>
        <v>0</v>
      </c>
      <c r="D23" s="606" t="e">
        <f>LandCost_Total</f>
        <v>#NAME?</v>
      </c>
      <c r="E23" s="607" t="s">
        <v>51</v>
      </c>
      <c r="F23" s="608" t="s">
        <v>52</v>
      </c>
    </row>
    <row r="24" spans="1:6" ht="16.05" customHeight="1" x14ac:dyDescent="0.25">
      <c r="A24" s="609">
        <v>18</v>
      </c>
      <c r="B24" s="610" t="s">
        <v>53</v>
      </c>
      <c r="C24" s="611">
        <f>'Feasibility Study'!AY89</f>
        <v>0</v>
      </c>
      <c r="D24" s="612" t="e">
        <f>LandConversionPremium_Total</f>
        <v>#NAME?</v>
      </c>
      <c r="E24" s="613" t="s">
        <v>54</v>
      </c>
      <c r="F24" s="614" t="s">
        <v>55</v>
      </c>
    </row>
    <row r="25" spans="1:6" ht="16.05" customHeight="1" x14ac:dyDescent="0.25">
      <c r="A25" s="603">
        <v>19</v>
      </c>
      <c r="B25" s="604" t="s">
        <v>56</v>
      </c>
      <c r="C25" s="605">
        <f>'Feasibility Study'!AY90</f>
        <v>0</v>
      </c>
      <c r="D25" s="606" t="e">
        <f>QuitRent_Total</f>
        <v>#NAME?</v>
      </c>
      <c r="E25" s="607" t="s">
        <v>57</v>
      </c>
      <c r="F25" s="608" t="s">
        <v>58</v>
      </c>
    </row>
    <row r="26" spans="1:6" ht="16.05" customHeight="1" x14ac:dyDescent="0.25">
      <c r="A26" s="609">
        <v>20</v>
      </c>
      <c r="B26" s="610" t="s">
        <v>59</v>
      </c>
      <c r="C26" s="611">
        <f>'Feasibility Study'!AY91</f>
        <v>0</v>
      </c>
      <c r="D26" s="612" t="e">
        <f>Assessment_Total</f>
        <v>#NAME?</v>
      </c>
      <c r="E26" s="613" t="s">
        <v>60</v>
      </c>
      <c r="F26" s="614" t="s">
        <v>61</v>
      </c>
    </row>
    <row r="27" spans="1:6" ht="16.05" customHeight="1" x14ac:dyDescent="0.25">
      <c r="A27" s="603">
        <v>21</v>
      </c>
      <c r="B27" s="604" t="s">
        <v>62</v>
      </c>
      <c r="C27" s="605" t="e">
        <f>'Feasibility Study'!AY92</f>
        <v>#DIV/0!</v>
      </c>
      <c r="D27" s="606" t="e">
        <f>StampDuty_Total</f>
        <v>#NAME?</v>
      </c>
      <c r="E27" s="607" t="s">
        <v>63</v>
      </c>
      <c r="F27" s="608" t="s">
        <v>64</v>
      </c>
    </row>
    <row r="28" spans="1:6" ht="16.05" customHeight="1" x14ac:dyDescent="0.25">
      <c r="A28" s="609">
        <v>22</v>
      </c>
      <c r="B28" s="610" t="s">
        <v>65</v>
      </c>
      <c r="C28" s="611">
        <f>'Feasibility Study'!AY94</f>
        <v>0</v>
      </c>
      <c r="D28" s="612" t="e">
        <f>ValuationFee_Total</f>
        <v>#NAME?</v>
      </c>
      <c r="E28" s="613" t="s">
        <v>66</v>
      </c>
      <c r="F28" s="614" t="s">
        <v>67</v>
      </c>
    </row>
    <row r="29" spans="1:6" ht="16.05" customHeight="1" x14ac:dyDescent="0.25">
      <c r="A29" s="603">
        <v>23</v>
      </c>
      <c r="B29" s="604" t="s">
        <v>68</v>
      </c>
      <c r="C29" s="605">
        <f>'Feasibility Study'!AY95</f>
        <v>0</v>
      </c>
      <c r="D29" s="606" t="e">
        <f>LandAmalgamation_Total</f>
        <v>#NAME?</v>
      </c>
      <c r="E29" s="607" t="s">
        <v>69</v>
      </c>
      <c r="F29" s="608" t="s">
        <v>70</v>
      </c>
    </row>
    <row r="30" spans="1:6" ht="16.05" customHeight="1" x14ac:dyDescent="0.25">
      <c r="A30" s="632" t="s">
        <v>71</v>
      </c>
      <c r="B30" s="627"/>
      <c r="C30" s="627"/>
      <c r="D30" s="627"/>
      <c r="E30" s="627"/>
      <c r="F30" s="627"/>
    </row>
    <row r="31" spans="1:6" ht="16.05" customHeight="1" x14ac:dyDescent="0.25">
      <c r="A31" s="609">
        <v>24</v>
      </c>
      <c r="B31" s="610" t="s">
        <v>72</v>
      </c>
      <c r="C31" s="611" t="e">
        <f>'Feasibility Study'!AY99</f>
        <v>#DIV/0!</v>
      </c>
      <c r="D31" s="612" t="e">
        <f>GCC_Total</f>
        <v>#NAME?</v>
      </c>
      <c r="E31" s="613" t="s">
        <v>73</v>
      </c>
      <c r="F31" s="614" t="s">
        <v>74</v>
      </c>
    </row>
    <row r="32" spans="1:6" ht="16.05" customHeight="1" x14ac:dyDescent="0.25">
      <c r="A32" s="603">
        <v>25</v>
      </c>
      <c r="B32" s="604" t="s">
        <v>75</v>
      </c>
      <c r="C32" s="605" t="e">
        <f>'Feasibility Study'!AY100</f>
        <v>#DIV/0!</v>
      </c>
      <c r="D32" s="606" t="e">
        <f>GCC_PercentOfNDV</f>
        <v>#NAME?</v>
      </c>
      <c r="E32" s="607" t="s">
        <v>76</v>
      </c>
      <c r="F32" s="608" t="s">
        <v>77</v>
      </c>
    </row>
    <row r="33" spans="1:6" ht="16.05" customHeight="1" x14ac:dyDescent="0.25">
      <c r="A33" s="609">
        <v>26</v>
      </c>
      <c r="B33" s="610" t="s">
        <v>78</v>
      </c>
      <c r="C33" s="611" t="e">
        <f>'Feasibility Study'!AY101</f>
        <v>#DIV/0!</v>
      </c>
      <c r="D33" s="612" t="e">
        <f>GCC_ConstructionCostPSF</f>
        <v>#NAME?</v>
      </c>
      <c r="E33" s="613" t="s">
        <v>79</v>
      </c>
      <c r="F33" s="614" t="s">
        <v>80</v>
      </c>
    </row>
    <row r="34" spans="1:6" ht="16.05" customHeight="1" x14ac:dyDescent="0.25">
      <c r="A34" s="603">
        <v>27</v>
      </c>
      <c r="B34" s="604" t="s">
        <v>81</v>
      </c>
      <c r="C34" s="605">
        <f>'Feasibility Study'!AY102</f>
        <v>0</v>
      </c>
      <c r="D34" s="606" t="e">
        <f>SubstructurePiling_Total</f>
        <v>#NAME?</v>
      </c>
      <c r="E34" s="607" t="s">
        <v>82</v>
      </c>
      <c r="F34" s="608" t="s">
        <v>83</v>
      </c>
    </row>
    <row r="35" spans="1:6" ht="16.05" customHeight="1" x14ac:dyDescent="0.25">
      <c r="A35" s="609">
        <v>28</v>
      </c>
      <c r="B35" s="610" t="s">
        <v>84</v>
      </c>
      <c r="C35" s="611" t="e">
        <f>'Feasibility Study'!AY105</f>
        <v>#DIV/0!</v>
      </c>
      <c r="D35" s="612" t="e">
        <f>BuildingWork_Resi_Total</f>
        <v>#NAME?</v>
      </c>
      <c r="E35" s="613" t="s">
        <v>85</v>
      </c>
      <c r="F35" s="614" t="s">
        <v>86</v>
      </c>
    </row>
    <row r="36" spans="1:6" ht="16.05" customHeight="1" x14ac:dyDescent="0.25">
      <c r="A36" s="603">
        <v>29</v>
      </c>
      <c r="B36" s="604" t="s">
        <v>87</v>
      </c>
      <c r="C36" s="605">
        <f>'Feasibility Study'!AY106</f>
        <v>0</v>
      </c>
      <c r="D36" s="606" t="e">
        <f>BuildingWork_Afford_Total</f>
        <v>#NAME?</v>
      </c>
      <c r="E36" s="607" t="s">
        <v>88</v>
      </c>
      <c r="F36" s="608" t="s">
        <v>89</v>
      </c>
    </row>
    <row r="37" spans="1:6" ht="16.05" customHeight="1" x14ac:dyDescent="0.25">
      <c r="A37" s="609">
        <v>30</v>
      </c>
      <c r="B37" s="610" t="s">
        <v>90</v>
      </c>
      <c r="C37" s="611">
        <f>'Feasibility Study'!AY107</f>
        <v>0</v>
      </c>
      <c r="D37" s="612" t="e">
        <f>BuildingWork_Comm_Total</f>
        <v>#NAME?</v>
      </c>
      <c r="E37" s="613" t="s">
        <v>91</v>
      </c>
      <c r="F37" s="614" t="s">
        <v>92</v>
      </c>
    </row>
    <row r="38" spans="1:6" ht="16.05" customHeight="1" x14ac:dyDescent="0.25">
      <c r="A38" s="603">
        <v>31</v>
      </c>
      <c r="B38" s="604" t="s">
        <v>93</v>
      </c>
      <c r="C38" s="605" t="e">
        <f>'Feasibility Study'!AY109</f>
        <v>#VALUE!</v>
      </c>
      <c r="D38" s="606" t="e">
        <f>KitchenCabinet_Total</f>
        <v>#NAME?</v>
      </c>
      <c r="E38" s="607" t="s">
        <v>94</v>
      </c>
      <c r="F38" s="608" t="s">
        <v>95</v>
      </c>
    </row>
    <row r="39" spans="1:6" ht="16.05" customHeight="1" x14ac:dyDescent="0.25">
      <c r="A39" s="609">
        <v>32</v>
      </c>
      <c r="B39" s="610" t="s">
        <v>96</v>
      </c>
      <c r="C39" s="611" t="e">
        <f>'Feasibility Study'!AY110</f>
        <v>#VALUE!</v>
      </c>
      <c r="D39" s="612" t="e">
        <f>IDWorks_Unit_Total</f>
        <v>#NAME?</v>
      </c>
      <c r="E39" s="613" t="s">
        <v>97</v>
      </c>
      <c r="F39" s="614" t="s">
        <v>98</v>
      </c>
    </row>
    <row r="40" spans="1:6" ht="16.05" customHeight="1" x14ac:dyDescent="0.25">
      <c r="A40" s="603">
        <v>33</v>
      </c>
      <c r="B40" s="604" t="s">
        <v>99</v>
      </c>
      <c r="C40" s="605" t="e">
        <f>'Feasibility Study'!AY131</f>
        <v>#VALUE!</v>
      </c>
      <c r="D40" s="606" t="e">
        <f>Earthworks_Total</f>
        <v>#NAME?</v>
      </c>
      <c r="E40" s="607" t="s">
        <v>100</v>
      </c>
      <c r="F40" s="608" t="s">
        <v>101</v>
      </c>
    </row>
    <row r="41" spans="1:6" ht="16.05" customHeight="1" x14ac:dyDescent="0.25">
      <c r="A41" s="609">
        <v>34</v>
      </c>
      <c r="B41" s="610" t="s">
        <v>102</v>
      </c>
      <c r="C41" s="611">
        <f>'Feasibility Study'!AY133</f>
        <v>0</v>
      </c>
      <c r="D41" s="612" t="e">
        <f>Landscape_Total</f>
        <v>#NAME?</v>
      </c>
      <c r="E41" s="613" t="s">
        <v>103</v>
      </c>
      <c r="F41" s="614" t="s">
        <v>104</v>
      </c>
    </row>
    <row r="42" spans="1:6" ht="16.05" customHeight="1" x14ac:dyDescent="0.25">
      <c r="A42" s="603">
        <v>35</v>
      </c>
      <c r="B42" s="604" t="s">
        <v>105</v>
      </c>
      <c r="C42" s="605" t="e">
        <f>'Feasibility Study'!AY135</f>
        <v>#DIV/0!</v>
      </c>
      <c r="D42" s="606" t="e">
        <f>Clubhouse_Total</f>
        <v>#NAME?</v>
      </c>
      <c r="E42" s="607" t="s">
        <v>106</v>
      </c>
      <c r="F42" s="608" t="s">
        <v>107</v>
      </c>
    </row>
    <row r="43" spans="1:6" ht="16.05" customHeight="1" x14ac:dyDescent="0.25">
      <c r="A43" s="609">
        <v>36</v>
      </c>
      <c r="B43" s="610" t="s">
        <v>108</v>
      </c>
      <c r="C43" s="611">
        <f>'Feasibility Study'!AY138</f>
        <v>0</v>
      </c>
      <c r="D43" s="612" t="e">
        <f>Preliminaries_Total</f>
        <v>#NAME?</v>
      </c>
      <c r="E43" s="613" t="s">
        <v>109</v>
      </c>
      <c r="F43" s="614" t="s">
        <v>110</v>
      </c>
    </row>
    <row r="44" spans="1:6" ht="16.05" customHeight="1" x14ac:dyDescent="0.25">
      <c r="A44" s="603">
        <v>37</v>
      </c>
      <c r="B44" s="604" t="s">
        <v>111</v>
      </c>
      <c r="C44" s="605">
        <f>'Feasibility Study'!AY139</f>
        <v>0</v>
      </c>
      <c r="D44" s="606" t="e">
        <f>Contingency_Total</f>
        <v>#NAME?</v>
      </c>
      <c r="E44" s="607" t="s">
        <v>112</v>
      </c>
      <c r="F44" s="608" t="s">
        <v>113</v>
      </c>
    </row>
    <row r="45" spans="1:6" ht="16.05" customHeight="1" x14ac:dyDescent="0.25">
      <c r="A45" s="609">
        <v>38</v>
      </c>
      <c r="B45" s="610" t="s">
        <v>114</v>
      </c>
      <c r="C45" s="611">
        <f>'Feasibility Study'!AY141</f>
        <v>0</v>
      </c>
      <c r="D45" s="612" t="e">
        <f>ContractStamping_Total</f>
        <v>#NAME?</v>
      </c>
      <c r="E45" s="613" t="s">
        <v>115</v>
      </c>
      <c r="F45" s="614" t="s">
        <v>116</v>
      </c>
    </row>
    <row r="46" spans="1:6" ht="16.05" customHeight="1" x14ac:dyDescent="0.25">
      <c r="A46" s="631" t="s">
        <v>117</v>
      </c>
      <c r="B46" s="627"/>
      <c r="C46" s="627"/>
      <c r="D46" s="627"/>
      <c r="E46" s="627"/>
      <c r="F46" s="627"/>
    </row>
    <row r="47" spans="1:6" ht="16.05" customHeight="1" x14ac:dyDescent="0.25">
      <c r="A47" s="603">
        <v>39</v>
      </c>
      <c r="B47" s="604" t="s">
        <v>118</v>
      </c>
      <c r="C47" s="605">
        <f>'Feasibility Study'!AY142</f>
        <v>0</v>
      </c>
      <c r="D47" s="606" t="e">
        <f>StrataSurveyFees_Total</f>
        <v>#NAME?</v>
      </c>
      <c r="E47" s="607" t="s">
        <v>119</v>
      </c>
      <c r="F47" s="608" t="s">
        <v>120</v>
      </c>
    </row>
    <row r="48" spans="1:6" ht="16.05" customHeight="1" x14ac:dyDescent="0.25">
      <c r="A48" s="609">
        <v>40</v>
      </c>
      <c r="B48" s="610" t="s">
        <v>121</v>
      </c>
      <c r="C48" s="611" t="e">
        <f>'Feasibility Study'!AY145</f>
        <v>#VALUE!</v>
      </c>
      <c r="D48" s="612" t="e">
        <f>PlanningBPFees_Total</f>
        <v>#NAME?</v>
      </c>
      <c r="E48" s="613" t="s">
        <v>122</v>
      </c>
      <c r="F48" s="614" t="s">
        <v>123</v>
      </c>
    </row>
    <row r="49" spans="1:6" ht="16.05" customHeight="1" x14ac:dyDescent="0.25">
      <c r="A49" s="603">
        <v>41</v>
      </c>
      <c r="B49" s="604" t="s">
        <v>124</v>
      </c>
      <c r="C49" s="605">
        <f>'Feasibility Study'!AY147</f>
        <v>0</v>
      </c>
      <c r="D49" s="606" t="e">
        <f>ContribAuthorities_Total</f>
        <v>#NAME?</v>
      </c>
      <c r="E49" s="607" t="s">
        <v>125</v>
      </c>
      <c r="F49" s="608" t="s">
        <v>126</v>
      </c>
    </row>
    <row r="50" spans="1:6" ht="16.05" customHeight="1" x14ac:dyDescent="0.25">
      <c r="A50" s="609">
        <v>42</v>
      </c>
      <c r="B50" s="610" t="s">
        <v>127</v>
      </c>
      <c r="C50" s="611">
        <f>'Feasibility Study'!AY149</f>
        <v>0</v>
      </c>
      <c r="D50" s="612" t="e">
        <f>DevCharges_Total</f>
        <v>#NAME?</v>
      </c>
      <c r="E50" s="613" t="s">
        <v>128</v>
      </c>
      <c r="F50" s="614" t="s">
        <v>129</v>
      </c>
    </row>
    <row r="51" spans="1:6" ht="16.05" customHeight="1" x14ac:dyDescent="0.25">
      <c r="A51" s="603">
        <v>43</v>
      </c>
      <c r="B51" s="604" t="s">
        <v>130</v>
      </c>
      <c r="C51" s="605">
        <f>'Feasibility Study'!AY150</f>
        <v>0</v>
      </c>
      <c r="D51" s="606" t="e">
        <f>SYABAS_Total</f>
        <v>#NAME?</v>
      </c>
      <c r="E51" s="607" t="s">
        <v>131</v>
      </c>
      <c r="F51" s="608" t="s">
        <v>132</v>
      </c>
    </row>
    <row r="52" spans="1:6" ht="16.05" customHeight="1" x14ac:dyDescent="0.25">
      <c r="A52" s="609">
        <v>44</v>
      </c>
      <c r="B52" s="610" t="s">
        <v>133</v>
      </c>
      <c r="C52" s="611">
        <f>'Feasibility Study'!AY151</f>
        <v>0</v>
      </c>
      <c r="D52" s="612" t="e">
        <f>IWK_JPS_Total</f>
        <v>#NAME?</v>
      </c>
      <c r="E52" s="613" t="s">
        <v>134</v>
      </c>
      <c r="F52" s="614" t="s">
        <v>135</v>
      </c>
    </row>
    <row r="53" spans="1:6" ht="16.05" customHeight="1" x14ac:dyDescent="0.25">
      <c r="A53" s="603">
        <v>45</v>
      </c>
      <c r="B53" s="604" t="s">
        <v>136</v>
      </c>
      <c r="C53" s="605">
        <f>'Feasibility Study'!AY152</f>
        <v>0</v>
      </c>
      <c r="D53" s="606" t="e">
        <f>TNB_Total</f>
        <v>#NAME?</v>
      </c>
      <c r="E53" s="607" t="s">
        <v>137</v>
      </c>
      <c r="F53" s="608" t="s">
        <v>138</v>
      </c>
    </row>
    <row r="54" spans="1:6" ht="16.05" customHeight="1" x14ac:dyDescent="0.25">
      <c r="A54" s="609">
        <v>46</v>
      </c>
      <c r="B54" s="610" t="s">
        <v>139</v>
      </c>
      <c r="C54" s="611">
        <f>'Feasibility Study'!AY153</f>
        <v>0</v>
      </c>
      <c r="D54" s="612" t="e">
        <f>Telekom_Total</f>
        <v>#NAME?</v>
      </c>
      <c r="E54" s="613" t="s">
        <v>140</v>
      </c>
      <c r="F54" s="614" t="s">
        <v>141</v>
      </c>
    </row>
    <row r="55" spans="1:6" ht="16.05" customHeight="1" x14ac:dyDescent="0.25">
      <c r="A55" s="603">
        <v>47</v>
      </c>
      <c r="B55" s="604" t="s">
        <v>142</v>
      </c>
      <c r="C55" s="605">
        <f>'Feasibility Study'!AY154</f>
        <v>0</v>
      </c>
      <c r="D55" s="606" t="e">
        <f>RoadDrainage_Total</f>
        <v>#NAME?</v>
      </c>
      <c r="E55" s="607" t="s">
        <v>143</v>
      </c>
      <c r="F55" s="608" t="s">
        <v>144</v>
      </c>
    </row>
    <row r="56" spans="1:6" ht="16.05" customHeight="1" x14ac:dyDescent="0.25">
      <c r="A56" s="609">
        <v>48</v>
      </c>
      <c r="B56" s="610" t="s">
        <v>145</v>
      </c>
      <c r="C56" s="611">
        <f>'Feasibility Study'!AY156</f>
        <v>0</v>
      </c>
      <c r="D56" s="612" t="e">
        <f>ISF_Total</f>
        <v>#NAME?</v>
      </c>
      <c r="E56" s="613" t="s">
        <v>146</v>
      </c>
      <c r="F56" s="614" t="s">
        <v>147</v>
      </c>
    </row>
    <row r="57" spans="1:6" ht="16.05" customHeight="1" x14ac:dyDescent="0.25">
      <c r="A57" s="603">
        <v>49</v>
      </c>
      <c r="B57" s="604" t="s">
        <v>148</v>
      </c>
      <c r="C57" s="605">
        <f>'Feasibility Study'!AY157</f>
        <v>0</v>
      </c>
      <c r="D57" s="606" t="e">
        <f>GBI_GreenRE_Total</f>
        <v>#NAME?</v>
      </c>
      <c r="E57" s="607" t="s">
        <v>149</v>
      </c>
      <c r="F57" s="608" t="s">
        <v>150</v>
      </c>
    </row>
    <row r="58" spans="1:6" ht="16.05" customHeight="1" x14ac:dyDescent="0.25">
      <c r="A58" s="609">
        <v>50</v>
      </c>
      <c r="B58" s="610" t="s">
        <v>151</v>
      </c>
      <c r="C58" s="611">
        <f>'Feasibility Study'!AY158</f>
        <v>0</v>
      </c>
      <c r="D58" s="612" t="e">
        <f>HoardingFee_Total</f>
        <v>#NAME?</v>
      </c>
      <c r="E58" s="613" t="s">
        <v>152</v>
      </c>
      <c r="F58" s="614" t="s">
        <v>153</v>
      </c>
    </row>
    <row r="59" spans="1:6" ht="16.05" customHeight="1" x14ac:dyDescent="0.25">
      <c r="A59" s="603">
        <v>51</v>
      </c>
      <c r="B59" s="604" t="s">
        <v>154</v>
      </c>
      <c r="C59" s="605">
        <f>'Feasibility Study'!AY159</f>
        <v>0</v>
      </c>
      <c r="D59" s="606" t="e">
        <f>COBDeposit_Total</f>
        <v>#NAME?</v>
      </c>
      <c r="E59" s="607" t="s">
        <v>155</v>
      </c>
      <c r="F59" s="608" t="s">
        <v>156</v>
      </c>
    </row>
    <row r="60" spans="1:6" ht="16.05" customHeight="1" x14ac:dyDescent="0.25">
      <c r="A60" s="630" t="s">
        <v>157</v>
      </c>
      <c r="B60" s="627"/>
      <c r="C60" s="627"/>
      <c r="D60" s="627"/>
      <c r="E60" s="627"/>
      <c r="F60" s="627"/>
    </row>
    <row r="61" spans="1:6" ht="16.05" customHeight="1" x14ac:dyDescent="0.25">
      <c r="A61" s="609">
        <v>52</v>
      </c>
      <c r="B61" s="610" t="s">
        <v>158</v>
      </c>
      <c r="C61" s="611" t="e">
        <f>'Feasibility Study'!AY163</f>
        <v>#DIV/0!</v>
      </c>
      <c r="D61" s="612" t="e">
        <f>ConsultancyFees_Total</f>
        <v>#NAME?</v>
      </c>
      <c r="E61" s="613" t="s">
        <v>159</v>
      </c>
      <c r="F61" s="614" t="s">
        <v>160</v>
      </c>
    </row>
    <row r="62" spans="1:6" ht="16.05" customHeight="1" x14ac:dyDescent="0.25">
      <c r="A62" s="603">
        <v>53</v>
      </c>
      <c r="B62" s="604" t="s">
        <v>161</v>
      </c>
      <c r="C62" s="605" t="e">
        <f>'Feasibility Study'!AY166</f>
        <v>#DIV/0!</v>
      </c>
      <c r="D62" s="606" t="e">
        <f>OtherConstructionCost_Total</f>
        <v>#NAME?</v>
      </c>
      <c r="E62" s="607" t="s">
        <v>162</v>
      </c>
      <c r="F62" s="608" t="s">
        <v>163</v>
      </c>
    </row>
    <row r="63" spans="1:6" ht="16.05" customHeight="1" x14ac:dyDescent="0.25">
      <c r="A63" s="609">
        <v>54</v>
      </c>
      <c r="B63" s="610" t="s">
        <v>164</v>
      </c>
      <c r="C63" s="611">
        <f>'Feasibility Study'!AY167</f>
        <v>0</v>
      </c>
      <c r="D63" s="612" t="e">
        <f>SoilInvestigation_Total</f>
        <v>#NAME?</v>
      </c>
      <c r="E63" s="613" t="s">
        <v>165</v>
      </c>
      <c r="F63" s="614" t="s">
        <v>166</v>
      </c>
    </row>
    <row r="64" spans="1:6" ht="16.05" customHeight="1" x14ac:dyDescent="0.25">
      <c r="A64" s="603">
        <v>55</v>
      </c>
      <c r="B64" s="604" t="s">
        <v>167</v>
      </c>
      <c r="C64" s="605">
        <f>'Feasibility Study'!AY173</f>
        <v>0</v>
      </c>
      <c r="D64" s="606" t="e">
        <f>SiteAdmin_Total</f>
        <v>#NAME?</v>
      </c>
      <c r="E64" s="607" t="s">
        <v>168</v>
      </c>
      <c r="F64" s="608" t="s">
        <v>169</v>
      </c>
    </row>
    <row r="65" spans="1:6" ht="16.05" customHeight="1" x14ac:dyDescent="0.25">
      <c r="A65" s="636" t="s">
        <v>170</v>
      </c>
      <c r="B65" s="627"/>
      <c r="C65" s="627"/>
      <c r="D65" s="627"/>
      <c r="E65" s="627"/>
      <c r="F65" s="627"/>
    </row>
    <row r="66" spans="1:6" ht="16.05" customHeight="1" x14ac:dyDescent="0.25">
      <c r="A66" s="609">
        <v>56</v>
      </c>
      <c r="B66" s="610" t="s">
        <v>171</v>
      </c>
      <c r="C66" s="611" t="str">
        <f ca="1">'Feasibility Study'!AY178</f>
        <v/>
      </c>
      <c r="D66" s="612" t="e">
        <f>GDC_BeforeMarketing</f>
        <v>#NAME?</v>
      </c>
      <c r="E66" s="613" t="s">
        <v>172</v>
      </c>
      <c r="F66" s="614" t="s">
        <v>173</v>
      </c>
    </row>
    <row r="67" spans="1:6" ht="16.05" customHeight="1" x14ac:dyDescent="0.25">
      <c r="A67" s="603">
        <v>57</v>
      </c>
      <c r="B67" s="604" t="s">
        <v>174</v>
      </c>
      <c r="C67" s="605">
        <f>'Feasibility Study'!AY180</f>
        <v>0</v>
      </c>
      <c r="D67" s="606" t="e">
        <f>GDC_BeforeLandCost</f>
        <v>#NAME?</v>
      </c>
      <c r="E67" s="607" t="s">
        <v>175</v>
      </c>
      <c r="F67" s="608" t="s">
        <v>176</v>
      </c>
    </row>
    <row r="68" spans="1:6" ht="16.05" customHeight="1" x14ac:dyDescent="0.25">
      <c r="A68" s="633" t="s">
        <v>177</v>
      </c>
      <c r="B68" s="627"/>
      <c r="C68" s="627"/>
      <c r="D68" s="627"/>
      <c r="E68" s="627"/>
      <c r="F68" s="627"/>
    </row>
    <row r="69" spans="1:6" ht="16.05" customHeight="1" x14ac:dyDescent="0.25">
      <c r="A69" s="609">
        <v>58</v>
      </c>
      <c r="B69" s="610" t="s">
        <v>178</v>
      </c>
      <c r="C69" s="611" t="e">
        <f>'Feasibility Study'!AY182</f>
        <v>#DIV/0!</v>
      </c>
      <c r="D69" s="612" t="e">
        <f>SandM_Total</f>
        <v>#NAME?</v>
      </c>
      <c r="E69" s="613" t="s">
        <v>179</v>
      </c>
      <c r="F69" s="614" t="s">
        <v>180</v>
      </c>
    </row>
    <row r="70" spans="1:6" ht="16.05" customHeight="1" x14ac:dyDescent="0.25">
      <c r="A70" s="603">
        <v>59</v>
      </c>
      <c r="B70" s="604" t="s">
        <v>181</v>
      </c>
      <c r="C70" s="605" t="e">
        <f>'Feasibility Study'!AY184</f>
        <v>#DIV/0!</v>
      </c>
      <c r="D70" s="606" t="e">
        <f>MarketingExpenses_Total</f>
        <v>#NAME?</v>
      </c>
      <c r="E70" s="607" t="s">
        <v>182</v>
      </c>
      <c r="F70" s="608" t="s">
        <v>183</v>
      </c>
    </row>
    <row r="71" spans="1:6" ht="16.05" customHeight="1" x14ac:dyDescent="0.25">
      <c r="A71" s="609">
        <v>60</v>
      </c>
      <c r="B71" s="610" t="s">
        <v>184</v>
      </c>
      <c r="C71" s="611">
        <f>'Feasibility Study'!AY194</f>
        <v>0</v>
      </c>
      <c r="D71" s="612" t="e">
        <f>Commission_Internal_Total</f>
        <v>#NAME?</v>
      </c>
      <c r="E71" s="613" t="s">
        <v>185</v>
      </c>
      <c r="F71" s="614" t="s">
        <v>186</v>
      </c>
    </row>
    <row r="72" spans="1:6" ht="16.05" customHeight="1" x14ac:dyDescent="0.25">
      <c r="A72" s="603">
        <v>61</v>
      </c>
      <c r="B72" s="604" t="s">
        <v>187</v>
      </c>
      <c r="C72" s="605" t="str">
        <f ca="1">'Feasibility Study'!AY195</f>
        <v/>
      </c>
      <c r="D72" s="606" t="e">
        <f>Commission_External_Total</f>
        <v>#NAME?</v>
      </c>
      <c r="E72" s="607" t="s">
        <v>188</v>
      </c>
      <c r="F72" s="608" t="s">
        <v>189</v>
      </c>
    </row>
    <row r="73" spans="1:6" ht="16.05" customHeight="1" x14ac:dyDescent="0.25">
      <c r="A73" s="609">
        <v>62</v>
      </c>
      <c r="B73" s="610" t="s">
        <v>190</v>
      </c>
      <c r="C73" s="611" t="str">
        <f ca="1">'Feasibility Study'!AY196</f>
        <v/>
      </c>
      <c r="D73" s="612" t="e">
        <f>RepeatBuyers_Total</f>
        <v>#NAME?</v>
      </c>
      <c r="E73" s="613" t="s">
        <v>191</v>
      </c>
      <c r="F73" s="614" t="s">
        <v>192</v>
      </c>
    </row>
    <row r="74" spans="1:6" ht="16.05" customHeight="1" x14ac:dyDescent="0.25">
      <c r="A74" s="603">
        <v>63</v>
      </c>
      <c r="B74" s="604" t="s">
        <v>193</v>
      </c>
      <c r="C74" s="605" t="str">
        <f ca="1">'Feasibility Study'!AY197</f>
        <v/>
      </c>
      <c r="D74" s="606" t="e">
        <f>FreeSPA_Total</f>
        <v>#NAME?</v>
      </c>
      <c r="E74" s="607" t="s">
        <v>194</v>
      </c>
      <c r="F74" s="608" t="s">
        <v>195</v>
      </c>
    </row>
    <row r="75" spans="1:6" ht="16.05" customHeight="1" x14ac:dyDescent="0.25">
      <c r="A75" s="609">
        <v>64</v>
      </c>
      <c r="B75" s="610" t="s">
        <v>196</v>
      </c>
      <c r="C75" s="611">
        <f>'Feasibility Study'!AY198</f>
        <v>0</v>
      </c>
      <c r="D75" s="612" t="e">
        <f>AdditionalSalesPkg_Total</f>
        <v>#NAME?</v>
      </c>
      <c r="E75" s="613" t="s">
        <v>197</v>
      </c>
      <c r="F75" s="614" t="s">
        <v>198</v>
      </c>
    </row>
    <row r="76" spans="1:6" ht="16.05" customHeight="1" x14ac:dyDescent="0.25">
      <c r="A76" s="603">
        <v>65</v>
      </c>
      <c r="B76" s="604" t="s">
        <v>199</v>
      </c>
      <c r="C76" s="605">
        <f>'Feasibility Study'!AY199</f>
        <v>0</v>
      </c>
      <c r="D76" s="606" t="e">
        <f>StaffDiscount_Total</f>
        <v>#NAME?</v>
      </c>
      <c r="E76" s="607" t="s">
        <v>200</v>
      </c>
      <c r="F76" s="608" t="s">
        <v>201</v>
      </c>
    </row>
    <row r="77" spans="1:6" ht="16.05" customHeight="1" x14ac:dyDescent="0.25">
      <c r="A77" s="609">
        <v>66</v>
      </c>
      <c r="B77" s="610" t="s">
        <v>202</v>
      </c>
      <c r="C77" s="611">
        <f>'Feasibility Study'!AY200</f>
        <v>0</v>
      </c>
      <c r="D77" s="612" t="e">
        <f>MaintenanceSinking_Total</f>
        <v>#NAME?</v>
      </c>
      <c r="E77" s="613" t="s">
        <v>203</v>
      </c>
      <c r="F77" s="614" t="s">
        <v>204</v>
      </c>
    </row>
    <row r="78" spans="1:6" ht="16.05" customHeight="1" x14ac:dyDescent="0.25">
      <c r="A78" s="632" t="s">
        <v>205</v>
      </c>
      <c r="B78" s="627"/>
      <c r="C78" s="627"/>
      <c r="D78" s="627"/>
      <c r="E78" s="627"/>
      <c r="F78" s="627"/>
    </row>
    <row r="79" spans="1:6" ht="16.05" customHeight="1" x14ac:dyDescent="0.25">
      <c r="A79" s="603">
        <v>67</v>
      </c>
      <c r="B79" s="604" t="s">
        <v>206</v>
      </c>
      <c r="C79" s="605">
        <f>'Feasibility Study'!AY202</f>
        <v>0</v>
      </c>
      <c r="D79" s="606" t="e">
        <f>GDC_AfterMarketing</f>
        <v>#NAME?</v>
      </c>
      <c r="E79" s="607" t="s">
        <v>207</v>
      </c>
      <c r="F79" s="608" t="s">
        <v>208</v>
      </c>
    </row>
    <row r="80" spans="1:6" ht="16.05" customHeight="1" x14ac:dyDescent="0.25">
      <c r="A80" s="609">
        <v>68</v>
      </c>
      <c r="B80" s="610" t="s">
        <v>209</v>
      </c>
      <c r="C80" s="611">
        <f>'Feasibility Study'!AY205</f>
        <v>0</v>
      </c>
      <c r="D80" s="612" t="e">
        <f>GDP_BeforeFinance</f>
        <v>#NAME?</v>
      </c>
      <c r="E80" s="613" t="s">
        <v>210</v>
      </c>
      <c r="F80" s="614" t="s">
        <v>211</v>
      </c>
    </row>
    <row r="81" spans="1:6" ht="16.05" customHeight="1" x14ac:dyDescent="0.25">
      <c r="A81" s="603">
        <v>69</v>
      </c>
      <c r="B81" s="604" t="s">
        <v>212</v>
      </c>
      <c r="C81" s="605">
        <f>'Feasibility Study'!AY208</f>
        <v>0</v>
      </c>
      <c r="D81" s="606" t="e">
        <f>FinancialCharges_Total</f>
        <v>#NAME?</v>
      </c>
      <c r="E81" s="607" t="s">
        <v>213</v>
      </c>
      <c r="F81" s="608" t="s">
        <v>214</v>
      </c>
    </row>
    <row r="82" spans="1:6" ht="16.05" customHeight="1" x14ac:dyDescent="0.25">
      <c r="A82" s="609">
        <v>70</v>
      </c>
      <c r="B82" s="610" t="s">
        <v>215</v>
      </c>
      <c r="C82" s="611">
        <f>'Feasibility Study'!AY209</f>
        <v>0</v>
      </c>
      <c r="D82" s="612" t="e">
        <f>LandLoanInterest_Total</f>
        <v>#NAME?</v>
      </c>
      <c r="E82" s="613" t="s">
        <v>216</v>
      </c>
      <c r="F82" s="614" t="s">
        <v>217</v>
      </c>
    </row>
    <row r="83" spans="1:6" ht="16.05" customHeight="1" x14ac:dyDescent="0.25">
      <c r="A83" s="603">
        <v>71</v>
      </c>
      <c r="B83" s="604" t="s">
        <v>218</v>
      </c>
      <c r="C83" s="605">
        <f>'Feasibility Study'!AY210</f>
        <v>0</v>
      </c>
      <c r="D83" s="606" t="e">
        <f>ConstructionLoanInterest</f>
        <v>#NAME?</v>
      </c>
      <c r="E83" s="607" t="s">
        <v>219</v>
      </c>
      <c r="F83" s="608" t="s">
        <v>220</v>
      </c>
    </row>
    <row r="84" spans="1:6" ht="16.05" customHeight="1" x14ac:dyDescent="0.25">
      <c r="A84" s="609">
        <v>72</v>
      </c>
      <c r="B84" s="610" t="s">
        <v>221</v>
      </c>
      <c r="C84" s="611">
        <f>'Feasibility Study'!AY212</f>
        <v>0</v>
      </c>
      <c r="D84" s="612" t="e">
        <f>GDC_AfterFinance</f>
        <v>#NAME?</v>
      </c>
      <c r="E84" s="613" t="s">
        <v>222</v>
      </c>
      <c r="F84" s="614" t="s">
        <v>223</v>
      </c>
    </row>
    <row r="85" spans="1:6" ht="16.05" customHeight="1" x14ac:dyDescent="0.25">
      <c r="A85" s="603">
        <v>73</v>
      </c>
      <c r="B85" s="604" t="s">
        <v>224</v>
      </c>
      <c r="C85" s="605">
        <f>'Feasibility Study'!AY215</f>
        <v>0</v>
      </c>
      <c r="D85" s="606" t="e">
        <f>GDP_AfterFinance</f>
        <v>#NAME?</v>
      </c>
      <c r="E85" s="607" t="s">
        <v>225</v>
      </c>
      <c r="F85" s="608" t="s">
        <v>226</v>
      </c>
    </row>
    <row r="86" spans="1:6" ht="16.05" customHeight="1" x14ac:dyDescent="0.25">
      <c r="A86" s="635" t="s">
        <v>227</v>
      </c>
      <c r="B86" s="627"/>
      <c r="C86" s="627"/>
      <c r="D86" s="627"/>
      <c r="E86" s="627"/>
      <c r="F86" s="627"/>
    </row>
    <row r="87" spans="1:6" ht="16.05" customHeight="1" x14ac:dyDescent="0.25">
      <c r="A87" s="609">
        <v>74</v>
      </c>
      <c r="B87" s="610" t="s">
        <v>228</v>
      </c>
      <c r="C87" s="611">
        <f>'Feasibility Study'!AY218</f>
        <v>0</v>
      </c>
      <c r="D87" s="612" t="e">
        <f>ProjectDeptOverhead_Total</f>
        <v>#NAME?</v>
      </c>
      <c r="E87" s="613" t="s">
        <v>229</v>
      </c>
      <c r="F87" s="614" t="s">
        <v>230</v>
      </c>
    </row>
    <row r="88" spans="1:6" ht="16.05" customHeight="1" x14ac:dyDescent="0.25">
      <c r="A88" s="603">
        <v>75</v>
      </c>
      <c r="B88" s="604" t="s">
        <v>231</v>
      </c>
      <c r="C88" s="605" t="e">
        <f>'Feasibility Study'!AY219</f>
        <v>#DIV/0!</v>
      </c>
      <c r="D88" s="606" t="e">
        <f>HeadOfficeOverhead_Total</f>
        <v>#NAME?</v>
      </c>
      <c r="E88" s="607" t="s">
        <v>232</v>
      </c>
      <c r="F88" s="608" t="s">
        <v>233</v>
      </c>
    </row>
    <row r="89" spans="1:6" ht="16.05" customHeight="1" x14ac:dyDescent="0.25">
      <c r="A89" s="609">
        <v>76</v>
      </c>
      <c r="B89" s="610" t="s">
        <v>234</v>
      </c>
      <c r="C89" s="611">
        <f>'Feasibility Study'!AY220</f>
        <v>0</v>
      </c>
      <c r="D89" s="612" t="e">
        <f>MktgDeptOverhead_Total</f>
        <v>#NAME?</v>
      </c>
      <c r="E89" s="613" t="s">
        <v>235</v>
      </c>
      <c r="F89" s="614" t="s">
        <v>236</v>
      </c>
    </row>
    <row r="90" spans="1:6" ht="16.05" customHeight="1" x14ac:dyDescent="0.25">
      <c r="A90" s="603">
        <v>77</v>
      </c>
      <c r="B90" s="604" t="s">
        <v>237</v>
      </c>
      <c r="C90" s="605">
        <f>'Feasibility Study'!AY221</f>
        <v>0</v>
      </c>
      <c r="D90" s="606" t="e">
        <f>CorporateOverhead_Total</f>
        <v>#NAME?</v>
      </c>
      <c r="E90" s="607" t="s">
        <v>238</v>
      </c>
      <c r="F90" s="608" t="s">
        <v>239</v>
      </c>
    </row>
    <row r="91" spans="1:6" ht="16.05" customHeight="1" x14ac:dyDescent="0.25">
      <c r="A91" s="634" t="s">
        <v>240</v>
      </c>
      <c r="B91" s="627"/>
      <c r="C91" s="627"/>
      <c r="D91" s="627"/>
      <c r="E91" s="627"/>
      <c r="F91" s="627"/>
    </row>
    <row r="92" spans="1:6" ht="16.05" customHeight="1" x14ac:dyDescent="0.25">
      <c r="A92" s="609">
        <v>78</v>
      </c>
      <c r="B92" s="610" t="s">
        <v>241</v>
      </c>
      <c r="C92" s="611">
        <f>'Feasibility Study'!AY225</f>
        <v>0</v>
      </c>
      <c r="D92" s="612" t="e">
        <f>NDP_Total</f>
        <v>#NAME?</v>
      </c>
      <c r="E92" s="613" t="s">
        <v>242</v>
      </c>
      <c r="F92" s="614" t="s">
        <v>243</v>
      </c>
    </row>
    <row r="93" spans="1:6" ht="16.05" customHeight="1" x14ac:dyDescent="0.25">
      <c r="A93" s="603">
        <v>79</v>
      </c>
      <c r="B93" s="604" t="s">
        <v>244</v>
      </c>
      <c r="C93" s="605" t="e">
        <f>'Feasibility Study'!AY226</f>
        <v>#DIV/0!</v>
      </c>
      <c r="D93" s="606" t="e">
        <f>NDP_PctOfNDV</f>
        <v>#NAME?</v>
      </c>
      <c r="E93" s="607" t="s">
        <v>245</v>
      </c>
      <c r="F93" s="608" t="s">
        <v>246</v>
      </c>
    </row>
    <row r="94" spans="1:6" ht="16.05" customHeight="1" x14ac:dyDescent="0.25">
      <c r="A94" s="609">
        <v>80</v>
      </c>
      <c r="B94" s="610" t="s">
        <v>247</v>
      </c>
      <c r="C94" s="611" t="str">
        <f ca="1">'Feasibility Study'!AY227</f>
        <v/>
      </c>
      <c r="D94" s="612" t="e">
        <f>NDP_PctOfGDV</f>
        <v>#NAME?</v>
      </c>
      <c r="E94" s="613" t="s">
        <v>248</v>
      </c>
      <c r="F94" s="614" t="s">
        <v>249</v>
      </c>
    </row>
    <row r="95" spans="1:6" ht="16.05" customHeight="1" x14ac:dyDescent="0.25">
      <c r="A95" s="603">
        <v>81</v>
      </c>
      <c r="B95" s="604" t="s">
        <v>250</v>
      </c>
      <c r="C95" s="605">
        <f>'Feasibility Study'!AY228</f>
        <v>0</v>
      </c>
      <c r="D95" s="606" t="e">
        <f>ProfitLandRatio</f>
        <v>#NAME?</v>
      </c>
      <c r="E95" s="607" t="s">
        <v>251</v>
      </c>
      <c r="F95" s="608" t="s">
        <v>252</v>
      </c>
    </row>
    <row r="97" spans="1:6" x14ac:dyDescent="0.25">
      <c r="A97" s="629" t="s">
        <v>253</v>
      </c>
      <c r="B97" s="627"/>
      <c r="C97" s="627"/>
      <c r="D97" s="627"/>
      <c r="E97" s="627"/>
      <c r="F97" s="627"/>
    </row>
    <row r="98" spans="1:6" ht="409.6" customHeight="1" x14ac:dyDescent="0.25">
      <c r="A98" s="626" t="s">
        <v>254</v>
      </c>
      <c r="B98" s="627"/>
      <c r="C98" s="627"/>
      <c r="D98" s="627"/>
      <c r="E98" s="627"/>
      <c r="F98" s="627"/>
    </row>
  </sheetData>
  <mergeCells count="15">
    <mergeCell ref="A98:F98"/>
    <mergeCell ref="A1:F1"/>
    <mergeCell ref="A97:F97"/>
    <mergeCell ref="A12:F12"/>
    <mergeCell ref="A4:F4"/>
    <mergeCell ref="A78:F78"/>
    <mergeCell ref="A21:F21"/>
    <mergeCell ref="A91:F91"/>
    <mergeCell ref="A86:F86"/>
    <mergeCell ref="A65:F65"/>
    <mergeCell ref="A2:F2"/>
    <mergeCell ref="A30:F30"/>
    <mergeCell ref="A46:F46"/>
    <mergeCell ref="A60:F60"/>
    <mergeCell ref="A68:F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F7F7F"/>
  </sheetPr>
  <dimension ref="A1:BD261"/>
  <sheetViews>
    <sheetView tabSelected="1" zoomScale="70" zoomScaleNormal="70" workbookViewId="0">
      <pane ySplit="6" topLeftCell="A7" activePane="bottomLeft" state="frozen"/>
      <selection pane="bottomLeft" activeCell="I15" sqref="I15"/>
    </sheetView>
  </sheetViews>
  <sheetFormatPr defaultColWidth="9.33203125" defaultRowHeight="13.2" outlineLevelCol="1" x14ac:dyDescent="0.25"/>
  <cols>
    <col min="1" max="1" width="42" style="1" customWidth="1"/>
    <col min="2" max="2" width="21.109375" style="1" customWidth="1"/>
    <col min="3" max="3" width="51.21875" style="1" customWidth="1"/>
    <col min="4" max="4" width="17.109375" style="1" customWidth="1"/>
    <col min="5" max="5" width="18.33203125" style="1" customWidth="1"/>
    <col min="6" max="6" width="28" style="1" customWidth="1"/>
    <col min="7" max="7" width="22.77734375" style="1" customWidth="1"/>
    <col min="8" max="8" width="22.6640625" style="1" customWidth="1"/>
    <col min="9" max="9" width="15.6640625" style="1" customWidth="1"/>
    <col min="10" max="10" width="3.6640625" style="1" customWidth="1"/>
    <col min="11" max="11" width="15.6640625" style="1" customWidth="1" outlineLevel="1"/>
    <col min="12" max="12" width="3.6640625" style="1" customWidth="1" outlineLevel="1"/>
    <col min="13" max="13" width="15.6640625" style="1" customWidth="1" outlineLevel="1"/>
    <col min="14" max="14" width="3.6640625" style="1" customWidth="1" outlineLevel="1"/>
    <col min="15" max="15" width="15.6640625" style="1" customWidth="1" outlineLevel="1"/>
    <col min="16" max="16" width="3.6640625" style="1" customWidth="1" outlineLevel="1"/>
    <col min="17" max="17" width="15.6640625" style="1" customWidth="1" outlineLevel="1"/>
    <col min="18" max="18" width="3.6640625" style="1" customWidth="1" outlineLevel="1"/>
    <col min="19" max="19" width="15.6640625" style="1" customWidth="1" outlineLevel="1"/>
    <col min="20" max="20" width="3.6640625" style="1" hidden="1" customWidth="1" outlineLevel="1"/>
    <col min="21" max="21" width="15.6640625" style="1" hidden="1" customWidth="1" outlineLevel="1"/>
    <col min="22" max="22" width="3.6640625" style="1" customWidth="1" outlineLevel="1"/>
    <col min="23" max="23" width="15.6640625" style="1" customWidth="1" outlineLevel="1"/>
    <col min="24" max="24" width="3.6640625" style="1" customWidth="1" outlineLevel="1"/>
    <col min="25" max="25" width="15.6640625" style="1" customWidth="1" outlineLevel="1"/>
    <col min="26" max="26" width="1.6640625" style="1" customWidth="1" outlineLevel="1"/>
    <col min="27" max="27" width="1.6640625" style="2" customWidth="1" outlineLevel="1"/>
    <col min="28" max="28" width="1.6640625" style="1" customWidth="1" outlineLevel="1"/>
    <col min="29" max="29" width="15.6640625" style="1" customWidth="1" outlineLevel="1"/>
    <col min="30" max="30" width="3.6640625" style="1" customWidth="1" outlineLevel="1"/>
    <col min="31" max="31" width="15.6640625" style="1" customWidth="1" outlineLevel="1"/>
    <col min="32" max="32" width="3.6640625" style="1" customWidth="1" outlineLevel="1"/>
    <col min="33" max="33" width="15.6640625" style="1" customWidth="1" outlineLevel="1"/>
    <col min="34" max="34" width="3.6640625" style="1" customWidth="1" outlineLevel="1"/>
    <col min="35" max="35" width="15.6640625" style="1" customWidth="1" outlineLevel="1"/>
    <col min="36" max="36" width="3.6640625" style="1" customWidth="1" outlineLevel="1"/>
    <col min="37" max="37" width="15.6640625" style="1" customWidth="1" outlineLevel="1"/>
    <col min="38" max="38" width="3.6640625" style="1" customWidth="1" outlineLevel="1"/>
    <col min="39" max="39" width="15.6640625" style="1" customWidth="1" outlineLevel="1"/>
    <col min="40" max="40" width="3.6640625" style="1" customWidth="1" outlineLevel="1"/>
    <col min="41" max="41" width="15.6640625" style="1" customWidth="1" outlineLevel="1"/>
    <col min="42" max="42" width="3.88671875" style="1" customWidth="1" outlineLevel="1"/>
    <col min="43" max="43" width="15.6640625" style="1" customWidth="1" outlineLevel="1"/>
    <col min="44" max="44" width="3.6640625" style="1" customWidth="1" outlineLevel="1"/>
    <col min="45" max="45" width="15.6640625" style="1" customWidth="1" outlineLevel="1"/>
    <col min="46" max="46" width="2.44140625" style="1" customWidth="1" outlineLevel="1"/>
    <col min="47" max="47" width="15.6640625" style="1" customWidth="1" outlineLevel="1"/>
    <col min="48" max="48" width="3.6640625" style="1" customWidth="1" outlineLevel="1"/>
    <col min="49" max="49" width="15.6640625" style="1" customWidth="1" outlineLevel="1"/>
    <col min="50" max="50" width="3.6640625" style="1" customWidth="1" outlineLevel="1"/>
    <col min="51" max="52" width="18.109375" style="1" customWidth="1" outlineLevel="1"/>
    <col min="53" max="53" width="1.6640625" style="1" customWidth="1" outlineLevel="1"/>
    <col min="54" max="54" width="2.6640625" style="1" customWidth="1"/>
    <col min="55" max="55" width="9.33203125" style="1" customWidth="1"/>
    <col min="56" max="16384" width="9.33203125" style="1"/>
  </cols>
  <sheetData>
    <row r="1" spans="1:53" s="4" customFormat="1" ht="21" customHeight="1" x14ac:dyDescent="0.25">
      <c r="A1" s="3" t="s">
        <v>255</v>
      </c>
      <c r="E1" s="5"/>
      <c r="H1" s="6"/>
      <c r="I1" s="7"/>
      <c r="AA1" s="8"/>
    </row>
    <row r="2" spans="1:53" ht="17.25" customHeight="1" x14ac:dyDescent="0.3">
      <c r="A2" s="9" t="s">
        <v>256</v>
      </c>
      <c r="G2" s="615"/>
      <c r="H2" s="616"/>
      <c r="I2" s="11"/>
      <c r="U2" s="643"/>
      <c r="AA2" s="8"/>
      <c r="AI2" s="12"/>
      <c r="AK2" s="12"/>
      <c r="AM2" s="12"/>
      <c r="AO2" s="12"/>
      <c r="AQ2" s="12"/>
      <c r="AS2" s="12"/>
      <c r="AU2" s="12"/>
      <c r="AW2" s="12"/>
    </row>
    <row r="3" spans="1:53" ht="17.25" customHeight="1" x14ac:dyDescent="0.3">
      <c r="A3" s="9" t="s">
        <v>1029</v>
      </c>
      <c r="D3" s="13"/>
      <c r="E3" s="13"/>
      <c r="G3" s="10"/>
      <c r="U3" s="644"/>
      <c r="W3" s="14"/>
      <c r="AA3" s="8"/>
      <c r="AC3" s="14"/>
      <c r="AE3" s="15"/>
      <c r="AG3" s="15"/>
    </row>
    <row r="4" spans="1:53" ht="15" customHeight="1" x14ac:dyDescent="0.25">
      <c r="A4" s="10"/>
      <c r="B4" s="10"/>
      <c r="C4" s="10"/>
      <c r="D4" s="13"/>
      <c r="E4" s="13"/>
      <c r="F4" s="13"/>
      <c r="I4" s="17"/>
      <c r="J4" s="17"/>
      <c r="K4" s="17"/>
      <c r="L4" s="17"/>
      <c r="M4" s="17"/>
      <c r="N4" s="17"/>
      <c r="O4" s="17"/>
      <c r="Q4" s="17"/>
      <c r="R4" s="17"/>
      <c r="S4" s="17"/>
      <c r="U4" s="17"/>
      <c r="W4" s="17"/>
      <c r="Y4" s="17"/>
      <c r="Z4" s="17"/>
      <c r="AA4" s="8"/>
      <c r="AC4" s="17"/>
      <c r="AE4" s="10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647" t="s">
        <v>257</v>
      </c>
      <c r="AX4" s="17"/>
      <c r="AY4" s="17"/>
      <c r="AZ4" s="17"/>
    </row>
    <row r="5" spans="1:53" ht="15" customHeight="1" x14ac:dyDescent="0.25">
      <c r="A5" s="10"/>
      <c r="B5" s="10"/>
      <c r="C5" s="10"/>
      <c r="D5" s="13"/>
      <c r="E5" s="13"/>
      <c r="F5" s="13"/>
      <c r="G5" s="623" t="s">
        <v>1033</v>
      </c>
      <c r="H5" s="624">
        <v>4046.87</v>
      </c>
      <c r="I5" s="17"/>
      <c r="J5" s="17"/>
      <c r="K5" s="17"/>
      <c r="L5" s="17"/>
      <c r="M5" s="17"/>
      <c r="N5" s="17"/>
      <c r="O5" s="17"/>
      <c r="Q5" s="17"/>
      <c r="R5" s="17"/>
      <c r="S5" s="17"/>
      <c r="U5" s="17"/>
      <c r="W5" s="17"/>
      <c r="Y5" s="17"/>
      <c r="Z5" s="17"/>
      <c r="AA5" s="8"/>
      <c r="AC5" s="17"/>
      <c r="AE5" s="10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644"/>
      <c r="AX5" s="17"/>
      <c r="AY5" s="17"/>
      <c r="AZ5" s="17"/>
    </row>
    <row r="6" spans="1:53" ht="15" customHeight="1" x14ac:dyDescent="0.25">
      <c r="G6" s="18" t="s">
        <v>258</v>
      </c>
      <c r="H6" s="19">
        <v>43560</v>
      </c>
      <c r="I6" s="20" t="s">
        <v>259</v>
      </c>
      <c r="K6" s="20" t="s">
        <v>260</v>
      </c>
      <c r="L6" s="20"/>
      <c r="M6" s="20" t="s">
        <v>261</v>
      </c>
      <c r="O6" s="20" t="s">
        <v>262</v>
      </c>
      <c r="Q6" s="20" t="s">
        <v>263</v>
      </c>
      <c r="R6" s="20"/>
      <c r="S6" s="20" t="s">
        <v>264</v>
      </c>
      <c r="U6" s="20"/>
      <c r="W6" s="20" t="s">
        <v>265</v>
      </c>
      <c r="Y6" s="20" t="s">
        <v>266</v>
      </c>
      <c r="Z6" s="20"/>
      <c r="AA6" s="8"/>
      <c r="AC6" s="20" t="s">
        <v>267</v>
      </c>
      <c r="AE6" s="20" t="s">
        <v>268</v>
      </c>
      <c r="AG6" s="20" t="s">
        <v>269</v>
      </c>
      <c r="AI6" s="20" t="s">
        <v>270</v>
      </c>
      <c r="AK6" s="20" t="s">
        <v>271</v>
      </c>
      <c r="AM6" s="20" t="s">
        <v>272</v>
      </c>
      <c r="AO6" s="20" t="s">
        <v>273</v>
      </c>
      <c r="AQ6" s="20" t="s">
        <v>274</v>
      </c>
      <c r="AS6" s="20" t="s">
        <v>275</v>
      </c>
      <c r="AT6" s="20"/>
      <c r="AU6" s="20" t="s">
        <v>276</v>
      </c>
      <c r="AW6" s="648"/>
      <c r="AY6" s="20"/>
      <c r="AZ6" s="20"/>
    </row>
    <row r="7" spans="1:53" ht="15" customHeight="1" x14ac:dyDescent="0.25">
      <c r="A7" s="21"/>
      <c r="B7" s="22"/>
      <c r="C7" s="22"/>
      <c r="D7" s="22"/>
      <c r="E7" s="22"/>
      <c r="F7" s="22"/>
      <c r="G7" s="22"/>
      <c r="H7" s="22"/>
      <c r="I7" s="23"/>
      <c r="K7" s="23"/>
      <c r="L7" s="24"/>
      <c r="M7" s="23"/>
      <c r="O7" s="23"/>
      <c r="Q7" s="23"/>
      <c r="R7" s="24"/>
      <c r="S7" s="23"/>
      <c r="U7" s="25"/>
      <c r="W7" s="23"/>
      <c r="Y7" s="23"/>
      <c r="AA7" s="8"/>
      <c r="AC7" s="26"/>
      <c r="AE7" s="26"/>
      <c r="AG7" s="26"/>
      <c r="AI7" s="26"/>
      <c r="AK7" s="26"/>
      <c r="AM7" s="26"/>
      <c r="AO7" s="26"/>
      <c r="AQ7" s="26"/>
      <c r="AS7" s="26"/>
      <c r="AU7" s="26"/>
      <c r="AW7" s="26"/>
      <c r="AY7" s="27"/>
    </row>
    <row r="8" spans="1:53" ht="15" customHeight="1" x14ac:dyDescent="0.25">
      <c r="A8" s="28" t="s">
        <v>277</v>
      </c>
      <c r="B8" s="29"/>
      <c r="C8" s="29"/>
      <c r="D8" s="29"/>
      <c r="E8" s="29"/>
      <c r="F8" s="29"/>
      <c r="G8" s="29"/>
      <c r="H8" s="29"/>
      <c r="I8" s="30">
        <v>42095</v>
      </c>
      <c r="K8" s="30">
        <v>42401</v>
      </c>
      <c r="L8" s="31"/>
      <c r="M8" s="30">
        <v>45017</v>
      </c>
      <c r="O8" s="30" t="s">
        <v>278</v>
      </c>
      <c r="Q8" s="30" t="s">
        <v>278</v>
      </c>
      <c r="R8" s="31"/>
      <c r="S8" s="30">
        <v>46631</v>
      </c>
      <c r="U8" s="32"/>
      <c r="W8" s="30">
        <v>46935</v>
      </c>
      <c r="Y8" s="30">
        <v>11171</v>
      </c>
      <c r="Z8" s="33"/>
      <c r="AA8" s="8"/>
      <c r="AC8" s="34">
        <v>44044</v>
      </c>
      <c r="AE8" s="34">
        <v>44835</v>
      </c>
      <c r="AG8" s="34">
        <v>45931</v>
      </c>
      <c r="AI8" s="34">
        <v>46419</v>
      </c>
      <c r="AK8" s="34">
        <v>46419</v>
      </c>
      <c r="AM8" s="34" t="s">
        <v>278</v>
      </c>
      <c r="AO8" s="34" t="s">
        <v>278</v>
      </c>
      <c r="AQ8" s="34" t="s">
        <v>278</v>
      </c>
      <c r="AS8" s="34" t="s">
        <v>278</v>
      </c>
      <c r="AT8" s="33"/>
      <c r="AU8" s="34" t="s">
        <v>278</v>
      </c>
      <c r="AW8" s="34" t="s">
        <v>278</v>
      </c>
      <c r="AY8" s="35" t="s">
        <v>279</v>
      </c>
      <c r="AZ8" s="33"/>
    </row>
    <row r="9" spans="1:53" ht="15" customHeight="1" x14ac:dyDescent="0.25">
      <c r="A9" s="36"/>
      <c r="B9" s="37"/>
      <c r="C9" s="37"/>
      <c r="D9" s="37"/>
      <c r="E9" s="37"/>
      <c r="F9" s="37"/>
      <c r="G9" s="37"/>
      <c r="H9" s="37"/>
      <c r="I9" s="38"/>
      <c r="K9" s="38"/>
      <c r="L9" s="24"/>
      <c r="M9" s="38"/>
      <c r="O9" s="38"/>
      <c r="Q9" s="38"/>
      <c r="R9" s="24"/>
      <c r="S9" s="38"/>
      <c r="U9" s="39"/>
      <c r="W9" s="40"/>
      <c r="Y9" s="38"/>
      <c r="AA9" s="8"/>
      <c r="AC9" s="41"/>
      <c r="AE9" s="41"/>
      <c r="AG9" s="41"/>
      <c r="AI9" s="41"/>
      <c r="AK9" s="41"/>
      <c r="AM9" s="42"/>
      <c r="AO9" s="41"/>
      <c r="AQ9" s="41"/>
      <c r="AS9" s="41"/>
      <c r="AU9" s="41"/>
      <c r="AW9" s="41"/>
      <c r="AY9" s="43"/>
      <c r="BA9" s="44"/>
    </row>
    <row r="10" spans="1:53" ht="15" customHeight="1" x14ac:dyDescent="0.25">
      <c r="A10" s="45"/>
      <c r="C10" s="46" t="s">
        <v>280</v>
      </c>
      <c r="I10" s="47">
        <v>0</v>
      </c>
      <c r="K10" s="47">
        <v>0</v>
      </c>
      <c r="L10" s="48"/>
      <c r="M10" s="47">
        <v>0</v>
      </c>
      <c r="O10" s="47">
        <v>0</v>
      </c>
      <c r="Q10" s="47">
        <v>0</v>
      </c>
      <c r="R10" s="49"/>
      <c r="S10" s="47">
        <v>0</v>
      </c>
      <c r="U10" s="50"/>
      <c r="W10" s="47">
        <v>0</v>
      </c>
      <c r="Y10" s="47">
        <v>0</v>
      </c>
      <c r="Z10" s="51"/>
      <c r="AA10" s="8"/>
      <c r="AC10" s="52">
        <v>0</v>
      </c>
      <c r="AE10" s="52">
        <v>0</v>
      </c>
      <c r="AG10" s="52">
        <v>0</v>
      </c>
      <c r="AI10" s="52">
        <v>0</v>
      </c>
      <c r="AK10" s="52">
        <v>0</v>
      </c>
      <c r="AM10" s="52">
        <v>0</v>
      </c>
      <c r="AO10" s="52">
        <v>0</v>
      </c>
      <c r="AQ10" s="52">
        <v>0</v>
      </c>
      <c r="AS10" s="52">
        <v>0</v>
      </c>
      <c r="AT10" s="53"/>
      <c r="AU10" s="52">
        <v>0</v>
      </c>
      <c r="AW10" s="54">
        <v>0</v>
      </c>
      <c r="AY10" s="55">
        <f>SUM(I10:AW10)</f>
        <v>0</v>
      </c>
    </row>
    <row r="11" spans="1:53" ht="15" customHeight="1" x14ac:dyDescent="0.25">
      <c r="A11" s="45"/>
      <c r="C11" s="46" t="s">
        <v>281</v>
      </c>
      <c r="I11" s="56">
        <f>I10*$H$5</f>
        <v>0</v>
      </c>
      <c r="K11" s="56">
        <f>K10*$H$5</f>
        <v>0</v>
      </c>
      <c r="L11" s="57"/>
      <c r="M11" s="56">
        <f>M10*$H$5</f>
        <v>0</v>
      </c>
      <c r="O11" s="56">
        <f>O10*$H$5</f>
        <v>0</v>
      </c>
      <c r="Q11" s="56">
        <f>Q10*$H$5</f>
        <v>0</v>
      </c>
      <c r="R11" s="49"/>
      <c r="S11" s="56">
        <v>0</v>
      </c>
      <c r="U11" s="56"/>
      <c r="W11" s="56">
        <f>W10*$H$5</f>
        <v>0</v>
      </c>
      <c r="Y11" s="56">
        <f>Y10*$H$5</f>
        <v>0</v>
      </c>
      <c r="Z11" s="58"/>
      <c r="AA11" s="8"/>
      <c r="AC11" s="56">
        <f>AC10*$H$5</f>
        <v>0</v>
      </c>
      <c r="AE11" s="56">
        <f>AE10*$H$5</f>
        <v>0</v>
      </c>
      <c r="AG11" s="56">
        <f>AG10*$H$5</f>
        <v>0</v>
      </c>
      <c r="AI11" s="56">
        <f>AI10*$H$5</f>
        <v>0</v>
      </c>
      <c r="AK11" s="56">
        <f>AK10*$H$5</f>
        <v>0</v>
      </c>
      <c r="AM11" s="56">
        <f>AM10*$H$5</f>
        <v>0</v>
      </c>
      <c r="AO11" s="56">
        <f>AO10*$H$5</f>
        <v>0</v>
      </c>
      <c r="AQ11" s="56">
        <f>AQ10*$H$5</f>
        <v>0</v>
      </c>
      <c r="AS11" s="56">
        <f>AS10*$H$5</f>
        <v>0</v>
      </c>
      <c r="AT11" s="53"/>
      <c r="AU11" s="56">
        <f>AU10*$H$5</f>
        <v>0</v>
      </c>
      <c r="AW11" s="56">
        <f>AW10*$H$5</f>
        <v>0</v>
      </c>
      <c r="AY11" s="56">
        <f>SUM(I11:AW11)</f>
        <v>0</v>
      </c>
      <c r="AZ11" s="53"/>
    </row>
    <row r="12" spans="1:53" ht="15" customHeight="1" x14ac:dyDescent="0.25">
      <c r="A12" s="45"/>
      <c r="C12" s="46" t="s">
        <v>282</v>
      </c>
      <c r="I12" s="59">
        <f>I10*$H$6</f>
        <v>0</v>
      </c>
      <c r="K12" s="59">
        <f>K10*$H$6</f>
        <v>0</v>
      </c>
      <c r="L12" s="57"/>
      <c r="M12" s="59">
        <f>M10*$H$6</f>
        <v>0</v>
      </c>
      <c r="O12" s="59">
        <f>O10*$H$6</f>
        <v>0</v>
      </c>
      <c r="Q12" s="59">
        <f>Q10*$H$6</f>
        <v>0</v>
      </c>
      <c r="R12" s="49"/>
      <c r="S12" s="59">
        <f>S10*$H$6</f>
        <v>0</v>
      </c>
      <c r="U12" s="59"/>
      <c r="W12" s="59">
        <f>W10*$H$6</f>
        <v>0</v>
      </c>
      <c r="Y12" s="59">
        <f>Y10*$H$6</f>
        <v>0</v>
      </c>
      <c r="Z12" s="60"/>
      <c r="AA12" s="8"/>
      <c r="AC12" s="59">
        <f>AC10*$H$6</f>
        <v>0</v>
      </c>
      <c r="AE12" s="59">
        <f>AE10*$H$6</f>
        <v>0</v>
      </c>
      <c r="AG12" s="59">
        <f>AG10*$H$6</f>
        <v>0</v>
      </c>
      <c r="AI12" s="59">
        <f>AI10*$H$6</f>
        <v>0</v>
      </c>
      <c r="AK12" s="59">
        <f>AK10*$H$6</f>
        <v>0</v>
      </c>
      <c r="AM12" s="59">
        <f>AM10*$H$6</f>
        <v>0</v>
      </c>
      <c r="AO12" s="59">
        <f>AO10*$H$6</f>
        <v>0</v>
      </c>
      <c r="AQ12" s="59">
        <f>AQ10*$H$6</f>
        <v>0</v>
      </c>
      <c r="AS12" s="59">
        <f>AS10*$H$6</f>
        <v>0</v>
      </c>
      <c r="AT12" s="53"/>
      <c r="AU12" s="59">
        <f>AU10*$H$6</f>
        <v>0</v>
      </c>
      <c r="AW12" s="59">
        <f>AW10*$H$6</f>
        <v>0</v>
      </c>
      <c r="AY12" s="59">
        <f>SUM(I12:AW12)</f>
        <v>0</v>
      </c>
      <c r="AZ12" s="53"/>
    </row>
    <row r="13" spans="1:53" ht="15" customHeight="1" x14ac:dyDescent="0.25">
      <c r="A13" s="45"/>
      <c r="C13" s="46" t="s">
        <v>1031</v>
      </c>
      <c r="I13" s="61">
        <f>E31</f>
        <v>0</v>
      </c>
      <c r="K13" s="61">
        <f>E44</f>
        <v>0</v>
      </c>
      <c r="L13" s="62"/>
      <c r="M13" s="61">
        <f>E45</f>
        <v>0</v>
      </c>
      <c r="O13" s="61">
        <f>E46</f>
        <v>0</v>
      </c>
      <c r="Q13" s="61">
        <v>0</v>
      </c>
      <c r="R13" s="62"/>
      <c r="S13" s="61">
        <f>E49+E50</f>
        <v>0</v>
      </c>
      <c r="U13" s="61"/>
      <c r="W13" s="61">
        <f>E51</f>
        <v>0</v>
      </c>
      <c r="Y13" s="61">
        <f>E52</f>
        <v>0</v>
      </c>
      <c r="Z13" s="63"/>
      <c r="AA13" s="8"/>
      <c r="AC13" s="61">
        <f>E53</f>
        <v>0</v>
      </c>
      <c r="AE13" s="61">
        <f>E54</f>
        <v>0</v>
      </c>
      <c r="AG13" s="64">
        <f>E55</f>
        <v>0</v>
      </c>
      <c r="AI13" s="64">
        <f>E56</f>
        <v>0</v>
      </c>
      <c r="AK13" s="64">
        <f>E57</f>
        <v>0</v>
      </c>
      <c r="AM13" s="64">
        <f>E58</f>
        <v>0</v>
      </c>
      <c r="AO13" s="61">
        <f>E59</f>
        <v>0</v>
      </c>
      <c r="AQ13" s="61">
        <f>E60</f>
        <v>0</v>
      </c>
      <c r="AS13" s="61">
        <v>0</v>
      </c>
      <c r="AT13" s="63"/>
      <c r="AU13" s="61">
        <f>E62</f>
        <v>0</v>
      </c>
      <c r="AW13" s="61">
        <f>E63</f>
        <v>0</v>
      </c>
      <c r="AY13" s="61">
        <f>SUM(I13:AW13)</f>
        <v>0</v>
      </c>
      <c r="AZ13" s="63"/>
    </row>
    <row r="14" spans="1:53" ht="15" customHeight="1" x14ac:dyDescent="0.25">
      <c r="C14" s="46" t="s">
        <v>284</v>
      </c>
      <c r="D14" s="65"/>
      <c r="E14" s="65"/>
      <c r="F14" s="65"/>
      <c r="G14" s="65"/>
      <c r="H14" s="66"/>
      <c r="I14" s="625">
        <v>0</v>
      </c>
      <c r="K14" s="60"/>
      <c r="L14" s="60"/>
      <c r="M14" s="60"/>
      <c r="O14" s="60"/>
      <c r="Q14" s="60"/>
      <c r="R14" s="60"/>
      <c r="S14" s="60"/>
      <c r="U14" s="60"/>
      <c r="W14" s="60"/>
      <c r="Y14" s="60"/>
      <c r="Z14" s="60"/>
      <c r="AA14" s="8"/>
      <c r="AC14" s="60"/>
      <c r="AE14" s="60"/>
      <c r="AG14" s="60"/>
      <c r="AI14" s="60"/>
      <c r="AK14" s="60"/>
      <c r="AM14" s="621"/>
      <c r="AO14" s="60"/>
      <c r="AQ14" s="60"/>
      <c r="AS14" s="60"/>
      <c r="AT14" s="60"/>
      <c r="AU14" s="60"/>
      <c r="AW14" s="60"/>
      <c r="AY14" s="622"/>
      <c r="AZ14" s="53"/>
    </row>
    <row r="15" spans="1:53" ht="15" customHeight="1" x14ac:dyDescent="0.25">
      <c r="C15" s="46" t="s">
        <v>1034</v>
      </c>
      <c r="D15" s="65"/>
      <c r="E15" s="65"/>
      <c r="F15" s="65"/>
      <c r="G15" s="65"/>
      <c r="H15" s="66"/>
      <c r="I15" s="59"/>
      <c r="K15" s="60"/>
      <c r="L15" s="60"/>
      <c r="M15" s="60"/>
      <c r="O15" s="60"/>
      <c r="Q15" s="60"/>
      <c r="R15" s="60"/>
      <c r="S15" s="60"/>
      <c r="U15" s="60"/>
      <c r="W15" s="60"/>
      <c r="Y15" s="60"/>
      <c r="Z15" s="60"/>
      <c r="AA15" s="8"/>
      <c r="AC15" s="60"/>
      <c r="AE15" s="60"/>
      <c r="AG15" s="60"/>
      <c r="AI15" s="60"/>
      <c r="AK15" s="60"/>
      <c r="AM15" s="621"/>
      <c r="AO15" s="60"/>
      <c r="AQ15" s="60"/>
      <c r="AS15" s="60"/>
      <c r="AT15" s="60"/>
      <c r="AU15" s="60"/>
      <c r="AW15" s="60"/>
      <c r="AY15" s="622"/>
      <c r="AZ15" s="53"/>
    </row>
    <row r="16" spans="1:53" ht="15" customHeight="1" x14ac:dyDescent="0.25">
      <c r="A16" s="45"/>
      <c r="C16" s="46" t="s">
        <v>1032</v>
      </c>
      <c r="D16" s="65"/>
      <c r="E16" s="65"/>
      <c r="F16" s="65"/>
      <c r="G16" s="65"/>
      <c r="H16" s="66"/>
      <c r="I16" s="59"/>
      <c r="K16" s="59"/>
      <c r="L16" s="68"/>
      <c r="M16" s="59"/>
      <c r="O16" s="59"/>
      <c r="Q16" s="59"/>
      <c r="R16" s="68"/>
      <c r="S16" s="59"/>
      <c r="U16" s="59"/>
      <c r="W16" s="59"/>
      <c r="Y16" s="59"/>
      <c r="Z16" s="60"/>
      <c r="AA16" s="8"/>
      <c r="AC16" s="59"/>
      <c r="AE16" s="59"/>
      <c r="AG16" s="59"/>
      <c r="AI16" s="59"/>
      <c r="AK16" s="59"/>
      <c r="AM16" s="69"/>
      <c r="AO16" s="59"/>
      <c r="AQ16" s="59"/>
      <c r="AS16" s="59"/>
      <c r="AT16" s="60"/>
      <c r="AU16" s="59"/>
      <c r="AW16" s="59"/>
      <c r="AY16" s="70"/>
      <c r="AZ16" s="53"/>
    </row>
    <row r="17" spans="1:52" ht="15" customHeight="1" x14ac:dyDescent="0.25">
      <c r="A17" s="45"/>
      <c r="C17" s="46" t="s">
        <v>283</v>
      </c>
      <c r="D17" s="65"/>
      <c r="E17" s="65"/>
      <c r="F17" s="65"/>
      <c r="G17" s="65"/>
      <c r="H17" s="66"/>
      <c r="I17" s="67">
        <v>0</v>
      </c>
      <c r="K17" s="59">
        <f>K13*D44</f>
        <v>0</v>
      </c>
      <c r="L17" s="68"/>
      <c r="M17" s="59">
        <f>M13*D45</f>
        <v>0</v>
      </c>
      <c r="O17" s="59">
        <f>O13*D46</f>
        <v>0</v>
      </c>
      <c r="Q17" s="59">
        <f>Q13*D47</f>
        <v>0</v>
      </c>
      <c r="R17" s="68"/>
      <c r="S17" s="59">
        <f>(E49*D49)+(D50*E50)</f>
        <v>0</v>
      </c>
      <c r="U17" s="59"/>
      <c r="W17" s="59">
        <f>W13*D51</f>
        <v>0</v>
      </c>
      <c r="Y17" s="59">
        <f>Y13*D52</f>
        <v>0</v>
      </c>
      <c r="Z17" s="60"/>
      <c r="AA17" s="8"/>
      <c r="AC17" s="59">
        <f>AC13*D53</f>
        <v>0</v>
      </c>
      <c r="AE17" s="59">
        <f>AE13*D54</f>
        <v>0</v>
      </c>
      <c r="AG17" s="69">
        <f>AG13*D55</f>
        <v>0</v>
      </c>
      <c r="AI17" s="69">
        <f>AI13*D56</f>
        <v>0</v>
      </c>
      <c r="AK17" s="69">
        <f>AK13*D57</f>
        <v>0</v>
      </c>
      <c r="AM17" s="69">
        <f>AM13*D58</f>
        <v>0</v>
      </c>
      <c r="AO17" s="69">
        <f>AO13*D59</f>
        <v>0</v>
      </c>
      <c r="AQ17" s="69">
        <f>AQ13*D60</f>
        <v>0</v>
      </c>
      <c r="AS17" s="69">
        <f>AS13*D61</f>
        <v>0</v>
      </c>
      <c r="AT17" s="60"/>
      <c r="AU17" s="59">
        <f>AU13*D62</f>
        <v>0</v>
      </c>
      <c r="AW17" s="59">
        <f>AW13*D63</f>
        <v>0</v>
      </c>
      <c r="AY17" s="59">
        <f>SUM(I17:AW17)</f>
        <v>0</v>
      </c>
      <c r="AZ17" s="60"/>
    </row>
    <row r="18" spans="1:52" ht="15" customHeight="1" x14ac:dyDescent="0.25">
      <c r="C18" s="46" t="s">
        <v>1035</v>
      </c>
      <c r="D18" s="65"/>
      <c r="E18" s="65"/>
      <c r="F18" s="65"/>
      <c r="G18" s="65"/>
      <c r="H18" s="66"/>
      <c r="I18" s="59"/>
      <c r="K18" s="60"/>
      <c r="L18" s="60"/>
      <c r="M18" s="60"/>
      <c r="O18" s="60"/>
      <c r="Q18" s="60"/>
      <c r="R18" s="60"/>
      <c r="S18" s="60"/>
      <c r="U18" s="60"/>
      <c r="W18" s="60"/>
      <c r="Y18" s="60"/>
      <c r="Z18" s="60"/>
      <c r="AA18" s="8"/>
      <c r="AC18" s="60"/>
      <c r="AE18" s="60"/>
      <c r="AG18" s="60"/>
      <c r="AI18" s="60"/>
      <c r="AK18" s="60"/>
      <c r="AM18" s="621"/>
      <c r="AO18" s="60"/>
      <c r="AQ18" s="60"/>
      <c r="AS18" s="60"/>
      <c r="AT18" s="60"/>
      <c r="AU18" s="60"/>
      <c r="AW18" s="60"/>
      <c r="AY18" s="622"/>
      <c r="AZ18" s="53"/>
    </row>
    <row r="19" spans="1:52" ht="15" customHeight="1" x14ac:dyDescent="0.25">
      <c r="C19" s="46" t="s">
        <v>1036</v>
      </c>
      <c r="D19" s="65"/>
      <c r="E19" s="65"/>
      <c r="F19" s="65"/>
      <c r="G19" s="65"/>
      <c r="H19" s="66"/>
      <c r="I19" s="59"/>
      <c r="K19" s="60"/>
      <c r="L19" s="60"/>
      <c r="M19" s="60"/>
      <c r="O19" s="60"/>
      <c r="Q19" s="60"/>
      <c r="R19" s="60"/>
      <c r="S19" s="60"/>
      <c r="U19" s="60"/>
      <c r="W19" s="60"/>
      <c r="Y19" s="60"/>
      <c r="Z19" s="60"/>
      <c r="AA19" s="8"/>
      <c r="AC19" s="60"/>
      <c r="AE19" s="60"/>
      <c r="AG19" s="60"/>
      <c r="AI19" s="60"/>
      <c r="AK19" s="60"/>
      <c r="AM19" s="621"/>
      <c r="AO19" s="60"/>
      <c r="AQ19" s="60"/>
      <c r="AS19" s="60"/>
      <c r="AT19" s="60"/>
      <c r="AU19" s="60"/>
      <c r="AW19" s="60"/>
      <c r="AY19" s="622"/>
      <c r="AZ19" s="53"/>
    </row>
    <row r="20" spans="1:52" ht="15" customHeight="1" x14ac:dyDescent="0.25">
      <c r="C20" s="46" t="s">
        <v>1037</v>
      </c>
      <c r="D20" s="65"/>
      <c r="E20" s="65"/>
      <c r="F20" s="65"/>
      <c r="G20" s="65"/>
      <c r="H20" s="66"/>
      <c r="I20" s="59"/>
      <c r="K20" s="60"/>
      <c r="L20" s="60"/>
      <c r="M20" s="60"/>
      <c r="O20" s="60"/>
      <c r="Q20" s="60"/>
      <c r="R20" s="60"/>
      <c r="S20" s="60"/>
      <c r="U20" s="60"/>
      <c r="W20" s="60"/>
      <c r="Y20" s="60"/>
      <c r="Z20" s="60"/>
      <c r="AA20" s="8"/>
      <c r="AC20" s="60"/>
      <c r="AE20" s="60"/>
      <c r="AG20" s="60"/>
      <c r="AI20" s="60"/>
      <c r="AK20" s="60"/>
      <c r="AM20" s="621"/>
      <c r="AO20" s="60"/>
      <c r="AQ20" s="60"/>
      <c r="AS20" s="60"/>
      <c r="AT20" s="60"/>
      <c r="AU20" s="60"/>
      <c r="AW20" s="60"/>
      <c r="AY20" s="622"/>
      <c r="AZ20" s="53"/>
    </row>
    <row r="21" spans="1:52" ht="15" customHeight="1" x14ac:dyDescent="0.25">
      <c r="B21" s="71"/>
      <c r="I21" s="618">
        <v>0</v>
      </c>
      <c r="K21" s="72">
        <v>0</v>
      </c>
      <c r="M21" s="72">
        <v>0</v>
      </c>
      <c r="O21" s="72">
        <v>0</v>
      </c>
      <c r="Q21" s="72">
        <v>0</v>
      </c>
      <c r="S21" s="72">
        <v>0</v>
      </c>
      <c r="W21" s="72">
        <v>0</v>
      </c>
      <c r="Y21" s="72">
        <v>0</v>
      </c>
      <c r="AC21" s="72">
        <v>0</v>
      </c>
      <c r="AE21" s="72">
        <v>0</v>
      </c>
      <c r="AG21" s="72">
        <v>0</v>
      </c>
      <c r="AI21" s="72">
        <v>0</v>
      </c>
      <c r="AK21" s="72">
        <v>0</v>
      </c>
      <c r="AM21" s="72">
        <v>0</v>
      </c>
      <c r="AO21" s="72">
        <v>0</v>
      </c>
      <c r="AQ21" s="72">
        <v>0</v>
      </c>
      <c r="AS21" s="72">
        <v>0</v>
      </c>
      <c r="AU21" s="72">
        <v>0</v>
      </c>
      <c r="AW21" s="72">
        <v>0</v>
      </c>
      <c r="AY21" s="72">
        <f>SUM(I21:AW21)</f>
        <v>0</v>
      </c>
    </row>
    <row r="22" spans="1:52" ht="15" customHeight="1" x14ac:dyDescent="0.25">
      <c r="B22" s="71"/>
      <c r="I22" s="618">
        <v>0</v>
      </c>
      <c r="K22" s="72">
        <v>0</v>
      </c>
      <c r="M22" s="72">
        <v>0</v>
      </c>
      <c r="O22" s="72">
        <v>0</v>
      </c>
      <c r="Q22" s="72">
        <v>0</v>
      </c>
      <c r="S22" s="72">
        <v>0</v>
      </c>
      <c r="W22" s="72">
        <v>0</v>
      </c>
      <c r="Y22" s="72">
        <v>0</v>
      </c>
      <c r="AC22" s="72">
        <v>0</v>
      </c>
      <c r="AE22" s="72">
        <v>0</v>
      </c>
      <c r="AG22" s="72">
        <v>0</v>
      </c>
      <c r="AI22" s="72">
        <v>0</v>
      </c>
      <c r="AK22" s="72">
        <v>0</v>
      </c>
      <c r="AM22" s="72">
        <v>0</v>
      </c>
      <c r="AO22" s="72">
        <v>0</v>
      </c>
      <c r="AQ22" s="72">
        <v>0</v>
      </c>
      <c r="AS22" s="72">
        <v>0</v>
      </c>
      <c r="AU22" s="72">
        <v>0</v>
      </c>
      <c r="AW22" s="72">
        <v>0</v>
      </c>
      <c r="AY22" s="72">
        <f>SUM(I22:AW22)</f>
        <v>0</v>
      </c>
    </row>
    <row r="23" spans="1:52" ht="15" customHeight="1" x14ac:dyDescent="0.25">
      <c r="B23" s="71"/>
      <c r="I23" s="619">
        <f>IFERROR(I17/I22,0)</f>
        <v>0</v>
      </c>
      <c r="K23" s="73">
        <f>IFERROR(K17/K22,0)</f>
        <v>0</v>
      </c>
      <c r="M23" s="73">
        <f>IFERROR(M17/M22,0)</f>
        <v>0</v>
      </c>
      <c r="O23" s="73">
        <f>IFERROR(O17/O22,0)</f>
        <v>0</v>
      </c>
      <c r="Q23" s="73">
        <f>IFERROR(Q17/Q22,0)</f>
        <v>0</v>
      </c>
      <c r="S23" s="73">
        <f>IFERROR(S17/S22,0)</f>
        <v>0</v>
      </c>
      <c r="W23" s="73">
        <f>IFERROR(W17/W22,0)</f>
        <v>0</v>
      </c>
      <c r="Y23" s="73">
        <f>IFERROR(Y17/Y22,0)</f>
        <v>0</v>
      </c>
      <c r="AC23" s="73">
        <f>IFERROR(AC17/AC22,0)</f>
        <v>0</v>
      </c>
      <c r="AE23" s="73">
        <f>IFERROR(AE17/AE22,0)</f>
        <v>0</v>
      </c>
      <c r="AG23" s="73">
        <f>IFERROR(AG17/AG22,0)</f>
        <v>0</v>
      </c>
      <c r="AI23" s="73">
        <f>IFERROR(AI17/AI22,0)</f>
        <v>0</v>
      </c>
      <c r="AK23" s="73">
        <f>IFERROR(AK17/AK22,0)</f>
        <v>0</v>
      </c>
      <c r="AM23" s="73">
        <f>IFERROR(AM17/AM22,0)</f>
        <v>0</v>
      </c>
      <c r="AO23" s="73">
        <f>IFERROR(AO17/AO22,0)</f>
        <v>0</v>
      </c>
      <c r="AQ23" s="73">
        <f>IFERROR(AQ17/AQ22,0)</f>
        <v>0</v>
      </c>
      <c r="AS23" s="73">
        <f>IFERROR(AS17/AS22,0)</f>
        <v>0</v>
      </c>
      <c r="AU23" s="73">
        <f>IFERROR(AU17/AU22,0)</f>
        <v>0</v>
      </c>
      <c r="AW23" s="73">
        <f>IFERROR(AW17/AW22,0)</f>
        <v>0</v>
      </c>
      <c r="AY23" s="74">
        <f>IFERROR(AY17/AY22,0)</f>
        <v>0</v>
      </c>
    </row>
    <row r="24" spans="1:52" ht="15" customHeight="1" x14ac:dyDescent="0.25">
      <c r="B24" s="71"/>
      <c r="I24" s="618">
        <v>0</v>
      </c>
      <c r="K24" s="72">
        <v>0</v>
      </c>
      <c r="M24" s="72">
        <v>0</v>
      </c>
      <c r="O24" s="72">
        <v>0</v>
      </c>
      <c r="Q24" s="72">
        <v>0</v>
      </c>
      <c r="S24" s="72">
        <v>0</v>
      </c>
      <c r="W24" s="72">
        <v>0</v>
      </c>
      <c r="Y24" s="72">
        <v>0</v>
      </c>
      <c r="AC24" s="72">
        <v>0</v>
      </c>
      <c r="AE24" s="72">
        <v>0</v>
      </c>
      <c r="AG24" s="72">
        <v>0</v>
      </c>
      <c r="AI24" s="72">
        <v>0</v>
      </c>
      <c r="AK24" s="72">
        <v>0</v>
      </c>
      <c r="AM24" s="72">
        <v>0</v>
      </c>
      <c r="AO24" s="72">
        <v>0</v>
      </c>
      <c r="AQ24" s="72">
        <v>0</v>
      </c>
      <c r="AS24" s="72">
        <v>0</v>
      </c>
      <c r="AU24" s="72">
        <v>0</v>
      </c>
      <c r="AW24" s="72">
        <v>0</v>
      </c>
      <c r="AY24" s="72">
        <f>SUM(I24:AW24)</f>
        <v>0</v>
      </c>
    </row>
    <row r="25" spans="1:52" ht="15" customHeight="1" x14ac:dyDescent="0.25">
      <c r="A25" s="45"/>
      <c r="C25" s="46"/>
      <c r="D25" s="65"/>
      <c r="E25" s="65"/>
      <c r="F25" s="65"/>
      <c r="G25" s="65"/>
      <c r="H25" s="66"/>
      <c r="I25" s="75">
        <f>IF(I10=0,0,I13/I10)</f>
        <v>0</v>
      </c>
      <c r="K25" s="75" t="e">
        <f>K13/K10</f>
        <v>#DIV/0!</v>
      </c>
      <c r="L25" s="68"/>
      <c r="M25" s="75" t="e">
        <f>M13/M10</f>
        <v>#DIV/0!</v>
      </c>
      <c r="O25" s="75" t="e">
        <f>O13/O10</f>
        <v>#DIV/0!</v>
      </c>
      <c r="Q25" s="76" t="e">
        <f>Q17/Q12</f>
        <v>#DIV/0!</v>
      </c>
      <c r="R25" s="68"/>
      <c r="S25" s="76" t="e">
        <f>S17/S12</f>
        <v>#DIV/0!</v>
      </c>
      <c r="U25" s="76"/>
      <c r="W25" s="76" t="e">
        <f>W17/W12</f>
        <v>#DIV/0!</v>
      </c>
      <c r="Y25" s="76" t="e">
        <f>Y17/Y12</f>
        <v>#DIV/0!</v>
      </c>
      <c r="Z25" s="77"/>
      <c r="AA25" s="8"/>
      <c r="AC25" s="75" t="e">
        <f>AC13/AC10</f>
        <v>#DIV/0!</v>
      </c>
      <c r="AE25" s="75" t="e">
        <f>AE13/AE10</f>
        <v>#DIV/0!</v>
      </c>
      <c r="AG25" s="78" t="e">
        <f>AG13/AG10</f>
        <v>#DIV/0!</v>
      </c>
      <c r="AI25" s="78" t="e">
        <f>AI13/AI10</f>
        <v>#DIV/0!</v>
      </c>
      <c r="AK25" s="78" t="e">
        <f>AK13/AK10</f>
        <v>#DIV/0!</v>
      </c>
      <c r="AM25" s="75" t="e">
        <f>AM13/AM10</f>
        <v>#DIV/0!</v>
      </c>
      <c r="AO25" s="75" t="e">
        <f>AO13/AO10</f>
        <v>#DIV/0!</v>
      </c>
      <c r="AQ25" s="75" t="e">
        <f>AQ13/AQ10</f>
        <v>#DIV/0!</v>
      </c>
      <c r="AS25" s="75" t="e">
        <f>AS13/AS10</f>
        <v>#DIV/0!</v>
      </c>
      <c r="AT25" s="60"/>
      <c r="AU25" s="75" t="e">
        <f>AU13/AU10</f>
        <v>#DIV/0!</v>
      </c>
      <c r="AW25" s="76" t="e">
        <f>AW17/AW12</f>
        <v>#DIV/0!</v>
      </c>
      <c r="AY25" s="70"/>
      <c r="AZ25" s="60"/>
    </row>
    <row r="26" spans="1:52" ht="15" customHeight="1" x14ac:dyDescent="0.25">
      <c r="A26" s="79" t="s">
        <v>285</v>
      </c>
      <c r="B26" s="5" t="s">
        <v>286</v>
      </c>
      <c r="C26" s="5"/>
      <c r="D26" s="80"/>
      <c r="E26" s="80"/>
      <c r="F26" s="65"/>
      <c r="G26" s="65"/>
      <c r="H26" s="81"/>
      <c r="I26" s="82"/>
      <c r="K26" s="82"/>
      <c r="L26" s="83"/>
      <c r="M26" s="82"/>
      <c r="O26" s="82"/>
      <c r="Q26" s="82"/>
      <c r="R26" s="83"/>
      <c r="S26" s="82"/>
      <c r="U26" s="82"/>
      <c r="W26" s="82"/>
      <c r="Y26" s="84"/>
      <c r="Z26" s="85"/>
      <c r="AA26" s="8"/>
      <c r="AC26" s="82"/>
      <c r="AE26" s="82"/>
      <c r="AG26" s="82"/>
      <c r="AI26" s="82"/>
      <c r="AK26" s="82"/>
      <c r="AM26" s="86"/>
      <c r="AO26" s="82"/>
      <c r="AQ26" s="82"/>
      <c r="AS26" s="82"/>
      <c r="AT26" s="85"/>
      <c r="AU26" s="82"/>
      <c r="AW26" s="82"/>
      <c r="AY26" s="87"/>
      <c r="AZ26" s="85"/>
    </row>
    <row r="27" spans="1:52" ht="15" customHeight="1" x14ac:dyDescent="0.25">
      <c r="A27" s="79"/>
      <c r="B27" s="5"/>
      <c r="C27" s="5"/>
      <c r="D27" s="80"/>
      <c r="E27" s="80"/>
      <c r="F27" s="65"/>
      <c r="G27" s="65"/>
      <c r="H27" s="66"/>
      <c r="I27" s="82"/>
      <c r="K27" s="82"/>
      <c r="L27" s="83"/>
      <c r="M27" s="82"/>
      <c r="O27" s="82"/>
      <c r="Q27" s="88"/>
      <c r="R27" s="83"/>
      <c r="S27" s="89" t="s">
        <v>287</v>
      </c>
      <c r="U27" s="88"/>
      <c r="W27" s="89" t="s">
        <v>287</v>
      </c>
      <c r="Y27" s="89" t="s">
        <v>287</v>
      </c>
      <c r="Z27" s="17"/>
      <c r="AA27" s="8"/>
      <c r="AC27" s="82"/>
      <c r="AE27" s="82"/>
      <c r="AG27" s="82"/>
      <c r="AI27" s="82"/>
      <c r="AK27" s="82"/>
      <c r="AM27" s="86"/>
      <c r="AO27" s="82"/>
      <c r="AQ27" s="82"/>
      <c r="AS27" s="82"/>
      <c r="AT27" s="85"/>
      <c r="AU27" s="90"/>
      <c r="AW27" s="82"/>
      <c r="AY27" s="87"/>
      <c r="AZ27" s="85"/>
    </row>
    <row r="28" spans="1:52" ht="15" customHeight="1" x14ac:dyDescent="0.25">
      <c r="A28" s="91">
        <v>1</v>
      </c>
      <c r="B28" s="4" t="s">
        <v>288</v>
      </c>
      <c r="C28" s="4"/>
      <c r="D28" s="92" t="s">
        <v>289</v>
      </c>
      <c r="E28" s="92"/>
      <c r="F28" s="65"/>
      <c r="G28" s="65"/>
      <c r="H28" s="66"/>
      <c r="I28" s="93" t="s">
        <v>290</v>
      </c>
      <c r="J28" s="17"/>
      <c r="K28" s="93" t="s">
        <v>290</v>
      </c>
      <c r="L28" s="94"/>
      <c r="M28" s="95" t="s">
        <v>291</v>
      </c>
      <c r="N28" s="17"/>
      <c r="O28" s="95" t="s">
        <v>291</v>
      </c>
      <c r="P28" s="17"/>
      <c r="Q28" s="89" t="s">
        <v>292</v>
      </c>
      <c r="R28" s="96"/>
      <c r="S28" s="97" t="s">
        <v>293</v>
      </c>
      <c r="T28" s="98"/>
      <c r="U28" s="99"/>
      <c r="V28" s="98"/>
      <c r="W28" s="100" t="s">
        <v>294</v>
      </c>
      <c r="X28" s="98"/>
      <c r="Y28" s="100" t="s">
        <v>294</v>
      </c>
      <c r="Z28" s="101"/>
      <c r="AA28" s="8"/>
      <c r="AB28" s="17"/>
      <c r="AC28" s="93" t="s">
        <v>295</v>
      </c>
      <c r="AD28" s="17"/>
      <c r="AE28" s="93" t="s">
        <v>295</v>
      </c>
      <c r="AF28" s="17"/>
      <c r="AG28" s="93" t="s">
        <v>295</v>
      </c>
      <c r="AH28" s="17"/>
      <c r="AI28" s="102" t="s">
        <v>296</v>
      </c>
      <c r="AJ28" s="17"/>
      <c r="AK28" s="102" t="s">
        <v>296</v>
      </c>
      <c r="AL28" s="17"/>
      <c r="AM28" s="97" t="s">
        <v>297</v>
      </c>
      <c r="AN28" s="17"/>
      <c r="AO28" s="93" t="s">
        <v>298</v>
      </c>
      <c r="AQ28" s="93" t="s">
        <v>298</v>
      </c>
      <c r="AS28" s="93" t="s">
        <v>299</v>
      </c>
      <c r="AT28" s="85"/>
      <c r="AU28" s="93" t="s">
        <v>300</v>
      </c>
      <c r="AW28" s="93" t="s">
        <v>301</v>
      </c>
      <c r="AY28" s="87"/>
      <c r="AZ28" s="85"/>
    </row>
    <row r="29" spans="1:52" ht="15" customHeight="1" x14ac:dyDescent="0.25">
      <c r="A29" s="91">
        <f>A24+1</f>
        <v>1</v>
      </c>
      <c r="B29" s="4" t="s">
        <v>302</v>
      </c>
      <c r="C29" s="46" t="s">
        <v>303</v>
      </c>
      <c r="D29" s="80">
        <f>E31+E45+E46+E53+E54+E55+E56+E57+E58+E60+E59+E62</f>
        <v>0</v>
      </c>
      <c r="E29" s="80"/>
      <c r="F29" s="66"/>
      <c r="G29" s="65"/>
      <c r="H29" s="66"/>
      <c r="I29" s="82"/>
      <c r="K29" s="82"/>
      <c r="L29" s="83"/>
      <c r="M29" s="103"/>
      <c r="O29" s="82"/>
      <c r="Q29" s="97" t="s">
        <v>304</v>
      </c>
      <c r="R29" s="83"/>
      <c r="S29" s="93" t="s">
        <v>305</v>
      </c>
      <c r="U29" s="84"/>
      <c r="W29" s="104" t="s">
        <v>305</v>
      </c>
      <c r="Y29" s="105" t="s">
        <v>305</v>
      </c>
      <c r="Z29" s="106"/>
      <c r="AA29" s="8"/>
      <c r="AC29" s="82"/>
      <c r="AE29" s="82"/>
      <c r="AG29" s="84"/>
      <c r="AI29" s="107"/>
      <c r="AK29" s="107"/>
      <c r="AM29" s="99"/>
      <c r="AO29" s="93" t="s">
        <v>306</v>
      </c>
      <c r="AQ29" s="93" t="s">
        <v>306</v>
      </c>
      <c r="AS29" s="93" t="s">
        <v>307</v>
      </c>
      <c r="AT29" s="85"/>
      <c r="AU29" s="90"/>
      <c r="AW29" s="84"/>
      <c r="AY29" s="87"/>
      <c r="AZ29" s="85"/>
    </row>
    <row r="30" spans="1:52" ht="15" customHeight="1" x14ac:dyDescent="0.25">
      <c r="A30" s="91"/>
      <c r="B30" s="4"/>
      <c r="C30" s="46" t="s">
        <v>308</v>
      </c>
      <c r="D30" s="80">
        <f>E47+E48+E51+E52+E63+E61</f>
        <v>0</v>
      </c>
      <c r="E30" s="80"/>
      <c r="F30" s="66"/>
      <c r="G30" s="65"/>
      <c r="H30" s="66"/>
      <c r="I30" s="82"/>
      <c r="K30" s="82"/>
      <c r="L30" s="83"/>
      <c r="M30" s="108"/>
      <c r="O30" s="82"/>
      <c r="Q30" s="82"/>
      <c r="R30" s="83"/>
      <c r="S30" s="82"/>
      <c r="U30" s="99"/>
      <c r="W30" s="82"/>
      <c r="Y30" s="109"/>
      <c r="Z30" s="110"/>
      <c r="AA30" s="8"/>
      <c r="AC30" s="82"/>
      <c r="AE30" s="82"/>
      <c r="AG30" s="90"/>
      <c r="AI30" s="84"/>
      <c r="AK30" s="84"/>
      <c r="AM30" s="99"/>
      <c r="AO30" s="82"/>
      <c r="AQ30" s="82"/>
      <c r="AS30" s="82"/>
      <c r="AT30" s="85"/>
      <c r="AU30" s="90"/>
      <c r="AW30" s="82"/>
      <c r="AY30" s="87"/>
      <c r="AZ30" s="85"/>
    </row>
    <row r="31" spans="1:52" ht="15" customHeight="1" x14ac:dyDescent="0.25">
      <c r="A31" s="91">
        <f>A25+1</f>
        <v>1</v>
      </c>
      <c r="B31" s="4" t="s">
        <v>309</v>
      </c>
      <c r="C31" s="46" t="s">
        <v>310</v>
      </c>
      <c r="D31" s="80">
        <f>I17+K17+M17+O17+AC17+AE17+AG17+AI17+AK17+AU17+AM17+AO17+AQ17</f>
        <v>0</v>
      </c>
      <c r="E31" s="80"/>
      <c r="F31" s="65"/>
      <c r="G31" s="66"/>
      <c r="H31" s="66"/>
      <c r="I31" s="82"/>
      <c r="K31" s="82"/>
      <c r="L31" s="83"/>
      <c r="M31" s="108"/>
      <c r="O31" s="82"/>
      <c r="Q31" s="82"/>
      <c r="R31" s="83"/>
      <c r="S31" s="82"/>
      <c r="U31" s="111"/>
      <c r="W31" s="82"/>
      <c r="Y31" s="112"/>
      <c r="Z31" s="110"/>
      <c r="AA31" s="8"/>
      <c r="AC31" s="82"/>
      <c r="AE31" s="82"/>
      <c r="AG31" s="82"/>
      <c r="AI31" s="82"/>
      <c r="AK31" s="82"/>
      <c r="AM31" s="82"/>
      <c r="AO31" s="82"/>
      <c r="AQ31" s="82"/>
      <c r="AS31" s="82"/>
      <c r="AT31" s="85"/>
      <c r="AU31" s="82"/>
      <c r="AW31" s="82"/>
      <c r="AY31" s="87"/>
      <c r="AZ31" s="85"/>
    </row>
    <row r="32" spans="1:52" ht="15" hidden="1" customHeight="1" x14ac:dyDescent="0.25">
      <c r="A32" s="91"/>
      <c r="B32" s="4"/>
      <c r="C32" s="46" t="s">
        <v>308</v>
      </c>
      <c r="D32" s="80">
        <f>Q17+S17+W17+Y17+AW17+AS17</f>
        <v>0</v>
      </c>
      <c r="E32" s="80"/>
      <c r="F32" s="65"/>
      <c r="G32" s="66"/>
      <c r="H32" s="66"/>
      <c r="I32" s="82"/>
      <c r="K32" s="82"/>
      <c r="L32" s="83"/>
      <c r="M32" s="108"/>
      <c r="O32" s="82"/>
      <c r="Q32" s="82"/>
      <c r="R32" s="83"/>
      <c r="S32" s="82"/>
      <c r="U32" s="111"/>
      <c r="W32" s="82"/>
      <c r="Y32" s="112"/>
      <c r="Z32" s="113"/>
      <c r="AA32" s="8"/>
      <c r="AC32" s="82"/>
      <c r="AE32" s="82"/>
      <c r="AG32" s="82"/>
      <c r="AI32" s="82"/>
      <c r="AK32" s="82"/>
      <c r="AM32" s="82"/>
      <c r="AO32" s="82"/>
      <c r="AQ32" s="82"/>
      <c r="AS32" s="82"/>
      <c r="AT32" s="85"/>
      <c r="AU32" s="82"/>
      <c r="AW32" s="82"/>
      <c r="AY32" s="87"/>
      <c r="AZ32" s="85"/>
    </row>
    <row r="33" spans="1:53" ht="15" hidden="1" customHeight="1" x14ac:dyDescent="0.25">
      <c r="A33" s="91">
        <f>A27+1</f>
        <v>1</v>
      </c>
      <c r="B33" s="4" t="s">
        <v>311</v>
      </c>
      <c r="C33" s="46" t="s">
        <v>312</v>
      </c>
      <c r="D33" s="114" t="str">
        <f ca="1">IFERROR((I73+K73+M73+O73+AC73+AE73+AG73+AI73+AU73)/D27,0)</f>
        <v/>
      </c>
      <c r="E33" s="92" t="s">
        <v>308</v>
      </c>
      <c r="F33" s="115" t="str">
        <f ca="1">IFERROR((Q73+S73+W73+Y73+AW73)/D28,0)</f>
        <v/>
      </c>
      <c r="G33" s="116"/>
      <c r="H33" s="66"/>
      <c r="I33" s="117" t="str">
        <f ca="1">IFERROR(I73/I17,0)</f>
        <v/>
      </c>
      <c r="J33" s="113"/>
      <c r="K33" s="117" t="str">
        <f ca="1">IFERROR(K73/K17,0)</f>
        <v/>
      </c>
      <c r="L33" s="118"/>
      <c r="M33" s="117" t="str">
        <f ca="1">IFERROR(M73/M17,0)</f>
        <v/>
      </c>
      <c r="N33" s="113"/>
      <c r="O33" s="117" t="str">
        <f ca="1">IFERROR(O73/O17,0)</f>
        <v/>
      </c>
      <c r="P33" s="113"/>
      <c r="Q33" s="117" t="str">
        <f ca="1">IFERROR(Q73/Q17,0)</f>
        <v/>
      </c>
      <c r="R33" s="118"/>
      <c r="S33" s="117" t="str">
        <f ca="1">IFERROR(S73/S17,0)</f>
        <v/>
      </c>
      <c r="T33" s="113"/>
      <c r="U33" s="119"/>
      <c r="V33" s="113"/>
      <c r="W33" s="117" t="str">
        <f ca="1">IFERROR(W73/W17,0)</f>
        <v/>
      </c>
      <c r="X33" s="113"/>
      <c r="Y33" s="117" t="str">
        <f ca="1">IFERROR(Y73/Y17,0)</f>
        <v/>
      </c>
      <c r="Z33" s="120"/>
      <c r="AA33" s="8"/>
      <c r="AB33" s="113"/>
      <c r="AC33" s="117" t="str">
        <f ca="1">IFERROR(AC73/AC17,0)</f>
        <v/>
      </c>
      <c r="AD33" s="121"/>
      <c r="AE33" s="117" t="str">
        <f ca="1">IFERROR(AE73/AE17,0)</f>
        <v/>
      </c>
      <c r="AF33" s="113"/>
      <c r="AG33" s="117" t="str">
        <f ca="1">IFERROR(AG73/AG17,0)</f>
        <v/>
      </c>
      <c r="AH33" s="113"/>
      <c r="AI33" s="117" t="str">
        <f ca="1">IFERROR(AI73/AI17,0)</f>
        <v/>
      </c>
      <c r="AJ33" s="113"/>
      <c r="AK33" s="117" t="str">
        <f ca="1">IFERROR(AK73/AK17,0)</f>
        <v/>
      </c>
      <c r="AL33" s="113"/>
      <c r="AM33" s="117" t="str">
        <f ca="1">IFERROR(AM73/AM17,0)</f>
        <v/>
      </c>
      <c r="AN33" s="113"/>
      <c r="AO33" s="117" t="str">
        <f ca="1">IFERROR(AO73/AO17,0)</f>
        <v/>
      </c>
      <c r="AP33" s="113"/>
      <c r="AQ33" s="117" t="str">
        <f ca="1">IFERROR(AQ73/AQ17,0)</f>
        <v/>
      </c>
      <c r="AR33" s="113"/>
      <c r="AS33" s="117" t="str">
        <f ca="1">IFERROR(AS73/AS17,0)</f>
        <v/>
      </c>
      <c r="AT33" s="113"/>
      <c r="AU33" s="117" t="str">
        <f ca="1">IFERROR(AU73/AU17,0)</f>
        <v/>
      </c>
      <c r="AV33" s="113"/>
      <c r="AW33" s="117" t="str">
        <f ca="1">IFERROR(AW73/AW17,0)</f>
        <v/>
      </c>
      <c r="AX33" s="113"/>
      <c r="AY33" s="82"/>
      <c r="AZ33" s="85"/>
    </row>
    <row r="34" spans="1:53" ht="15" hidden="1" customHeight="1" x14ac:dyDescent="0.25">
      <c r="A34" s="91"/>
      <c r="B34" s="4"/>
      <c r="C34" s="4"/>
      <c r="D34" s="122" t="s">
        <v>313</v>
      </c>
      <c r="E34" s="122" t="s">
        <v>314</v>
      </c>
      <c r="F34" s="122" t="s">
        <v>315</v>
      </c>
      <c r="G34" s="122" t="s">
        <v>316</v>
      </c>
      <c r="H34" s="66"/>
      <c r="I34" s="82"/>
      <c r="K34" s="82"/>
      <c r="L34" s="83"/>
      <c r="M34" s="108"/>
      <c r="O34" s="82"/>
      <c r="Q34" s="82"/>
      <c r="R34" s="83"/>
      <c r="S34" s="82"/>
      <c r="U34" s="82"/>
      <c r="W34" s="82"/>
      <c r="Y34" s="108"/>
      <c r="Z34" s="113"/>
      <c r="AA34" s="8"/>
      <c r="AC34" s="123"/>
      <c r="AD34" s="124"/>
      <c r="AE34" s="123"/>
      <c r="AG34" s="117"/>
      <c r="AI34" s="117"/>
      <c r="AK34" s="117"/>
      <c r="AM34" s="125"/>
      <c r="AO34" s="126"/>
      <c r="AQ34" s="126"/>
      <c r="AS34" s="126"/>
      <c r="AT34" s="85"/>
      <c r="AU34" s="117"/>
      <c r="AW34" s="82"/>
      <c r="AY34" s="87"/>
      <c r="AZ34" s="85"/>
    </row>
    <row r="35" spans="1:53" ht="15" hidden="1" customHeight="1" x14ac:dyDescent="0.25">
      <c r="A35" s="91"/>
      <c r="B35" s="4"/>
      <c r="C35" s="5" t="s">
        <v>317</v>
      </c>
      <c r="D35" s="127">
        <v>1500</v>
      </c>
      <c r="E35" s="128">
        <v>0</v>
      </c>
      <c r="F35" s="129">
        <v>0</v>
      </c>
      <c r="G35" s="130">
        <f>F31*D31</f>
        <v>0</v>
      </c>
      <c r="H35" s="66"/>
      <c r="I35" s="131">
        <f>G31*E31/2</f>
        <v>0</v>
      </c>
      <c r="J35" s="132"/>
      <c r="K35" s="131">
        <f>G44*E44/2</f>
        <v>0</v>
      </c>
      <c r="L35" s="133"/>
      <c r="M35" s="131"/>
      <c r="N35" s="132"/>
      <c r="O35" s="131"/>
      <c r="P35" s="132"/>
      <c r="Q35" s="131"/>
      <c r="R35" s="133"/>
      <c r="S35" s="131"/>
      <c r="T35" s="132"/>
      <c r="U35" s="131"/>
      <c r="V35" s="132"/>
      <c r="W35" s="131"/>
      <c r="X35" s="132"/>
      <c r="Y35" s="131"/>
      <c r="Z35" s="132"/>
      <c r="AA35" s="8"/>
      <c r="AB35" s="132"/>
      <c r="AC35" s="131"/>
      <c r="AD35" s="132"/>
      <c r="AE35" s="131"/>
      <c r="AF35" s="132"/>
      <c r="AG35" s="131"/>
      <c r="AH35" s="132"/>
      <c r="AI35" s="131"/>
      <c r="AJ35" s="132"/>
      <c r="AK35" s="131"/>
      <c r="AL35" s="132"/>
      <c r="AM35" s="134"/>
      <c r="AN35" s="132"/>
      <c r="AO35" s="131"/>
      <c r="AP35" s="132"/>
      <c r="AQ35" s="131"/>
      <c r="AR35" s="132"/>
      <c r="AS35" s="131"/>
      <c r="AT35" s="85"/>
      <c r="AU35" s="134"/>
      <c r="AV35" s="132"/>
      <c r="AW35" s="131"/>
      <c r="AX35" s="132"/>
      <c r="AY35" s="135">
        <f t="shared" ref="AY35:AY64" si="0">SUM(I31:AW31)</f>
        <v>0</v>
      </c>
      <c r="AZ35" s="85"/>
    </row>
    <row r="36" spans="1:53" ht="15" hidden="1" customHeight="1" x14ac:dyDescent="0.25">
      <c r="A36" s="136"/>
      <c r="B36" s="4"/>
      <c r="C36" s="137" t="s">
        <v>318</v>
      </c>
      <c r="D36" s="127">
        <v>2586</v>
      </c>
      <c r="E36" s="129"/>
      <c r="F36" s="129">
        <v>290.20909999999998</v>
      </c>
      <c r="G36" s="130">
        <v>320.96600000000001</v>
      </c>
      <c r="H36" s="138"/>
      <c r="I36" s="131"/>
      <c r="J36" s="132"/>
      <c r="K36" s="139"/>
      <c r="L36" s="140"/>
      <c r="M36" s="131"/>
      <c r="N36" s="141"/>
      <c r="O36" s="131"/>
      <c r="P36" s="132"/>
      <c r="Q36" s="131"/>
      <c r="R36" s="133"/>
      <c r="S36" s="131"/>
      <c r="T36" s="132"/>
      <c r="U36" s="131"/>
      <c r="V36" s="132"/>
      <c r="W36" s="131"/>
      <c r="X36" s="132"/>
      <c r="Y36" s="131"/>
      <c r="Z36" s="132"/>
      <c r="AA36" s="8"/>
      <c r="AB36" s="132"/>
      <c r="AC36" s="131"/>
      <c r="AD36" s="132"/>
      <c r="AE36" s="131"/>
      <c r="AF36" s="132"/>
      <c r="AG36" s="131"/>
      <c r="AH36" s="132"/>
      <c r="AI36" s="131"/>
      <c r="AJ36" s="132"/>
      <c r="AK36" s="131"/>
      <c r="AL36" s="132"/>
      <c r="AM36" s="131"/>
      <c r="AN36" s="132"/>
      <c r="AO36" s="131"/>
      <c r="AP36" s="132"/>
      <c r="AQ36" s="131"/>
      <c r="AR36" s="132"/>
      <c r="AS36" s="131"/>
      <c r="AT36" s="113"/>
      <c r="AU36" s="131"/>
      <c r="AV36" s="132"/>
      <c r="AW36" s="131"/>
      <c r="AX36" s="132"/>
      <c r="AY36" s="135">
        <f t="shared" si="0"/>
        <v>0</v>
      </c>
      <c r="AZ36" s="142"/>
      <c r="BA36" s="113"/>
    </row>
    <row r="37" spans="1:53" ht="15" hidden="1" customHeight="1" x14ac:dyDescent="0.25">
      <c r="A37" s="136"/>
      <c r="B37" s="4"/>
      <c r="C37" s="137" t="s">
        <v>319</v>
      </c>
      <c r="D37" s="127">
        <v>2605</v>
      </c>
      <c r="E37" s="129"/>
      <c r="F37" s="129">
        <v>322.39999999999998</v>
      </c>
      <c r="G37" s="130">
        <v>359.49900000000002</v>
      </c>
      <c r="H37" s="143"/>
      <c r="I37" s="131"/>
      <c r="J37" s="132"/>
      <c r="K37" s="139"/>
      <c r="L37" s="140"/>
      <c r="M37" s="131"/>
      <c r="N37" s="141"/>
      <c r="O37" s="131"/>
      <c r="P37" s="132"/>
      <c r="Q37" s="131"/>
      <c r="R37" s="133"/>
      <c r="S37" s="131"/>
      <c r="T37" s="132"/>
      <c r="U37" s="131"/>
      <c r="V37" s="132"/>
      <c r="W37" s="131"/>
      <c r="X37" s="132"/>
      <c r="Y37" s="131"/>
      <c r="Z37" s="132"/>
      <c r="AA37" s="8"/>
      <c r="AB37" s="132"/>
      <c r="AC37" s="131"/>
      <c r="AD37" s="132"/>
      <c r="AE37" s="131"/>
      <c r="AF37" s="132"/>
      <c r="AG37" s="131"/>
      <c r="AH37" s="132"/>
      <c r="AI37" s="131"/>
      <c r="AJ37" s="132"/>
      <c r="AK37" s="131"/>
      <c r="AL37" s="132"/>
      <c r="AM37" s="131"/>
      <c r="AN37" s="132"/>
      <c r="AO37" s="131"/>
      <c r="AP37" s="132"/>
      <c r="AQ37" s="131"/>
      <c r="AR37" s="132"/>
      <c r="AS37" s="131"/>
      <c r="AT37" s="113"/>
      <c r="AU37" s="131"/>
      <c r="AV37" s="132"/>
      <c r="AW37" s="131"/>
      <c r="AX37" s="132"/>
      <c r="AY37" s="135" t="str">
        <f t="shared" ca="1" si="0"/>
        <v/>
      </c>
      <c r="AZ37" s="142"/>
      <c r="BA37" s="113"/>
    </row>
    <row r="38" spans="1:53" ht="15" hidden="1" customHeight="1" x14ac:dyDescent="0.25">
      <c r="A38" s="136"/>
      <c r="B38" s="4"/>
      <c r="C38" s="137" t="s">
        <v>320</v>
      </c>
      <c r="D38" s="127">
        <v>2864</v>
      </c>
      <c r="E38" s="129"/>
      <c r="F38" s="129">
        <v>285.67</v>
      </c>
      <c r="G38" s="130">
        <v>314.38400000000001</v>
      </c>
      <c r="H38" s="143"/>
      <c r="I38" s="131"/>
      <c r="J38" s="132"/>
      <c r="K38" s="139"/>
      <c r="L38" s="140"/>
      <c r="M38" s="131"/>
      <c r="N38" s="141"/>
      <c r="O38" s="131"/>
      <c r="P38" s="132"/>
      <c r="Q38" s="131"/>
      <c r="R38" s="133"/>
      <c r="S38" s="131"/>
      <c r="T38" s="132"/>
      <c r="U38" s="131"/>
      <c r="V38" s="132"/>
      <c r="W38" s="131"/>
      <c r="X38" s="132"/>
      <c r="Y38" s="131"/>
      <c r="Z38" s="132"/>
      <c r="AA38" s="8"/>
      <c r="AB38" s="132"/>
      <c r="AC38" s="131"/>
      <c r="AD38" s="132"/>
      <c r="AE38" s="131"/>
      <c r="AF38" s="132"/>
      <c r="AG38" s="131"/>
      <c r="AH38" s="132"/>
      <c r="AI38" s="131"/>
      <c r="AJ38" s="132"/>
      <c r="AK38" s="131"/>
      <c r="AL38" s="132"/>
      <c r="AM38" s="131"/>
      <c r="AN38" s="132"/>
      <c r="AO38" s="131"/>
      <c r="AP38" s="132"/>
      <c r="AQ38" s="131"/>
      <c r="AR38" s="132"/>
      <c r="AS38" s="131"/>
      <c r="AT38" s="113"/>
      <c r="AU38" s="131"/>
      <c r="AV38" s="132"/>
      <c r="AW38" s="131"/>
      <c r="AX38" s="132"/>
      <c r="AY38" s="135">
        <f t="shared" si="0"/>
        <v>0</v>
      </c>
      <c r="AZ38" s="142"/>
      <c r="BA38" s="113"/>
    </row>
    <row r="39" spans="1:53" ht="15" hidden="1" customHeight="1" x14ac:dyDescent="0.25">
      <c r="A39" s="136"/>
      <c r="B39" s="4"/>
      <c r="C39" s="137" t="s">
        <v>321</v>
      </c>
      <c r="D39" s="127">
        <v>3150</v>
      </c>
      <c r="E39" s="129"/>
      <c r="F39" s="129">
        <v>310.32</v>
      </c>
      <c r="G39" s="130">
        <v>335.33</v>
      </c>
      <c r="H39" s="143"/>
      <c r="I39" s="131"/>
      <c r="J39" s="132"/>
      <c r="K39" s="139"/>
      <c r="L39" s="140"/>
      <c r="M39" s="131"/>
      <c r="N39" s="141"/>
      <c r="O39" s="131"/>
      <c r="P39" s="132"/>
      <c r="Q39" s="131"/>
      <c r="R39" s="133"/>
      <c r="S39" s="131"/>
      <c r="T39" s="132"/>
      <c r="U39" s="131"/>
      <c r="V39" s="132"/>
      <c r="W39" s="131"/>
      <c r="X39" s="132"/>
      <c r="Y39" s="131"/>
      <c r="Z39" s="132"/>
      <c r="AA39" s="8"/>
      <c r="AB39" s="132"/>
      <c r="AC39" s="131"/>
      <c r="AD39" s="132"/>
      <c r="AE39" s="131"/>
      <c r="AF39" s="132"/>
      <c r="AG39" s="131"/>
      <c r="AH39" s="132"/>
      <c r="AI39" s="131"/>
      <c r="AJ39" s="132"/>
      <c r="AK39" s="131"/>
      <c r="AL39" s="132"/>
      <c r="AM39" s="131"/>
      <c r="AN39" s="132"/>
      <c r="AO39" s="131"/>
      <c r="AP39" s="132"/>
      <c r="AQ39" s="131"/>
      <c r="AR39" s="132"/>
      <c r="AS39" s="131"/>
      <c r="AT39" s="113"/>
      <c r="AU39" s="131"/>
      <c r="AV39" s="132"/>
      <c r="AW39" s="131"/>
      <c r="AX39" s="132"/>
      <c r="AY39" s="135">
        <f t="shared" si="0"/>
        <v>0</v>
      </c>
      <c r="AZ39" s="142"/>
      <c r="BA39" s="113"/>
    </row>
    <row r="40" spans="1:53" ht="15" hidden="1" customHeight="1" x14ac:dyDescent="0.25">
      <c r="A40" s="136"/>
      <c r="B40" s="4"/>
      <c r="C40" s="137" t="s">
        <v>322</v>
      </c>
      <c r="D40" s="127">
        <v>3527</v>
      </c>
      <c r="E40" s="129"/>
      <c r="F40" s="129">
        <v>263.39</v>
      </c>
      <c r="G40" s="130">
        <v>305.17700000000002</v>
      </c>
      <c r="H40" s="143"/>
      <c r="I40" s="131"/>
      <c r="J40" s="132"/>
      <c r="K40" s="139"/>
      <c r="L40" s="140"/>
      <c r="M40" s="131"/>
      <c r="N40" s="141"/>
      <c r="O40" s="131"/>
      <c r="P40" s="132"/>
      <c r="Q40" s="131"/>
      <c r="R40" s="133"/>
      <c r="S40" s="131"/>
      <c r="T40" s="132"/>
      <c r="U40" s="131"/>
      <c r="V40" s="132"/>
      <c r="W40" s="131"/>
      <c r="X40" s="132"/>
      <c r="Y40" s="131"/>
      <c r="Z40" s="132"/>
      <c r="AA40" s="8"/>
      <c r="AB40" s="132"/>
      <c r="AC40" s="131"/>
      <c r="AD40" s="132"/>
      <c r="AE40" s="131"/>
      <c r="AF40" s="132"/>
      <c r="AG40" s="131"/>
      <c r="AH40" s="132"/>
      <c r="AI40" s="131"/>
      <c r="AJ40" s="132"/>
      <c r="AK40" s="131"/>
      <c r="AL40" s="132"/>
      <c r="AM40" s="131"/>
      <c r="AN40" s="132"/>
      <c r="AO40" s="131"/>
      <c r="AP40" s="132"/>
      <c r="AQ40" s="131"/>
      <c r="AR40" s="132"/>
      <c r="AS40" s="131"/>
      <c r="AT40" s="113"/>
      <c r="AU40" s="131"/>
      <c r="AV40" s="132"/>
      <c r="AW40" s="131"/>
      <c r="AX40" s="132"/>
      <c r="AY40" s="135">
        <f t="shared" si="0"/>
        <v>0</v>
      </c>
      <c r="AZ40" s="142"/>
      <c r="BA40" s="113"/>
    </row>
    <row r="41" spans="1:53" ht="15" hidden="1" customHeight="1" x14ac:dyDescent="0.25">
      <c r="A41" s="136"/>
      <c r="B41" s="4"/>
      <c r="C41" s="137" t="s">
        <v>323</v>
      </c>
      <c r="D41" s="127">
        <v>3510</v>
      </c>
      <c r="E41" s="129"/>
      <c r="F41" s="129">
        <v>287.12</v>
      </c>
      <c r="G41" s="130">
        <v>331.815</v>
      </c>
      <c r="H41" s="143"/>
      <c r="I41" s="131"/>
      <c r="J41" s="132"/>
      <c r="K41" s="139"/>
      <c r="L41" s="140"/>
      <c r="M41" s="131"/>
      <c r="N41" s="141"/>
      <c r="O41" s="131"/>
      <c r="P41" s="132"/>
      <c r="Q41" s="131"/>
      <c r="R41" s="133"/>
      <c r="S41" s="131"/>
      <c r="T41" s="132"/>
      <c r="U41" s="131"/>
      <c r="V41" s="132"/>
      <c r="W41" s="131"/>
      <c r="X41" s="132"/>
      <c r="Y41" s="131"/>
      <c r="Z41" s="132"/>
      <c r="AA41" s="8"/>
      <c r="AB41" s="132"/>
      <c r="AC41" s="131"/>
      <c r="AD41" s="132"/>
      <c r="AE41" s="131"/>
      <c r="AF41" s="132"/>
      <c r="AG41" s="131"/>
      <c r="AH41" s="132"/>
      <c r="AI41" s="131"/>
      <c r="AJ41" s="132"/>
      <c r="AK41" s="131"/>
      <c r="AL41" s="132"/>
      <c r="AM41" s="131"/>
      <c r="AN41" s="132"/>
      <c r="AO41" s="131"/>
      <c r="AP41" s="132"/>
      <c r="AQ41" s="131"/>
      <c r="AR41" s="132"/>
      <c r="AS41" s="131"/>
      <c r="AT41" s="113"/>
      <c r="AU41" s="131"/>
      <c r="AV41" s="132"/>
      <c r="AW41" s="131"/>
      <c r="AX41" s="132"/>
      <c r="AY41" s="135">
        <f t="shared" si="0"/>
        <v>0</v>
      </c>
      <c r="AZ41" s="142"/>
      <c r="BA41" s="113"/>
    </row>
    <row r="42" spans="1:53" ht="15" hidden="1" customHeight="1" x14ac:dyDescent="0.25">
      <c r="A42" s="136"/>
      <c r="B42" s="4"/>
      <c r="C42" s="137" t="s">
        <v>324</v>
      </c>
      <c r="D42" s="127">
        <v>2586</v>
      </c>
      <c r="E42" s="129"/>
      <c r="F42" s="129">
        <v>289.29000000000002</v>
      </c>
      <c r="G42" s="130">
        <v>320.96600000000001</v>
      </c>
      <c r="H42" s="143"/>
      <c r="I42" s="131"/>
      <c r="J42" s="132"/>
      <c r="K42" s="139"/>
      <c r="L42" s="140"/>
      <c r="M42" s="131"/>
      <c r="N42" s="141"/>
      <c r="O42" s="131"/>
      <c r="P42" s="132"/>
      <c r="Q42" s="131"/>
      <c r="R42" s="133"/>
      <c r="S42" s="131"/>
      <c r="T42" s="132"/>
      <c r="U42" s="131"/>
      <c r="V42" s="132"/>
      <c r="W42" s="131"/>
      <c r="X42" s="132"/>
      <c r="Y42" s="131"/>
      <c r="Z42" s="132"/>
      <c r="AA42" s="8"/>
      <c r="AB42" s="132"/>
      <c r="AC42" s="131"/>
      <c r="AD42" s="132"/>
      <c r="AE42" s="131"/>
      <c r="AF42" s="132"/>
      <c r="AG42" s="131"/>
      <c r="AH42" s="132"/>
      <c r="AI42" s="131"/>
      <c r="AJ42" s="132"/>
      <c r="AK42" s="131"/>
      <c r="AL42" s="132"/>
      <c r="AM42" s="131"/>
      <c r="AN42" s="132"/>
      <c r="AO42" s="131"/>
      <c r="AP42" s="132"/>
      <c r="AQ42" s="131"/>
      <c r="AR42" s="132"/>
      <c r="AS42" s="131"/>
      <c r="AT42" s="113"/>
      <c r="AU42" s="131"/>
      <c r="AV42" s="132"/>
      <c r="AW42" s="131"/>
      <c r="AX42" s="132"/>
      <c r="AY42" s="135">
        <f t="shared" si="0"/>
        <v>0</v>
      </c>
      <c r="AZ42" s="142"/>
      <c r="BA42" s="113"/>
    </row>
    <row r="43" spans="1:53" ht="15" hidden="1" customHeight="1" x14ac:dyDescent="0.25">
      <c r="A43" s="136"/>
      <c r="B43" s="4"/>
      <c r="C43" s="137" t="s">
        <v>325</v>
      </c>
      <c r="D43" s="127">
        <v>2605</v>
      </c>
      <c r="E43" s="129"/>
      <c r="F43" s="129">
        <v>323.29000000000002</v>
      </c>
      <c r="G43" s="130">
        <v>356.03100000000001</v>
      </c>
      <c r="H43" s="143"/>
      <c r="I43" s="131"/>
      <c r="J43" s="132"/>
      <c r="K43" s="139"/>
      <c r="L43" s="140"/>
      <c r="M43" s="131"/>
      <c r="N43" s="141"/>
      <c r="O43" s="131"/>
      <c r="P43" s="132"/>
      <c r="Q43" s="131"/>
      <c r="R43" s="133"/>
      <c r="S43" s="131"/>
      <c r="T43" s="132"/>
      <c r="U43" s="131"/>
      <c r="V43" s="132"/>
      <c r="W43" s="131"/>
      <c r="X43" s="132"/>
      <c r="Y43" s="131"/>
      <c r="Z43" s="132"/>
      <c r="AA43" s="8"/>
      <c r="AB43" s="132"/>
      <c r="AC43" s="131"/>
      <c r="AD43" s="132"/>
      <c r="AE43" s="131"/>
      <c r="AF43" s="132"/>
      <c r="AG43" s="131"/>
      <c r="AH43" s="132"/>
      <c r="AI43" s="131"/>
      <c r="AJ43" s="132"/>
      <c r="AK43" s="131"/>
      <c r="AL43" s="132"/>
      <c r="AM43" s="131"/>
      <c r="AN43" s="132"/>
      <c r="AO43" s="131"/>
      <c r="AP43" s="132"/>
      <c r="AQ43" s="131"/>
      <c r="AR43" s="132"/>
      <c r="AS43" s="131"/>
      <c r="AT43" s="113"/>
      <c r="AU43" s="131"/>
      <c r="AV43" s="132"/>
      <c r="AW43" s="131"/>
      <c r="AX43" s="132"/>
      <c r="AY43" s="135">
        <f t="shared" si="0"/>
        <v>0</v>
      </c>
      <c r="AZ43" s="142"/>
      <c r="BA43" s="113"/>
    </row>
    <row r="44" spans="1:53" ht="15" customHeight="1" x14ac:dyDescent="0.25">
      <c r="A44" s="136"/>
      <c r="B44" s="4"/>
      <c r="C44" s="137" t="s">
        <v>326</v>
      </c>
      <c r="D44" s="127">
        <v>2864</v>
      </c>
      <c r="E44" s="129"/>
      <c r="F44" s="129">
        <v>287.16000000000003</v>
      </c>
      <c r="G44" s="130">
        <v>314.38400000000001</v>
      </c>
      <c r="H44" s="143"/>
      <c r="I44" s="131"/>
      <c r="J44" s="132"/>
      <c r="K44" s="139"/>
      <c r="L44" s="140"/>
      <c r="M44" s="131"/>
      <c r="N44" s="141"/>
      <c r="O44" s="131"/>
      <c r="P44" s="132"/>
      <c r="Q44" s="131"/>
      <c r="R44" s="133"/>
      <c r="S44" s="131"/>
      <c r="T44" s="132"/>
      <c r="U44" s="131"/>
      <c r="V44" s="132"/>
      <c r="W44" s="131"/>
      <c r="X44" s="132"/>
      <c r="Y44" s="131"/>
      <c r="Z44" s="132"/>
      <c r="AA44" s="8"/>
      <c r="AB44" s="132"/>
      <c r="AC44" s="131"/>
      <c r="AD44" s="132"/>
      <c r="AE44" s="131"/>
      <c r="AF44" s="132"/>
      <c r="AG44" s="131"/>
      <c r="AH44" s="132"/>
      <c r="AI44" s="131"/>
      <c r="AJ44" s="132"/>
      <c r="AK44" s="131"/>
      <c r="AL44" s="132"/>
      <c r="AM44" s="131"/>
      <c r="AN44" s="132"/>
      <c r="AO44" s="131"/>
      <c r="AP44" s="132"/>
      <c r="AQ44" s="131"/>
      <c r="AR44" s="132"/>
      <c r="AS44" s="131"/>
      <c r="AT44" s="113"/>
      <c r="AU44" s="131"/>
      <c r="AV44" s="132"/>
      <c r="AW44" s="131"/>
      <c r="AX44" s="132"/>
      <c r="AY44" s="135">
        <f t="shared" si="0"/>
        <v>0</v>
      </c>
      <c r="AZ44" s="142"/>
      <c r="BA44" s="113"/>
    </row>
    <row r="45" spans="1:53" ht="15" customHeight="1" x14ac:dyDescent="0.25">
      <c r="A45" s="136"/>
      <c r="B45" s="4"/>
      <c r="C45" s="137" t="s">
        <v>327</v>
      </c>
      <c r="D45" s="127">
        <v>3150</v>
      </c>
      <c r="E45" s="129"/>
      <c r="F45" s="129">
        <v>309.69</v>
      </c>
      <c r="G45" s="130">
        <v>340.22550000000001</v>
      </c>
      <c r="H45" s="143"/>
      <c r="I45" s="131"/>
      <c r="J45" s="132"/>
      <c r="K45" s="139"/>
      <c r="L45" s="140"/>
      <c r="M45" s="131"/>
      <c r="N45" s="141"/>
      <c r="O45" s="131"/>
      <c r="P45" s="132"/>
      <c r="Q45" s="131"/>
      <c r="R45" s="133"/>
      <c r="S45" s="131"/>
      <c r="T45" s="132"/>
      <c r="U45" s="131"/>
      <c r="V45" s="132"/>
      <c r="W45" s="131"/>
      <c r="X45" s="132"/>
      <c r="Y45" s="131"/>
      <c r="Z45" s="132"/>
      <c r="AA45" s="8"/>
      <c r="AB45" s="132"/>
      <c r="AC45" s="131"/>
      <c r="AD45" s="132"/>
      <c r="AE45" s="131"/>
      <c r="AF45" s="132"/>
      <c r="AG45" s="131"/>
      <c r="AH45" s="132"/>
      <c r="AI45" s="131"/>
      <c r="AJ45" s="132"/>
      <c r="AK45" s="131"/>
      <c r="AL45" s="132"/>
      <c r="AM45" s="131"/>
      <c r="AN45" s="132"/>
      <c r="AO45" s="131"/>
      <c r="AP45" s="132"/>
      <c r="AQ45" s="131"/>
      <c r="AR45" s="132"/>
      <c r="AS45" s="131"/>
      <c r="AT45" s="113"/>
      <c r="AU45" s="131"/>
      <c r="AV45" s="132"/>
      <c r="AW45" s="131"/>
      <c r="AX45" s="132"/>
      <c r="AY45" s="135">
        <f t="shared" si="0"/>
        <v>0</v>
      </c>
      <c r="AZ45" s="142"/>
      <c r="BA45" s="113"/>
    </row>
    <row r="46" spans="1:53" ht="15" customHeight="1" x14ac:dyDescent="0.25">
      <c r="A46" s="136"/>
      <c r="B46" s="4"/>
      <c r="C46" s="137" t="s">
        <v>328</v>
      </c>
      <c r="D46" s="127">
        <v>3526</v>
      </c>
      <c r="E46" s="129"/>
      <c r="F46" s="129">
        <v>270</v>
      </c>
      <c r="G46" s="130">
        <v>305.17099999999999</v>
      </c>
      <c r="H46" s="143"/>
      <c r="I46" s="131"/>
      <c r="J46" s="132"/>
      <c r="K46" s="139"/>
      <c r="L46" s="140"/>
      <c r="M46" s="131"/>
      <c r="N46" s="141"/>
      <c r="O46" s="131"/>
      <c r="P46" s="132"/>
      <c r="Q46" s="131"/>
      <c r="R46" s="133"/>
      <c r="S46" s="131"/>
      <c r="T46" s="132"/>
      <c r="U46" s="131"/>
      <c r="V46" s="132"/>
      <c r="W46" s="131"/>
      <c r="X46" s="132"/>
      <c r="Y46" s="131"/>
      <c r="Z46" s="132"/>
      <c r="AA46" s="8"/>
      <c r="AB46" s="132"/>
      <c r="AC46" s="131"/>
      <c r="AD46" s="132"/>
      <c r="AE46" s="131"/>
      <c r="AF46" s="132"/>
      <c r="AG46" s="131"/>
      <c r="AH46" s="132"/>
      <c r="AI46" s="131"/>
      <c r="AJ46" s="132"/>
      <c r="AK46" s="131"/>
      <c r="AL46" s="132"/>
      <c r="AM46" s="131"/>
      <c r="AN46" s="132"/>
      <c r="AO46" s="131"/>
      <c r="AP46" s="132"/>
      <c r="AQ46" s="131"/>
      <c r="AR46" s="132"/>
      <c r="AS46" s="131"/>
      <c r="AT46" s="113"/>
      <c r="AU46" s="131"/>
      <c r="AV46" s="132"/>
      <c r="AW46" s="131"/>
      <c r="AX46" s="132"/>
      <c r="AY46" s="135">
        <f t="shared" si="0"/>
        <v>0</v>
      </c>
      <c r="AZ46" s="142"/>
      <c r="BA46" s="113"/>
    </row>
    <row r="47" spans="1:53" ht="15" customHeight="1" x14ac:dyDescent="0.25">
      <c r="A47" s="136"/>
      <c r="B47" s="4"/>
      <c r="C47" s="137" t="s">
        <v>329</v>
      </c>
      <c r="D47" s="127">
        <v>3510</v>
      </c>
      <c r="E47" s="129"/>
      <c r="F47" s="129">
        <v>298.67</v>
      </c>
      <c r="G47" s="130">
        <v>370.39600000000002</v>
      </c>
      <c r="H47" s="143"/>
      <c r="I47" s="131"/>
      <c r="J47" s="132"/>
      <c r="K47" s="139"/>
      <c r="L47" s="140"/>
      <c r="M47" s="131"/>
      <c r="N47" s="141"/>
      <c r="O47" s="131"/>
      <c r="P47" s="132"/>
      <c r="Q47" s="131"/>
      <c r="R47" s="133"/>
      <c r="S47" s="131"/>
      <c r="T47" s="132"/>
      <c r="U47" s="131"/>
      <c r="V47" s="132"/>
      <c r="W47" s="131"/>
      <c r="X47" s="132"/>
      <c r="Y47" s="131"/>
      <c r="Z47" s="132"/>
      <c r="AA47" s="8"/>
      <c r="AB47" s="132"/>
      <c r="AC47" s="131"/>
      <c r="AD47" s="132"/>
      <c r="AE47" s="131"/>
      <c r="AF47" s="132"/>
      <c r="AG47" s="131"/>
      <c r="AH47" s="132"/>
      <c r="AI47" s="131"/>
      <c r="AJ47" s="132"/>
      <c r="AK47" s="131"/>
      <c r="AL47" s="132"/>
      <c r="AM47" s="131"/>
      <c r="AN47" s="132"/>
      <c r="AO47" s="131"/>
      <c r="AP47" s="132"/>
      <c r="AQ47" s="131"/>
      <c r="AR47" s="132"/>
      <c r="AS47" s="131"/>
      <c r="AT47" s="113"/>
      <c r="AU47" s="131"/>
      <c r="AV47" s="132"/>
      <c r="AW47" s="131"/>
      <c r="AX47" s="132"/>
      <c r="AY47" s="135">
        <f t="shared" si="0"/>
        <v>0</v>
      </c>
      <c r="AZ47" s="142"/>
      <c r="BA47" s="113"/>
    </row>
    <row r="48" spans="1:53" ht="15" customHeight="1" x14ac:dyDescent="0.25">
      <c r="A48" s="4"/>
      <c r="B48" s="4"/>
      <c r="C48" s="5" t="s">
        <v>330</v>
      </c>
      <c r="D48" s="127">
        <v>0</v>
      </c>
      <c r="E48" s="128">
        <v>0</v>
      </c>
      <c r="F48" s="129">
        <v>0</v>
      </c>
      <c r="G48" s="130">
        <f t="shared" ref="G48:G67" si="1">F44*D44</f>
        <v>822426.24000000011</v>
      </c>
      <c r="H48" s="143"/>
      <c r="I48" s="131"/>
      <c r="J48" s="132"/>
      <c r="K48" s="139"/>
      <c r="L48" s="140"/>
      <c r="M48" s="131"/>
      <c r="N48" s="141"/>
      <c r="O48" s="131"/>
      <c r="P48" s="132"/>
      <c r="Q48" s="131"/>
      <c r="R48" s="133"/>
      <c r="S48" s="131"/>
      <c r="T48" s="132"/>
      <c r="U48" s="131"/>
      <c r="V48" s="132"/>
      <c r="W48" s="131"/>
      <c r="X48" s="132"/>
      <c r="Y48" s="131"/>
      <c r="Z48" s="132"/>
      <c r="AA48" s="8"/>
      <c r="AB48" s="132"/>
      <c r="AC48" s="131"/>
      <c r="AD48" s="132"/>
      <c r="AE48" s="131"/>
      <c r="AF48" s="132"/>
      <c r="AG48" s="131"/>
      <c r="AH48" s="132"/>
      <c r="AI48" s="131"/>
      <c r="AJ48" s="132"/>
      <c r="AK48" s="131"/>
      <c r="AL48" s="132"/>
      <c r="AM48" s="131"/>
      <c r="AN48" s="132"/>
      <c r="AO48" s="131"/>
      <c r="AP48" s="132"/>
      <c r="AQ48" s="131"/>
      <c r="AR48" s="132"/>
      <c r="AS48" s="131"/>
      <c r="AT48" s="113"/>
      <c r="AU48" s="131"/>
      <c r="AV48" s="132"/>
      <c r="AW48" s="131"/>
      <c r="AX48" s="132"/>
      <c r="AY48" s="135">
        <f t="shared" si="0"/>
        <v>0</v>
      </c>
      <c r="AZ48" s="142"/>
      <c r="BA48" s="113"/>
    </row>
    <row r="49" spans="1:53" ht="15" customHeight="1" x14ac:dyDescent="0.25">
      <c r="A49" s="91"/>
      <c r="B49" s="4"/>
      <c r="C49" s="5" t="s">
        <v>331</v>
      </c>
      <c r="D49" s="127">
        <v>0</v>
      </c>
      <c r="E49" s="129">
        <v>0</v>
      </c>
      <c r="F49" s="129">
        <v>0</v>
      </c>
      <c r="G49" s="130">
        <f t="shared" si="1"/>
        <v>975523.5</v>
      </c>
      <c r="H49" s="66"/>
      <c r="I49" s="131"/>
      <c r="J49" s="132"/>
      <c r="K49" s="131"/>
      <c r="L49" s="133"/>
      <c r="M49" s="131">
        <f>G45*E45</f>
        <v>0</v>
      </c>
      <c r="N49" s="132"/>
      <c r="O49" s="131"/>
      <c r="P49" s="132"/>
      <c r="Q49" s="131"/>
      <c r="R49" s="133"/>
      <c r="S49" s="131"/>
      <c r="T49" s="132"/>
      <c r="U49" s="131"/>
      <c r="V49" s="132"/>
      <c r="W49" s="131"/>
      <c r="X49" s="132"/>
      <c r="Y49" s="131"/>
      <c r="Z49" s="132"/>
      <c r="AA49" s="8"/>
      <c r="AB49" s="132"/>
      <c r="AC49" s="131"/>
      <c r="AD49" s="132"/>
      <c r="AE49" s="131"/>
      <c r="AF49" s="132"/>
      <c r="AG49" s="131"/>
      <c r="AH49" s="132"/>
      <c r="AI49" s="131"/>
      <c r="AJ49" s="132"/>
      <c r="AK49" s="131"/>
      <c r="AL49" s="132"/>
      <c r="AM49" s="131"/>
      <c r="AN49" s="132"/>
      <c r="AO49" s="131"/>
      <c r="AP49" s="132"/>
      <c r="AQ49" s="131"/>
      <c r="AR49" s="132"/>
      <c r="AS49" s="131"/>
      <c r="AT49" s="85"/>
      <c r="AU49" s="131"/>
      <c r="AV49" s="132"/>
      <c r="AW49" s="131"/>
      <c r="AX49" s="132"/>
      <c r="AY49" s="135">
        <f t="shared" si="0"/>
        <v>0</v>
      </c>
      <c r="AZ49" s="142"/>
      <c r="BA49" s="113"/>
    </row>
    <row r="50" spans="1:53" ht="15" customHeight="1" x14ac:dyDescent="0.25">
      <c r="A50" s="91"/>
      <c r="B50" s="4"/>
      <c r="C50" s="5" t="s">
        <v>332</v>
      </c>
      <c r="D50" s="127">
        <v>0</v>
      </c>
      <c r="E50" s="129">
        <v>0</v>
      </c>
      <c r="F50" s="129">
        <v>0</v>
      </c>
      <c r="G50" s="130">
        <f t="shared" si="1"/>
        <v>952020</v>
      </c>
      <c r="H50" s="66"/>
      <c r="I50" s="131"/>
      <c r="J50" s="132"/>
      <c r="K50" s="131"/>
      <c r="L50" s="133"/>
      <c r="M50" s="131"/>
      <c r="N50" s="132"/>
      <c r="O50" s="131">
        <f>G46*E46</f>
        <v>0</v>
      </c>
      <c r="P50" s="132"/>
      <c r="Q50" s="131"/>
      <c r="R50" s="133"/>
      <c r="S50" s="131"/>
      <c r="T50" s="132"/>
      <c r="U50" s="131"/>
      <c r="V50" s="132"/>
      <c r="W50" s="131"/>
      <c r="X50" s="132"/>
      <c r="Y50" s="131"/>
      <c r="Z50" s="132"/>
      <c r="AA50" s="8"/>
      <c r="AB50" s="132"/>
      <c r="AC50" s="131"/>
      <c r="AD50" s="132"/>
      <c r="AE50" s="131"/>
      <c r="AF50" s="132"/>
      <c r="AG50" s="131"/>
      <c r="AH50" s="132"/>
      <c r="AI50" s="131"/>
      <c r="AJ50" s="132"/>
      <c r="AK50" s="131"/>
      <c r="AL50" s="132"/>
      <c r="AM50" s="131"/>
      <c r="AN50" s="132"/>
      <c r="AO50" s="131"/>
      <c r="AP50" s="132"/>
      <c r="AQ50" s="131"/>
      <c r="AR50" s="132"/>
      <c r="AS50" s="131"/>
      <c r="AT50" s="85"/>
      <c r="AU50" s="131"/>
      <c r="AV50" s="132"/>
      <c r="AW50" s="131"/>
      <c r="AX50" s="132"/>
      <c r="AY50" s="135">
        <f t="shared" si="0"/>
        <v>0</v>
      </c>
      <c r="AZ50" s="142"/>
      <c r="BA50" s="113"/>
    </row>
    <row r="51" spans="1:53" ht="15" customHeight="1" x14ac:dyDescent="0.25">
      <c r="A51" s="91"/>
      <c r="B51" s="4"/>
      <c r="C51" s="144" t="s">
        <v>333</v>
      </c>
      <c r="D51" s="145">
        <v>0</v>
      </c>
      <c r="E51" s="129">
        <v>0</v>
      </c>
      <c r="F51" s="129">
        <v>0</v>
      </c>
      <c r="G51" s="146">
        <f t="shared" si="1"/>
        <v>1048331.7000000001</v>
      </c>
      <c r="H51" s="66"/>
      <c r="I51" s="131"/>
      <c r="J51" s="132"/>
      <c r="K51" s="131"/>
      <c r="L51" s="133"/>
      <c r="M51" s="131"/>
      <c r="N51" s="132"/>
      <c r="O51" s="131"/>
      <c r="P51" s="132"/>
      <c r="Q51" s="131">
        <f>G47*E47</f>
        <v>0</v>
      </c>
      <c r="R51" s="133"/>
      <c r="S51" s="131"/>
      <c r="T51" s="132"/>
      <c r="U51" s="131"/>
      <c r="V51" s="132"/>
      <c r="W51" s="131"/>
      <c r="X51" s="132"/>
      <c r="Y51" s="131"/>
      <c r="Z51" s="132"/>
      <c r="AA51" s="8"/>
      <c r="AB51" s="132"/>
      <c r="AC51" s="131"/>
      <c r="AD51" s="132"/>
      <c r="AE51" s="131"/>
      <c r="AF51" s="132"/>
      <c r="AG51" s="131"/>
      <c r="AH51" s="132"/>
      <c r="AI51" s="131"/>
      <c r="AJ51" s="132"/>
      <c r="AK51" s="131"/>
      <c r="AL51" s="132"/>
      <c r="AM51" s="131"/>
      <c r="AN51" s="132"/>
      <c r="AO51" s="131"/>
      <c r="AP51" s="132"/>
      <c r="AQ51" s="131"/>
      <c r="AR51" s="132"/>
      <c r="AS51" s="131"/>
      <c r="AT51" s="85"/>
      <c r="AU51" s="131"/>
      <c r="AV51" s="132"/>
      <c r="AW51" s="131"/>
      <c r="AX51" s="132"/>
      <c r="AY51" s="135">
        <f t="shared" si="0"/>
        <v>0</v>
      </c>
      <c r="AZ51" s="142"/>
      <c r="BA51" s="113"/>
    </row>
    <row r="52" spans="1:53" ht="15" customHeight="1" x14ac:dyDescent="0.25">
      <c r="A52" s="91"/>
      <c r="B52" s="4"/>
      <c r="C52" s="144" t="s">
        <v>334</v>
      </c>
      <c r="D52" s="145">
        <v>0</v>
      </c>
      <c r="E52" s="129">
        <f>SUM(E49:E50)</f>
        <v>0</v>
      </c>
      <c r="F52" s="129">
        <v>0</v>
      </c>
      <c r="G52" s="146">
        <f t="shared" si="1"/>
        <v>0</v>
      </c>
      <c r="H52" s="66"/>
      <c r="I52" s="131"/>
      <c r="J52" s="132"/>
      <c r="K52" s="131"/>
      <c r="L52" s="133"/>
      <c r="M52" s="131"/>
      <c r="N52" s="132"/>
      <c r="O52" s="131"/>
      <c r="P52" s="132"/>
      <c r="Q52" s="131"/>
      <c r="R52" s="133"/>
      <c r="S52" s="131"/>
      <c r="T52" s="132"/>
      <c r="U52" s="131"/>
      <c r="V52" s="132"/>
      <c r="W52" s="131"/>
      <c r="X52" s="132"/>
      <c r="Y52" s="131"/>
      <c r="Z52" s="132"/>
      <c r="AA52" s="8"/>
      <c r="AB52" s="132"/>
      <c r="AC52" s="131"/>
      <c r="AD52" s="132"/>
      <c r="AE52" s="131"/>
      <c r="AF52" s="132"/>
      <c r="AG52" s="131"/>
      <c r="AH52" s="132"/>
      <c r="AI52" s="131"/>
      <c r="AJ52" s="132"/>
      <c r="AK52" s="131"/>
      <c r="AL52" s="132"/>
      <c r="AM52" s="131"/>
      <c r="AN52" s="132"/>
      <c r="AO52" s="131"/>
      <c r="AP52" s="132"/>
      <c r="AQ52" s="131"/>
      <c r="AR52" s="132"/>
      <c r="AS52" s="131"/>
      <c r="AT52" s="85"/>
      <c r="AU52" s="131"/>
      <c r="AV52" s="132"/>
      <c r="AW52" s="131"/>
      <c r="AX52" s="132"/>
      <c r="AY52" s="135">
        <f t="shared" si="0"/>
        <v>0</v>
      </c>
      <c r="AZ52" s="142"/>
      <c r="BA52" s="113"/>
    </row>
    <row r="53" spans="1:53" ht="15" customHeight="1" x14ac:dyDescent="0.25">
      <c r="A53" s="91"/>
      <c r="B53" s="4"/>
      <c r="C53" s="4" t="s">
        <v>335</v>
      </c>
      <c r="D53" s="127">
        <v>0</v>
      </c>
      <c r="E53" s="129">
        <v>0</v>
      </c>
      <c r="F53" s="129">
        <v>0</v>
      </c>
      <c r="G53" s="130">
        <f t="shared" si="1"/>
        <v>0</v>
      </c>
      <c r="H53" s="66"/>
      <c r="I53" s="131"/>
      <c r="J53" s="132"/>
      <c r="K53" s="131"/>
      <c r="L53" s="133"/>
      <c r="M53" s="131"/>
      <c r="N53" s="132"/>
      <c r="O53" s="131"/>
      <c r="P53" s="132"/>
      <c r="Q53" s="131"/>
      <c r="R53" s="133"/>
      <c r="S53" s="131">
        <f>G49*E49</f>
        <v>0</v>
      </c>
      <c r="T53" s="132"/>
      <c r="U53" s="131"/>
      <c r="V53" s="132"/>
      <c r="W53" s="131"/>
      <c r="X53" s="132"/>
      <c r="Y53" s="131"/>
      <c r="Z53" s="132"/>
      <c r="AA53" s="8"/>
      <c r="AB53" s="132"/>
      <c r="AC53" s="131"/>
      <c r="AD53" s="132"/>
      <c r="AE53" s="131"/>
      <c r="AF53" s="132"/>
      <c r="AG53" s="131"/>
      <c r="AH53" s="132"/>
      <c r="AI53" s="131"/>
      <c r="AJ53" s="132"/>
      <c r="AK53" s="131"/>
      <c r="AL53" s="132"/>
      <c r="AM53" s="131"/>
      <c r="AN53" s="132"/>
      <c r="AO53" s="131"/>
      <c r="AP53" s="132"/>
      <c r="AQ53" s="131"/>
      <c r="AR53" s="132"/>
      <c r="AS53" s="131"/>
      <c r="AT53" s="85"/>
      <c r="AU53" s="131"/>
      <c r="AV53" s="132"/>
      <c r="AW53" s="131"/>
      <c r="AX53" s="132"/>
      <c r="AY53" s="135">
        <f t="shared" si="0"/>
        <v>0</v>
      </c>
      <c r="AZ53" s="142"/>
      <c r="BA53" s="113"/>
    </row>
    <row r="54" spans="1:53" ht="15" customHeight="1" x14ac:dyDescent="0.25">
      <c r="A54" s="91"/>
      <c r="B54" s="4"/>
      <c r="C54" s="4" t="s">
        <v>336</v>
      </c>
      <c r="D54" s="127">
        <v>0</v>
      </c>
      <c r="E54" s="129">
        <v>0</v>
      </c>
      <c r="F54" s="129">
        <v>0</v>
      </c>
      <c r="G54" s="130">
        <f t="shared" si="1"/>
        <v>0</v>
      </c>
      <c r="H54" s="66"/>
      <c r="I54" s="131"/>
      <c r="J54" s="132"/>
      <c r="K54" s="131"/>
      <c r="L54" s="133"/>
      <c r="M54" s="131"/>
      <c r="N54" s="132"/>
      <c r="O54" s="131"/>
      <c r="P54" s="132"/>
      <c r="Q54" s="131"/>
      <c r="R54" s="133"/>
      <c r="S54" s="131">
        <f>G50*E50</f>
        <v>0</v>
      </c>
      <c r="T54" s="132"/>
      <c r="U54" s="131"/>
      <c r="V54" s="132"/>
      <c r="W54" s="131"/>
      <c r="X54" s="132"/>
      <c r="Y54" s="131"/>
      <c r="Z54" s="132"/>
      <c r="AA54" s="8"/>
      <c r="AB54" s="132"/>
      <c r="AC54" s="131"/>
      <c r="AD54" s="132"/>
      <c r="AE54" s="131"/>
      <c r="AF54" s="132"/>
      <c r="AG54" s="131"/>
      <c r="AH54" s="132"/>
      <c r="AI54" s="131"/>
      <c r="AJ54" s="132"/>
      <c r="AK54" s="131"/>
      <c r="AL54" s="132"/>
      <c r="AM54" s="131"/>
      <c r="AN54" s="132"/>
      <c r="AO54" s="131"/>
      <c r="AP54" s="132"/>
      <c r="AQ54" s="131"/>
      <c r="AR54" s="132"/>
      <c r="AS54" s="131"/>
      <c r="AT54" s="85"/>
      <c r="AU54" s="131"/>
      <c r="AV54" s="132"/>
      <c r="AW54" s="131"/>
      <c r="AX54" s="132"/>
      <c r="AY54" s="135">
        <f t="shared" si="0"/>
        <v>0</v>
      </c>
      <c r="AZ54" s="142"/>
      <c r="BA54" s="113"/>
    </row>
    <row r="55" spans="1:53" ht="15" customHeight="1" x14ac:dyDescent="0.25">
      <c r="A55" s="91"/>
      <c r="B55" s="4"/>
      <c r="C55" s="144" t="s">
        <v>337</v>
      </c>
      <c r="D55" s="145">
        <v>0</v>
      </c>
      <c r="E55" s="129">
        <v>0</v>
      </c>
      <c r="F55" s="129">
        <v>0</v>
      </c>
      <c r="G55" s="146">
        <f t="shared" si="1"/>
        <v>0</v>
      </c>
      <c r="H55" s="66"/>
      <c r="I55" s="131"/>
      <c r="J55" s="132"/>
      <c r="K55" s="131"/>
      <c r="L55" s="133"/>
      <c r="M55" s="131"/>
      <c r="N55" s="132"/>
      <c r="O55" s="131"/>
      <c r="P55" s="132"/>
      <c r="Q55" s="131"/>
      <c r="R55" s="133"/>
      <c r="S55" s="131"/>
      <c r="T55" s="132"/>
      <c r="U55" s="131"/>
      <c r="V55" s="132"/>
      <c r="W55" s="131"/>
      <c r="X55" s="132"/>
      <c r="Y55" s="131"/>
      <c r="Z55" s="132"/>
      <c r="AA55" s="8"/>
      <c r="AB55" s="132"/>
      <c r="AC55" s="131"/>
      <c r="AD55" s="132"/>
      <c r="AE55" s="131"/>
      <c r="AF55" s="132"/>
      <c r="AG55" s="131"/>
      <c r="AH55" s="132"/>
      <c r="AI55" s="131"/>
      <c r="AJ55" s="132"/>
      <c r="AK55" s="131"/>
      <c r="AL55" s="132"/>
      <c r="AM55" s="131"/>
      <c r="AN55" s="132"/>
      <c r="AO55" s="131"/>
      <c r="AP55" s="132"/>
      <c r="AQ55" s="131"/>
      <c r="AR55" s="132"/>
      <c r="AS55" s="131"/>
      <c r="AT55" s="85"/>
      <c r="AU55" s="131"/>
      <c r="AV55" s="132"/>
      <c r="AW55" s="131"/>
      <c r="AX55" s="132"/>
      <c r="AY55" s="135">
        <f t="shared" si="0"/>
        <v>0</v>
      </c>
      <c r="AZ55" s="142"/>
      <c r="BA55" s="113"/>
    </row>
    <row r="56" spans="1:53" ht="15" customHeight="1" x14ac:dyDescent="0.25">
      <c r="A56" s="91"/>
      <c r="B56" s="4"/>
      <c r="C56" s="144" t="s">
        <v>338</v>
      </c>
      <c r="D56" s="145">
        <v>0</v>
      </c>
      <c r="E56" s="129">
        <v>0</v>
      </c>
      <c r="F56" s="129">
        <v>0</v>
      </c>
      <c r="G56" s="146">
        <f t="shared" si="1"/>
        <v>0</v>
      </c>
      <c r="H56" s="66"/>
      <c r="I56" s="131"/>
      <c r="J56" s="132"/>
      <c r="K56" s="131"/>
      <c r="L56" s="133"/>
      <c r="M56" s="131"/>
      <c r="N56" s="132"/>
      <c r="O56" s="131"/>
      <c r="P56" s="132"/>
      <c r="Q56" s="131"/>
      <c r="R56" s="133"/>
      <c r="S56" s="131"/>
      <c r="T56" s="132"/>
      <c r="U56" s="131"/>
      <c r="V56" s="132"/>
      <c r="W56" s="131"/>
      <c r="X56" s="132"/>
      <c r="Y56" s="131"/>
      <c r="Z56" s="132"/>
      <c r="AA56" s="8"/>
      <c r="AB56" s="132"/>
      <c r="AC56" s="131"/>
      <c r="AD56" s="132"/>
      <c r="AE56" s="131"/>
      <c r="AF56" s="132"/>
      <c r="AG56" s="131"/>
      <c r="AH56" s="132"/>
      <c r="AI56" s="131"/>
      <c r="AJ56" s="132"/>
      <c r="AK56" s="131"/>
      <c r="AL56" s="132"/>
      <c r="AM56" s="131"/>
      <c r="AN56" s="132"/>
      <c r="AO56" s="131"/>
      <c r="AP56" s="132"/>
      <c r="AQ56" s="131"/>
      <c r="AR56" s="132"/>
      <c r="AS56" s="131"/>
      <c r="AT56" s="85"/>
      <c r="AU56" s="131"/>
      <c r="AV56" s="132"/>
      <c r="AW56" s="131"/>
      <c r="AX56" s="132"/>
      <c r="AY56" s="135">
        <f t="shared" si="0"/>
        <v>0</v>
      </c>
      <c r="AZ56" s="142"/>
      <c r="BA56" s="113"/>
    </row>
    <row r="57" spans="1:53" ht="15" customHeight="1" x14ac:dyDescent="0.25">
      <c r="A57" s="91"/>
      <c r="B57" s="4"/>
      <c r="C57" s="5" t="s">
        <v>339</v>
      </c>
      <c r="D57" s="127">
        <v>0</v>
      </c>
      <c r="E57" s="129">
        <v>0</v>
      </c>
      <c r="F57" s="129">
        <v>0</v>
      </c>
      <c r="G57" s="130">
        <f t="shared" si="1"/>
        <v>0</v>
      </c>
      <c r="H57" s="66"/>
      <c r="I57" s="131"/>
      <c r="J57" s="132"/>
      <c r="K57" s="131"/>
      <c r="L57" s="133"/>
      <c r="M57" s="131"/>
      <c r="N57" s="132"/>
      <c r="O57" s="131"/>
      <c r="P57" s="132"/>
      <c r="Q57" s="131"/>
      <c r="R57" s="133"/>
      <c r="S57" s="131"/>
      <c r="T57" s="132"/>
      <c r="U57" s="131"/>
      <c r="V57" s="132"/>
      <c r="W57" s="131"/>
      <c r="X57" s="132"/>
      <c r="Y57" s="131"/>
      <c r="Z57" s="132"/>
      <c r="AA57" s="8"/>
      <c r="AB57" s="132"/>
      <c r="AC57" s="131"/>
      <c r="AD57" s="132"/>
      <c r="AE57" s="131"/>
      <c r="AF57" s="132"/>
      <c r="AG57" s="131"/>
      <c r="AH57" s="132"/>
      <c r="AI57" s="131"/>
      <c r="AJ57" s="132"/>
      <c r="AK57" s="131"/>
      <c r="AL57" s="132"/>
      <c r="AM57" s="131"/>
      <c r="AN57" s="132"/>
      <c r="AO57" s="131"/>
      <c r="AP57" s="132"/>
      <c r="AQ57" s="131"/>
      <c r="AR57" s="132"/>
      <c r="AS57" s="131"/>
      <c r="AT57" s="85"/>
      <c r="AU57" s="131"/>
      <c r="AV57" s="132"/>
      <c r="AW57" s="131"/>
      <c r="AX57" s="132"/>
      <c r="AY57" s="135">
        <f t="shared" si="0"/>
        <v>0</v>
      </c>
      <c r="AZ57" s="142"/>
      <c r="BA57" s="113"/>
    </row>
    <row r="58" spans="1:53" ht="15" customHeight="1" x14ac:dyDescent="0.25">
      <c r="A58" s="91"/>
      <c r="B58" s="4"/>
      <c r="C58" s="5" t="s">
        <v>340</v>
      </c>
      <c r="D58" s="127">
        <v>0</v>
      </c>
      <c r="E58" s="129">
        <v>0</v>
      </c>
      <c r="F58" s="129">
        <v>0</v>
      </c>
      <c r="G58" s="130">
        <f t="shared" si="1"/>
        <v>0</v>
      </c>
      <c r="H58" s="66"/>
      <c r="I58" s="131"/>
      <c r="J58" s="132"/>
      <c r="K58" s="131"/>
      <c r="L58" s="133"/>
      <c r="M58" s="131"/>
      <c r="N58" s="132"/>
      <c r="O58" s="131"/>
      <c r="P58" s="132"/>
      <c r="Q58" s="131"/>
      <c r="R58" s="133"/>
      <c r="S58" s="131"/>
      <c r="T58" s="132"/>
      <c r="U58" s="131"/>
      <c r="V58" s="132"/>
      <c r="W58" s="131"/>
      <c r="X58" s="132"/>
      <c r="Y58" s="131"/>
      <c r="Z58" s="132"/>
      <c r="AA58" s="8"/>
      <c r="AB58" s="132"/>
      <c r="AC58" s="131"/>
      <c r="AD58" s="132"/>
      <c r="AE58" s="131"/>
      <c r="AF58" s="132"/>
      <c r="AG58" s="131"/>
      <c r="AH58" s="132"/>
      <c r="AI58" s="131"/>
      <c r="AJ58" s="132"/>
      <c r="AK58" s="131"/>
      <c r="AL58" s="132"/>
      <c r="AM58" s="131"/>
      <c r="AN58" s="132"/>
      <c r="AO58" s="131"/>
      <c r="AP58" s="132"/>
      <c r="AQ58" s="131"/>
      <c r="AR58" s="132"/>
      <c r="AS58" s="131"/>
      <c r="AT58" s="85"/>
      <c r="AU58" s="131"/>
      <c r="AV58" s="132"/>
      <c r="AW58" s="131"/>
      <c r="AX58" s="132"/>
      <c r="AY58" s="135">
        <f t="shared" si="0"/>
        <v>0</v>
      </c>
      <c r="AZ58" s="142"/>
      <c r="BA58" s="113"/>
    </row>
    <row r="59" spans="1:53" ht="15" customHeight="1" x14ac:dyDescent="0.25">
      <c r="A59" s="91"/>
      <c r="B59" s="4"/>
      <c r="C59" s="5" t="s">
        <v>341</v>
      </c>
      <c r="D59" s="127">
        <v>0</v>
      </c>
      <c r="E59" s="128">
        <v>0</v>
      </c>
      <c r="F59" s="129">
        <v>0</v>
      </c>
      <c r="G59" s="130">
        <f t="shared" si="1"/>
        <v>0</v>
      </c>
      <c r="H59" s="66"/>
      <c r="I59" s="131"/>
      <c r="J59" s="132"/>
      <c r="K59" s="131"/>
      <c r="L59" s="133"/>
      <c r="M59" s="131"/>
      <c r="N59" s="132"/>
      <c r="O59" s="131"/>
      <c r="P59" s="132"/>
      <c r="Q59" s="131"/>
      <c r="R59" s="133"/>
      <c r="S59" s="131"/>
      <c r="T59" s="132"/>
      <c r="U59" s="131"/>
      <c r="V59" s="132"/>
      <c r="W59" s="131"/>
      <c r="X59" s="132"/>
      <c r="Y59" s="131"/>
      <c r="Z59" s="132"/>
      <c r="AA59" s="8"/>
      <c r="AB59" s="132"/>
      <c r="AC59" s="131"/>
      <c r="AD59" s="132"/>
      <c r="AE59" s="131"/>
      <c r="AF59" s="132"/>
      <c r="AG59" s="131"/>
      <c r="AH59" s="132"/>
      <c r="AI59" s="131"/>
      <c r="AJ59" s="132"/>
      <c r="AK59" s="131"/>
      <c r="AL59" s="132"/>
      <c r="AM59" s="131"/>
      <c r="AN59" s="132"/>
      <c r="AO59" s="131"/>
      <c r="AP59" s="132"/>
      <c r="AQ59" s="131"/>
      <c r="AR59" s="132"/>
      <c r="AS59" s="131"/>
      <c r="AT59" s="85"/>
      <c r="AU59" s="131"/>
      <c r="AV59" s="132"/>
      <c r="AW59" s="131"/>
      <c r="AX59" s="132"/>
      <c r="AY59" s="135">
        <f t="shared" si="0"/>
        <v>0</v>
      </c>
      <c r="AZ59" s="142"/>
      <c r="BA59" s="113"/>
    </row>
    <row r="60" spans="1:53" ht="15" customHeight="1" x14ac:dyDescent="0.25">
      <c r="A60" s="91"/>
      <c r="B60" s="4"/>
      <c r="C60" s="5" t="s">
        <v>342</v>
      </c>
      <c r="D60" s="127">
        <v>0</v>
      </c>
      <c r="E60" s="128">
        <v>0</v>
      </c>
      <c r="F60" s="129">
        <v>0</v>
      </c>
      <c r="G60" s="130">
        <f t="shared" si="1"/>
        <v>0</v>
      </c>
      <c r="H60" s="66"/>
      <c r="I60" s="131"/>
      <c r="J60" s="132"/>
      <c r="K60" s="131"/>
      <c r="L60" s="133"/>
      <c r="M60" s="131"/>
      <c r="N60" s="132"/>
      <c r="O60" s="131"/>
      <c r="P60" s="132"/>
      <c r="Q60" s="131"/>
      <c r="R60" s="133"/>
      <c r="S60" s="131"/>
      <c r="T60" s="132"/>
      <c r="U60" s="131"/>
      <c r="V60" s="132"/>
      <c r="W60" s="131"/>
      <c r="X60" s="132"/>
      <c r="Y60" s="131"/>
      <c r="Z60" s="132"/>
      <c r="AA60" s="8"/>
      <c r="AB60" s="132"/>
      <c r="AC60" s="131"/>
      <c r="AD60" s="132"/>
      <c r="AE60" s="131"/>
      <c r="AF60" s="132"/>
      <c r="AG60" s="131"/>
      <c r="AH60" s="132"/>
      <c r="AI60" s="131"/>
      <c r="AJ60" s="132"/>
      <c r="AK60" s="131"/>
      <c r="AL60" s="132"/>
      <c r="AM60" s="131"/>
      <c r="AN60" s="132"/>
      <c r="AO60" s="131"/>
      <c r="AP60" s="132"/>
      <c r="AQ60" s="131"/>
      <c r="AR60" s="132"/>
      <c r="AS60" s="131"/>
      <c r="AT60" s="85"/>
      <c r="AU60" s="131"/>
      <c r="AV60" s="132"/>
      <c r="AW60" s="131"/>
      <c r="AX60" s="132"/>
      <c r="AY60" s="135">
        <f t="shared" si="0"/>
        <v>0</v>
      </c>
      <c r="AZ60" s="142"/>
      <c r="BA60" s="113"/>
    </row>
    <row r="61" spans="1:53" ht="15" customHeight="1" x14ac:dyDescent="0.25">
      <c r="A61" s="91"/>
      <c r="B61" s="4"/>
      <c r="C61" s="5" t="s">
        <v>343</v>
      </c>
      <c r="D61" s="127">
        <v>0</v>
      </c>
      <c r="E61" s="128">
        <v>0</v>
      </c>
      <c r="F61" s="129">
        <v>0</v>
      </c>
      <c r="G61" s="130">
        <f t="shared" si="1"/>
        <v>0</v>
      </c>
      <c r="H61" s="66"/>
      <c r="I61" s="131"/>
      <c r="J61" s="132"/>
      <c r="K61" s="131"/>
      <c r="L61" s="133"/>
      <c r="M61" s="131"/>
      <c r="N61" s="132"/>
      <c r="O61" s="131"/>
      <c r="P61" s="132"/>
      <c r="Q61" s="131"/>
      <c r="R61" s="133"/>
      <c r="S61" s="131"/>
      <c r="T61" s="132"/>
      <c r="U61" s="131"/>
      <c r="V61" s="132"/>
      <c r="W61" s="131"/>
      <c r="X61" s="132"/>
      <c r="Y61" s="131"/>
      <c r="Z61" s="132"/>
      <c r="AA61" s="8"/>
      <c r="AB61" s="132"/>
      <c r="AC61" s="131"/>
      <c r="AD61" s="132"/>
      <c r="AE61" s="131"/>
      <c r="AF61" s="132"/>
      <c r="AG61" s="131"/>
      <c r="AH61" s="132"/>
      <c r="AI61" s="131"/>
      <c r="AJ61" s="132"/>
      <c r="AK61" s="131"/>
      <c r="AL61" s="132"/>
      <c r="AM61" s="131"/>
      <c r="AN61" s="132"/>
      <c r="AO61" s="131"/>
      <c r="AP61" s="132"/>
      <c r="AQ61" s="131"/>
      <c r="AR61" s="132"/>
      <c r="AS61" s="131"/>
      <c r="AT61" s="65"/>
      <c r="AU61" s="131"/>
      <c r="AV61" s="132"/>
      <c r="AW61" s="131"/>
      <c r="AX61" s="132"/>
      <c r="AY61" s="135">
        <f t="shared" si="0"/>
        <v>0</v>
      </c>
      <c r="AZ61" s="142"/>
      <c r="BA61" s="113"/>
    </row>
    <row r="62" spans="1:53" ht="15" customHeight="1" x14ac:dyDescent="0.25">
      <c r="A62" s="91"/>
      <c r="B62" s="4"/>
      <c r="C62" s="5" t="s">
        <v>344</v>
      </c>
      <c r="D62" s="127">
        <v>0</v>
      </c>
      <c r="E62" s="128">
        <v>0</v>
      </c>
      <c r="F62" s="129">
        <v>0</v>
      </c>
      <c r="G62" s="130">
        <f t="shared" si="1"/>
        <v>0</v>
      </c>
      <c r="H62" s="66"/>
      <c r="I62" s="131"/>
      <c r="J62" s="132"/>
      <c r="K62" s="131"/>
      <c r="L62" s="133"/>
      <c r="M62" s="131"/>
      <c r="N62" s="132"/>
      <c r="O62" s="131"/>
      <c r="P62" s="132"/>
      <c r="Q62" s="131"/>
      <c r="R62" s="133"/>
      <c r="S62" s="131"/>
      <c r="T62" s="132"/>
      <c r="U62" s="131"/>
      <c r="V62" s="132"/>
      <c r="W62" s="131"/>
      <c r="X62" s="132"/>
      <c r="Y62" s="131"/>
      <c r="Z62" s="132"/>
      <c r="AA62" s="8"/>
      <c r="AB62" s="132"/>
      <c r="AC62" s="131"/>
      <c r="AD62" s="132"/>
      <c r="AE62" s="131"/>
      <c r="AF62" s="132"/>
      <c r="AG62" s="131"/>
      <c r="AH62" s="132"/>
      <c r="AI62" s="131"/>
      <c r="AJ62" s="132"/>
      <c r="AK62" s="131"/>
      <c r="AL62" s="132"/>
      <c r="AM62" s="131"/>
      <c r="AN62" s="132"/>
      <c r="AO62" s="131"/>
      <c r="AP62" s="132"/>
      <c r="AQ62" s="131"/>
      <c r="AR62" s="132"/>
      <c r="AS62" s="131"/>
      <c r="AT62" s="65"/>
      <c r="AU62" s="131"/>
      <c r="AV62" s="132"/>
      <c r="AW62" s="131"/>
      <c r="AX62" s="132"/>
      <c r="AY62" s="135">
        <f t="shared" si="0"/>
        <v>0</v>
      </c>
      <c r="AZ62" s="142"/>
      <c r="BA62" s="113"/>
    </row>
    <row r="63" spans="1:53" ht="15" customHeight="1" x14ac:dyDescent="0.25">
      <c r="A63" s="91"/>
      <c r="B63" s="4"/>
      <c r="C63" s="5" t="s">
        <v>345</v>
      </c>
      <c r="D63" s="127">
        <v>0</v>
      </c>
      <c r="E63" s="129">
        <v>0</v>
      </c>
      <c r="F63" s="129">
        <v>0</v>
      </c>
      <c r="G63" s="130">
        <f t="shared" si="1"/>
        <v>0</v>
      </c>
      <c r="H63" s="66"/>
      <c r="I63" s="131"/>
      <c r="J63" s="132"/>
      <c r="K63" s="131"/>
      <c r="L63" s="133"/>
      <c r="M63" s="131"/>
      <c r="N63" s="132"/>
      <c r="O63" s="131"/>
      <c r="P63" s="132"/>
      <c r="Q63" s="131"/>
      <c r="R63" s="133"/>
      <c r="S63" s="131"/>
      <c r="T63" s="132"/>
      <c r="U63" s="131"/>
      <c r="V63" s="132"/>
      <c r="W63" s="131"/>
      <c r="X63" s="132"/>
      <c r="Y63" s="131"/>
      <c r="Z63" s="132"/>
      <c r="AA63" s="8"/>
      <c r="AB63" s="132"/>
      <c r="AC63" s="131"/>
      <c r="AD63" s="132"/>
      <c r="AE63" s="131"/>
      <c r="AF63" s="132"/>
      <c r="AG63" s="131"/>
      <c r="AH63" s="132"/>
      <c r="AI63" s="131"/>
      <c r="AJ63" s="132"/>
      <c r="AK63" s="131"/>
      <c r="AL63" s="132"/>
      <c r="AM63" s="131"/>
      <c r="AN63" s="132"/>
      <c r="AO63" s="131"/>
      <c r="AP63" s="132"/>
      <c r="AQ63" s="131"/>
      <c r="AR63" s="132"/>
      <c r="AS63" s="131"/>
      <c r="AT63" s="113"/>
      <c r="AU63" s="131"/>
      <c r="AV63" s="132"/>
      <c r="AW63" s="131"/>
      <c r="AX63" s="132"/>
      <c r="AY63" s="135">
        <f t="shared" si="0"/>
        <v>0</v>
      </c>
      <c r="AZ63" s="142"/>
      <c r="BA63" s="113"/>
    </row>
    <row r="64" spans="1:53" ht="15" customHeight="1" x14ac:dyDescent="0.25">
      <c r="A64" s="91"/>
      <c r="B64" s="4"/>
      <c r="C64" s="5" t="s">
        <v>346</v>
      </c>
      <c r="D64" s="127">
        <v>0</v>
      </c>
      <c r="E64" s="128">
        <v>0</v>
      </c>
      <c r="F64" s="129">
        <v>0</v>
      </c>
      <c r="G64" s="130">
        <f t="shared" si="1"/>
        <v>0</v>
      </c>
      <c r="H64" s="66"/>
      <c r="I64" s="131"/>
      <c r="J64" s="132"/>
      <c r="K64" s="131"/>
      <c r="L64" s="133"/>
      <c r="M64" s="131"/>
      <c r="N64" s="132"/>
      <c r="O64" s="131"/>
      <c r="P64" s="132"/>
      <c r="Q64" s="131"/>
      <c r="R64" s="133"/>
      <c r="S64" s="131"/>
      <c r="T64" s="132"/>
      <c r="U64" s="131"/>
      <c r="V64" s="132"/>
      <c r="W64" s="131"/>
      <c r="X64" s="132"/>
      <c r="Y64" s="131"/>
      <c r="Z64" s="132"/>
      <c r="AA64" s="8"/>
      <c r="AB64" s="132"/>
      <c r="AC64" s="131"/>
      <c r="AD64" s="132"/>
      <c r="AE64" s="131"/>
      <c r="AF64" s="132"/>
      <c r="AG64" s="131"/>
      <c r="AH64" s="132"/>
      <c r="AI64" s="131"/>
      <c r="AJ64" s="132"/>
      <c r="AK64" s="131"/>
      <c r="AL64" s="132"/>
      <c r="AM64" s="131"/>
      <c r="AN64" s="132"/>
      <c r="AO64" s="131"/>
      <c r="AP64" s="132"/>
      <c r="AQ64" s="131"/>
      <c r="AR64" s="132"/>
      <c r="AS64" s="131"/>
      <c r="AT64" s="85"/>
      <c r="AU64" s="131"/>
      <c r="AV64" s="132"/>
      <c r="AW64" s="131"/>
      <c r="AX64" s="132"/>
      <c r="AY64" s="135">
        <f t="shared" si="0"/>
        <v>0</v>
      </c>
      <c r="AZ64" s="142"/>
      <c r="BA64" s="113"/>
    </row>
    <row r="65" spans="1:53" ht="30" customHeight="1" x14ac:dyDescent="0.25">
      <c r="A65" s="91"/>
      <c r="B65" s="4"/>
      <c r="C65" s="5" t="s">
        <v>347</v>
      </c>
      <c r="D65" s="127">
        <v>0</v>
      </c>
      <c r="E65" s="128">
        <v>0</v>
      </c>
      <c r="F65" s="129">
        <v>0</v>
      </c>
      <c r="G65" s="130">
        <f t="shared" si="1"/>
        <v>0</v>
      </c>
      <c r="H65" s="66"/>
      <c r="I65" s="131" t="str">
        <f ca="1">I75+I67+I68+ABS(I70)+I71</f>
        <v/>
      </c>
      <c r="J65" s="132"/>
      <c r="K65" s="131" t="str">
        <f ca="1">K75+K67+K68+ABS(K70)+K71</f>
        <v/>
      </c>
      <c r="L65" s="133"/>
      <c r="M65" s="131" t="str">
        <f ca="1">M75+M67+M68+ABS(M70)+M71</f>
        <v/>
      </c>
      <c r="N65" s="132"/>
      <c r="O65" s="131" t="str">
        <f ca="1">O75+O67+O68+ABS(O70)+O71</f>
        <v/>
      </c>
      <c r="P65" s="132"/>
      <c r="Q65" s="131" t="str">
        <f ca="1">Q75+Q67+Q68+ABS(Q70)+Q71</f>
        <v/>
      </c>
      <c r="R65" s="133"/>
      <c r="S65" s="131" t="str">
        <f ca="1">S75+S67+S68+ABS(S70)+S71</f>
        <v/>
      </c>
      <c r="T65" s="132"/>
      <c r="U65" s="131"/>
      <c r="V65" s="132"/>
      <c r="W65" s="131" t="str">
        <f ca="1">W75+W67+W68+ABS(W70)+W71</f>
        <v/>
      </c>
      <c r="X65" s="132"/>
      <c r="Y65" s="131" t="str">
        <f ca="1">Y75+Y67+Y68+ABS(Y70)+Y71</f>
        <v/>
      </c>
      <c r="Z65" s="132"/>
      <c r="AA65" s="8"/>
      <c r="AB65" s="132"/>
      <c r="AC65" s="131" t="str">
        <f ca="1">AC75+AC67+AC68+ABS(AC70)+AC71</f>
        <v/>
      </c>
      <c r="AD65" s="132"/>
      <c r="AE65" s="131" t="str">
        <f ca="1">AE75+AE67+AE68+ABS(AE70)+AE71</f>
        <v/>
      </c>
      <c r="AF65" s="132"/>
      <c r="AG65" s="131" t="str">
        <f ca="1">AG75+AG67+AG68+ABS(AG70)+AG71</f>
        <v/>
      </c>
      <c r="AH65" s="132"/>
      <c r="AI65" s="131" t="str">
        <f ca="1">AI75+AI67+AI68+ABS(AI70)+AI71</f>
        <v/>
      </c>
      <c r="AJ65" s="132"/>
      <c r="AK65" s="131" t="str">
        <f ca="1">AK75+AK67+AK68+ABS(AK70)+AK71</f>
        <v/>
      </c>
      <c r="AL65" s="132"/>
      <c r="AM65" s="131" t="str">
        <f ca="1">AM75+AM67+AM68+ABS(AM70)+AM71</f>
        <v/>
      </c>
      <c r="AN65" s="132"/>
      <c r="AO65" s="131" t="str">
        <f ca="1">AO75+AO67+AO68+ABS(AO70)+AO71</f>
        <v/>
      </c>
      <c r="AP65" s="132"/>
      <c r="AQ65" s="131" t="str">
        <f ca="1">AQ75+AQ67+AQ68+ABS(AQ70)+AQ71</f>
        <v/>
      </c>
      <c r="AR65" s="132"/>
      <c r="AS65" s="131" t="str">
        <f ca="1">AS75+AS67+AS68+ABS(AS70)+AS71</f>
        <v/>
      </c>
      <c r="AT65" s="85"/>
      <c r="AU65" s="131" t="str">
        <f ca="1">AU75+AU67+AU68+ABS(AU70)+AU71</f>
        <v/>
      </c>
      <c r="AV65" s="132"/>
      <c r="AW65" s="131" t="str">
        <f ca="1">AW75+AW67+AW68+ABS(AW70)+AW71</f>
        <v/>
      </c>
      <c r="AX65" s="132"/>
      <c r="AY65" s="135" t="str">
        <f ca="1">AY75+AY67+AY68+ABS(AY70)+AY71</f>
        <v/>
      </c>
      <c r="AZ65" s="142"/>
      <c r="BA65" s="113"/>
    </row>
    <row r="66" spans="1:53" ht="15" customHeight="1" x14ac:dyDescent="0.25">
      <c r="A66" s="91"/>
      <c r="B66" s="4"/>
      <c r="C66" s="5" t="s">
        <v>348</v>
      </c>
      <c r="D66" s="127">
        <v>0</v>
      </c>
      <c r="E66" s="128">
        <v>0</v>
      </c>
      <c r="F66" s="129">
        <v>0</v>
      </c>
      <c r="G66" s="130">
        <f t="shared" si="1"/>
        <v>0</v>
      </c>
      <c r="H66" s="66"/>
      <c r="I66" s="131"/>
      <c r="J66" s="132"/>
      <c r="K66" s="131"/>
      <c r="L66" s="133"/>
      <c r="M66" s="131"/>
      <c r="N66" s="132"/>
      <c r="O66" s="131"/>
      <c r="P66" s="132"/>
      <c r="Q66" s="131"/>
      <c r="R66" s="133"/>
      <c r="S66" s="131"/>
      <c r="T66" s="132"/>
      <c r="U66" s="131"/>
      <c r="V66" s="132"/>
      <c r="W66" s="131"/>
      <c r="X66" s="132"/>
      <c r="Y66" s="131"/>
      <c r="Z66" s="132"/>
      <c r="AA66" s="8"/>
      <c r="AB66" s="132"/>
      <c r="AC66" s="131"/>
      <c r="AD66" s="132"/>
      <c r="AE66" s="131"/>
      <c r="AF66" s="132"/>
      <c r="AG66" s="131"/>
      <c r="AH66" s="132"/>
      <c r="AI66" s="131"/>
      <c r="AJ66" s="132"/>
      <c r="AK66" s="131"/>
      <c r="AL66" s="132"/>
      <c r="AM66" s="131"/>
      <c r="AN66" s="132"/>
      <c r="AO66" s="131"/>
      <c r="AP66" s="132"/>
      <c r="AQ66" s="131"/>
      <c r="AR66" s="132"/>
      <c r="AS66" s="131"/>
      <c r="AT66" s="85"/>
      <c r="AU66" s="131"/>
      <c r="AV66" s="132"/>
      <c r="AW66" s="131"/>
      <c r="AX66" s="132"/>
      <c r="AY66" s="135">
        <f>SUM(I62:AW62)</f>
        <v>0</v>
      </c>
      <c r="AZ66" s="142"/>
      <c r="BA66" s="113"/>
    </row>
    <row r="67" spans="1:53" s="5" customFormat="1" ht="15" customHeight="1" x14ac:dyDescent="0.25">
      <c r="A67" s="91"/>
      <c r="B67" s="4"/>
      <c r="C67" s="5" t="s">
        <v>349</v>
      </c>
      <c r="D67" s="127">
        <v>0</v>
      </c>
      <c r="E67" s="128">
        <v>0</v>
      </c>
      <c r="F67" s="129">
        <v>0</v>
      </c>
      <c r="G67" s="130">
        <f t="shared" si="1"/>
        <v>0</v>
      </c>
      <c r="H67" s="66"/>
      <c r="I67" s="131"/>
      <c r="J67" s="132"/>
      <c r="K67" s="131"/>
      <c r="L67" s="133"/>
      <c r="M67" s="131"/>
      <c r="N67" s="132"/>
      <c r="O67" s="131"/>
      <c r="P67" s="132"/>
      <c r="Q67" s="131"/>
      <c r="R67" s="133"/>
      <c r="S67" s="131"/>
      <c r="T67" s="132"/>
      <c r="U67" s="131"/>
      <c r="V67" s="132"/>
      <c r="W67" s="131"/>
      <c r="X67" s="132"/>
      <c r="Y67" s="131"/>
      <c r="Z67" s="132"/>
      <c r="AA67" s="8"/>
      <c r="AB67" s="132"/>
      <c r="AC67" s="131"/>
      <c r="AD67" s="132"/>
      <c r="AE67" s="131"/>
      <c r="AF67" s="132"/>
      <c r="AG67" s="131"/>
      <c r="AH67" s="132"/>
      <c r="AI67" s="131"/>
      <c r="AJ67" s="132"/>
      <c r="AK67" s="131"/>
      <c r="AL67" s="132"/>
      <c r="AM67" s="131"/>
      <c r="AN67" s="132"/>
      <c r="AO67" s="131"/>
      <c r="AP67" s="132"/>
      <c r="AQ67" s="131"/>
      <c r="AR67" s="132"/>
      <c r="AS67" s="131"/>
      <c r="AT67" s="85"/>
      <c r="AU67" s="131"/>
      <c r="AV67" s="132"/>
      <c r="AW67" s="131"/>
      <c r="AX67" s="132"/>
      <c r="AY67" s="135">
        <f>SUM(I63:AW63)</f>
        <v>0</v>
      </c>
      <c r="AZ67" s="142"/>
      <c r="BA67" s="113"/>
    </row>
    <row r="68" spans="1:53" s="5" customFormat="1" ht="15" customHeight="1" x14ac:dyDescent="0.25">
      <c r="A68" s="147"/>
      <c r="D68" s="148"/>
      <c r="E68" s="148"/>
      <c r="G68" s="149"/>
      <c r="I68" s="131"/>
      <c r="J68" s="132"/>
      <c r="K68" s="131"/>
      <c r="L68" s="133"/>
      <c r="M68" s="131"/>
      <c r="N68" s="132"/>
      <c r="O68" s="131"/>
      <c r="P68" s="132"/>
      <c r="Q68" s="131"/>
      <c r="R68" s="133"/>
      <c r="S68" s="131"/>
      <c r="T68" s="132"/>
      <c r="U68" s="131"/>
      <c r="V68" s="132"/>
      <c r="W68" s="131"/>
      <c r="X68" s="132"/>
      <c r="Y68" s="131"/>
      <c r="Z68" s="132"/>
      <c r="AA68" s="8"/>
      <c r="AB68" s="132"/>
      <c r="AC68" s="131"/>
      <c r="AD68" s="132"/>
      <c r="AE68" s="131"/>
      <c r="AF68" s="132"/>
      <c r="AG68" s="131"/>
      <c r="AH68" s="132"/>
      <c r="AI68" s="131"/>
      <c r="AJ68" s="132"/>
      <c r="AK68" s="131"/>
      <c r="AL68" s="132"/>
      <c r="AM68" s="131"/>
      <c r="AN68" s="132"/>
      <c r="AO68" s="131"/>
      <c r="AP68" s="132"/>
      <c r="AQ68" s="131"/>
      <c r="AR68" s="132"/>
      <c r="AS68" s="131"/>
      <c r="AU68" s="131"/>
      <c r="AV68" s="132"/>
      <c r="AW68" s="131"/>
      <c r="AX68" s="132"/>
      <c r="AY68" s="150"/>
      <c r="AZ68" s="113"/>
      <c r="BA68" s="113"/>
    </row>
    <row r="69" spans="1:53" s="5" customFormat="1" ht="15" customHeight="1" x14ac:dyDescent="0.25">
      <c r="A69" s="151" t="s">
        <v>350</v>
      </c>
      <c r="B69" s="152"/>
      <c r="C69" s="153"/>
      <c r="D69" s="152"/>
      <c r="E69" s="152"/>
      <c r="F69" s="152"/>
      <c r="G69" s="152"/>
      <c r="H69" s="152"/>
      <c r="I69" s="154" t="str">
        <f ca="1">SUM(I66:I73)</f>
        <v/>
      </c>
      <c r="K69" s="154" t="str">
        <f ca="1">SUM(K66:K73)</f>
        <v/>
      </c>
      <c r="L69" s="155"/>
      <c r="M69" s="154" t="str">
        <f ca="1">SUM(M66:M73)</f>
        <v/>
      </c>
      <c r="O69" s="154" t="str">
        <f ca="1">SUM(O66:O73)</f>
        <v/>
      </c>
      <c r="Q69" s="154" t="str">
        <f ca="1">SUM(Q66:Q73)</f>
        <v/>
      </c>
      <c r="R69" s="155"/>
      <c r="S69" s="154" t="str">
        <f ca="1">SUM(S66:S73)</f>
        <v/>
      </c>
      <c r="U69" s="154"/>
      <c r="W69" s="154" t="str">
        <f ca="1">SUM(W66:W73)</f>
        <v/>
      </c>
      <c r="Y69" s="154" t="str">
        <f ca="1">SUM(Y66:Y73)</f>
        <v/>
      </c>
      <c r="Z69" s="156"/>
      <c r="AA69" s="8"/>
      <c r="AC69" s="154" t="str">
        <f ca="1">SUM(AC66:AC73)</f>
        <v/>
      </c>
      <c r="AE69" s="154" t="str">
        <f ca="1">SUM(AE66:AE73)</f>
        <v/>
      </c>
      <c r="AG69" s="154" t="str">
        <f ca="1">SUM(AG66:AG73)</f>
        <v/>
      </c>
      <c r="AI69" s="154" t="str">
        <f ca="1">SUM(AI66:AI73)</f>
        <v/>
      </c>
      <c r="AK69" s="154" t="str">
        <f ca="1">SUM(AK66:AK73)</f>
        <v/>
      </c>
      <c r="AM69" s="154" t="str">
        <f ca="1">SUM(AM66:AM73)</f>
        <v/>
      </c>
      <c r="AO69" s="154" t="str">
        <f ca="1">SUM(AO66:AO73)</f>
        <v/>
      </c>
      <c r="AQ69" s="154" t="str">
        <f ca="1">SUM(AQ66:AQ73)</f>
        <v/>
      </c>
      <c r="AS69" s="154" t="str">
        <f ca="1">SUM(AS66:AS73)</f>
        <v/>
      </c>
      <c r="AT69" s="156"/>
      <c r="AU69" s="154" t="str">
        <f ca="1">SUM(AU66:AU73)</f>
        <v/>
      </c>
      <c r="AW69" s="154" t="str">
        <f ca="1">SUM(AW66:AW73)</f>
        <v/>
      </c>
      <c r="AY69" s="154" t="str">
        <f ca="1">SUM(AY66:AY73)</f>
        <v/>
      </c>
      <c r="AZ69" s="156"/>
      <c r="BA69" s="113"/>
    </row>
    <row r="70" spans="1:53" s="5" customFormat="1" ht="15" customHeight="1" x14ac:dyDescent="0.25">
      <c r="A70" s="157" t="s">
        <v>351</v>
      </c>
      <c r="I70" s="620" t="str">
        <f ca="1">IFERROR(I65/I17,0)</f>
        <v/>
      </c>
      <c r="K70" s="158" t="str">
        <f ca="1">IFERROR(K65/K17,0)</f>
        <v/>
      </c>
      <c r="M70" s="158" t="str">
        <f ca="1">IFERROR(M65/M17,0)</f>
        <v/>
      </c>
      <c r="O70" s="158" t="str">
        <f ca="1">IFERROR(O65/O17,0)</f>
        <v/>
      </c>
      <c r="Q70" s="158" t="str">
        <f ca="1">IFERROR(Q65/Q17,0)</f>
        <v/>
      </c>
      <c r="S70" s="158" t="str">
        <f ca="1">IFERROR(S65/S17,0)</f>
        <v/>
      </c>
      <c r="W70" s="158" t="str">
        <f ca="1">IFERROR(W65/W17,0)</f>
        <v/>
      </c>
      <c r="Y70" s="158" t="str">
        <f ca="1">IFERROR(Y65/Y17,0)</f>
        <v/>
      </c>
      <c r="AC70" s="158" t="str">
        <f ca="1">IFERROR(AC65/AC17,0)</f>
        <v/>
      </c>
      <c r="AE70" s="158" t="str">
        <f ca="1">IFERROR(AE65/AE17,0)</f>
        <v/>
      </c>
      <c r="AG70" s="158" t="str">
        <f ca="1">IFERROR(AG65/AG17,0)</f>
        <v/>
      </c>
      <c r="AI70" s="158" t="str">
        <f ca="1">IFERROR(AI65/AI17,0)</f>
        <v/>
      </c>
      <c r="AK70" s="158" t="str">
        <f ca="1">IFERROR(AK65/AK17,0)</f>
        <v/>
      </c>
      <c r="AM70" s="158" t="str">
        <f ca="1">IFERROR(AM65/AM17,0)</f>
        <v/>
      </c>
      <c r="AO70" s="158" t="str">
        <f ca="1">IFERROR(AO65/AO17,0)</f>
        <v/>
      </c>
      <c r="AQ70" s="158" t="str">
        <f ca="1">IFERROR(AQ65/AQ17,0)</f>
        <v/>
      </c>
      <c r="AS70" s="158" t="str">
        <f ca="1">IFERROR(AS65/AS17,0)</f>
        <v/>
      </c>
      <c r="AU70" s="158" t="str">
        <f ca="1">IFERROR(AU65/AU17,0)</f>
        <v/>
      </c>
      <c r="AW70" s="158" t="str">
        <f ca="1">IFERROR(AW65/AW17,0)</f>
        <v/>
      </c>
      <c r="AY70" s="159" t="str">
        <f ca="1">IFERROR(AY65/AY17,0)</f>
        <v/>
      </c>
    </row>
    <row r="71" spans="1:53" s="5" customFormat="1" ht="15" customHeight="1" x14ac:dyDescent="0.25">
      <c r="A71" s="654"/>
      <c r="B71" s="655"/>
      <c r="C71" s="655"/>
      <c r="D71" s="655"/>
      <c r="E71" s="655"/>
      <c r="F71" s="655"/>
      <c r="G71" s="655"/>
      <c r="H71" s="655"/>
      <c r="I71" s="161"/>
      <c r="K71" s="161"/>
      <c r="L71" s="155"/>
      <c r="M71" s="161"/>
      <c r="O71" s="161"/>
      <c r="Q71" s="161"/>
      <c r="R71" s="155"/>
      <c r="S71" s="161"/>
      <c r="U71" s="161"/>
      <c r="W71" s="161"/>
      <c r="Y71" s="161"/>
      <c r="Z71" s="156"/>
      <c r="AA71" s="8"/>
      <c r="AC71" s="161"/>
      <c r="AE71" s="161"/>
      <c r="AG71" s="161"/>
      <c r="AI71" s="161"/>
      <c r="AK71" s="161"/>
      <c r="AM71" s="161"/>
      <c r="AO71" s="161"/>
      <c r="AQ71" s="161"/>
      <c r="AS71" s="161"/>
      <c r="AT71" s="156"/>
      <c r="AU71" s="161"/>
      <c r="AW71" s="161"/>
      <c r="AY71" s="162"/>
      <c r="AZ71" s="156"/>
      <c r="BA71" s="113"/>
    </row>
    <row r="72" spans="1:53" s="5" customFormat="1" ht="15" customHeight="1" x14ac:dyDescent="0.25">
      <c r="A72" s="642"/>
      <c r="B72" s="655"/>
      <c r="C72" s="655"/>
      <c r="D72" s="655"/>
      <c r="E72" s="655"/>
      <c r="F72" s="655"/>
      <c r="G72" s="655"/>
      <c r="H72" s="655"/>
      <c r="I72" s="161" t="str">
        <f ca="1">$G$67*I73</f>
        <v/>
      </c>
      <c r="K72" s="161" t="str">
        <f ca="1">$G$67*K73</f>
        <v/>
      </c>
      <c r="L72" s="155"/>
      <c r="M72" s="161"/>
      <c r="O72" s="161"/>
      <c r="Q72" s="161"/>
      <c r="R72" s="155"/>
      <c r="S72" s="161">
        <f>$G$67*S49</f>
        <v>0</v>
      </c>
      <c r="U72" s="161"/>
      <c r="W72" s="161"/>
      <c r="Y72" s="161"/>
      <c r="Z72" s="156"/>
      <c r="AA72" s="8"/>
      <c r="AC72" s="161" t="str">
        <f ca="1">$G$67*AC73</f>
        <v/>
      </c>
      <c r="AE72" s="161" t="str">
        <f ca="1">$G$67*AE73</f>
        <v/>
      </c>
      <c r="AG72" s="161" t="str">
        <f ca="1">$G$67*AG73</f>
        <v/>
      </c>
      <c r="AI72" s="161" t="str">
        <f ca="1">$G$67*AI73</f>
        <v/>
      </c>
      <c r="AK72" s="161" t="str">
        <f ca="1">$G$67*AK73</f>
        <v/>
      </c>
      <c r="AM72" s="161" t="str">
        <f ca="1">$G$67*AM73</f>
        <v/>
      </c>
      <c r="AO72" s="161" t="str">
        <f ca="1">$G$67*AO73</f>
        <v/>
      </c>
      <c r="AQ72" s="161" t="str">
        <f ca="1">$G$67*AQ73</f>
        <v/>
      </c>
      <c r="AS72" s="161" t="str">
        <f ca="1">$G$67*AS73</f>
        <v/>
      </c>
      <c r="AT72" s="156"/>
      <c r="AU72" s="161" t="str">
        <f ca="1">$G$67*AU73</f>
        <v/>
      </c>
      <c r="AW72" s="161"/>
      <c r="AY72" s="135">
        <f>SUM(I67:AW67)</f>
        <v>0</v>
      </c>
      <c r="AZ72" s="156"/>
      <c r="BA72" s="113"/>
    </row>
    <row r="73" spans="1:53" s="5" customFormat="1" ht="30" customHeight="1" x14ac:dyDescent="0.25">
      <c r="A73" s="157" t="s">
        <v>352</v>
      </c>
      <c r="E73" s="163">
        <v>5.0000000000000001E-3</v>
      </c>
      <c r="F73" s="164">
        <v>0.5</v>
      </c>
      <c r="G73" s="165" t="s">
        <v>353</v>
      </c>
      <c r="I73" s="618" t="str">
        <f ca="1">$E$68*$F$68*I74</f>
        <v/>
      </c>
      <c r="K73" s="72" t="str">
        <f ca="1">$E$68*$F$68*K74</f>
        <v/>
      </c>
      <c r="M73" s="72" t="str">
        <f ca="1">$E$68*$F$68*M74</f>
        <v/>
      </c>
      <c r="O73" s="72" t="str">
        <f ca="1">$E$68*$F$68*O74</f>
        <v/>
      </c>
      <c r="Q73" s="72" t="str">
        <f ca="1">$E$68*$F$68*Q74</f>
        <v/>
      </c>
      <c r="S73" s="72" t="str">
        <f ca="1">$E$68*$F$68*S74</f>
        <v/>
      </c>
      <c r="W73" s="72" t="str">
        <f ca="1">$E$68*$F$68*W74</f>
        <v/>
      </c>
      <c r="Y73" s="72" t="str">
        <f ca="1">$E$68*$F$68*Y74</f>
        <v/>
      </c>
      <c r="AC73" s="72" t="str">
        <f ca="1">$E$68*$F$68*AC74</f>
        <v/>
      </c>
      <c r="AE73" s="72" t="str">
        <f ca="1">$E$68*$F$68*AE74</f>
        <v/>
      </c>
      <c r="AG73" s="72" t="str">
        <f ca="1">$E$68*$F$68*AG74</f>
        <v/>
      </c>
      <c r="AI73" s="72" t="str">
        <f ca="1">$E$68*$F$68*AI74</f>
        <v/>
      </c>
      <c r="AK73" s="72" t="str">
        <f ca="1">$E$68*$F$68*AK74</f>
        <v/>
      </c>
      <c r="AM73" s="72" t="str">
        <f ca="1">$E$68*$F$68*AM74</f>
        <v/>
      </c>
      <c r="AO73" s="72" t="str">
        <f ca="1">$E$68*$F$68*AO74</f>
        <v/>
      </c>
      <c r="AQ73" s="72" t="str">
        <f ca="1">$E$68*$F$68*AQ74</f>
        <v/>
      </c>
      <c r="AS73" s="72" t="str">
        <f ca="1">$E$68*$F$68*AS74</f>
        <v/>
      </c>
      <c r="AU73" s="72" t="str">
        <f ca="1">$E$68*$F$68*AU74</f>
        <v/>
      </c>
      <c r="AW73" s="72" t="str">
        <f ca="1">$E$68*$F$68*AW74</f>
        <v/>
      </c>
      <c r="AY73" s="166">
        <f>SUM(I68:AW68)</f>
        <v>0</v>
      </c>
    </row>
    <row r="74" spans="1:53" ht="22.5" hidden="1" customHeight="1" x14ac:dyDescent="0.25">
      <c r="A74" s="160" t="s">
        <v>354</v>
      </c>
      <c r="C74" s="167"/>
      <c r="D74" s="167"/>
      <c r="E74" s="167"/>
      <c r="F74" s="168" t="s">
        <v>355</v>
      </c>
      <c r="G74" s="169">
        <v>4.0000000000000001E-3</v>
      </c>
      <c r="H74" s="5" t="s">
        <v>353</v>
      </c>
      <c r="I74" s="161" t="str">
        <f ca="1">-I73*$G$68</f>
        <v/>
      </c>
      <c r="K74" s="161" t="str">
        <f ca="1">-K73*$G$68</f>
        <v/>
      </c>
      <c r="L74" s="155"/>
      <c r="M74" s="161" t="str">
        <f ca="1">-M73*$G$68</f>
        <v/>
      </c>
      <c r="O74" s="161" t="str">
        <f ca="1">-O73*$G$68</f>
        <v/>
      </c>
      <c r="Q74" s="161" t="str">
        <f ca="1">-Q73*$G$68</f>
        <v/>
      </c>
      <c r="R74" s="155"/>
      <c r="S74" s="161" t="str">
        <f ca="1">-S73*$G$68</f>
        <v/>
      </c>
      <c r="U74" s="161"/>
      <c r="W74" s="161" t="str">
        <f ca="1">-W73*$G$68</f>
        <v/>
      </c>
      <c r="Y74" s="161" t="str">
        <f ca="1">-Y73*$G$68</f>
        <v/>
      </c>
      <c r="Z74" s="156"/>
      <c r="AA74" s="8"/>
      <c r="AC74" s="161" t="str">
        <f ca="1">-AC73*$G$68</f>
        <v/>
      </c>
      <c r="AE74" s="161" t="str">
        <f ca="1">-AE73*$G$68</f>
        <v/>
      </c>
      <c r="AG74" s="161" t="str">
        <f ca="1">-AG73*$G$68</f>
        <v/>
      </c>
      <c r="AI74" s="161" t="str">
        <f ca="1">-AI73*$G$68</f>
        <v/>
      </c>
      <c r="AK74" s="161" t="str">
        <f ca="1">-AK73*$G$68</f>
        <v/>
      </c>
      <c r="AM74" s="161" t="str">
        <f ca="1">-AM73*$G$68</f>
        <v/>
      </c>
      <c r="AO74" s="161" t="str">
        <f ca="1">-AO73*$G$68</f>
        <v/>
      </c>
      <c r="AQ74" s="161" t="str">
        <f ca="1">-AQ73*$G$68</f>
        <v/>
      </c>
      <c r="AS74" s="161" t="str">
        <f ca="1">-AS73*$G$68</f>
        <v/>
      </c>
      <c r="AT74" s="156"/>
      <c r="AU74" s="161" t="str">
        <f ca="1">-AU73*$G$68</f>
        <v/>
      </c>
      <c r="AW74" s="161" t="str">
        <f ca="1">-AW73*$G$68</f>
        <v/>
      </c>
      <c r="AY74" s="135">
        <f>SUM(I68:AW68)</f>
        <v>0</v>
      </c>
      <c r="AZ74" s="156"/>
      <c r="BA74" s="113"/>
    </row>
    <row r="75" spans="1:53" ht="22.5" hidden="1" customHeight="1" x14ac:dyDescent="0.25">
      <c r="A75" s="160" t="s">
        <v>356</v>
      </c>
      <c r="C75" s="167"/>
      <c r="D75" s="167"/>
      <c r="E75" s="167"/>
      <c r="F75" s="168" t="s">
        <v>357</v>
      </c>
      <c r="G75" s="169">
        <v>0.09</v>
      </c>
      <c r="H75" s="5" t="s">
        <v>353</v>
      </c>
      <c r="I75" s="161" t="str">
        <f ca="1">G69*I73</f>
        <v/>
      </c>
      <c r="K75" s="161" t="str">
        <f ca="1">I69*K73</f>
        <v/>
      </c>
      <c r="L75" s="155"/>
      <c r="M75" s="161"/>
      <c r="O75" s="161"/>
      <c r="Q75" s="161" t="str">
        <f ca="1">O69*Q73</f>
        <v/>
      </c>
      <c r="R75" s="155"/>
      <c r="S75" s="161" t="str">
        <f ca="1">Q69*S73</f>
        <v/>
      </c>
      <c r="U75" s="161"/>
      <c r="W75" s="161" t="str">
        <f ca="1">U69*W73</f>
        <v/>
      </c>
      <c r="Y75" s="161" t="str">
        <f ca="1">W69*Y73</f>
        <v/>
      </c>
      <c r="Z75" s="156"/>
      <c r="AA75" s="8"/>
      <c r="AC75" s="161" t="str">
        <f ca="1">AA69*AC73</f>
        <v/>
      </c>
      <c r="AE75" s="161" t="str">
        <f ca="1">AC69*AE73</f>
        <v/>
      </c>
      <c r="AG75" s="161" t="str">
        <f ca="1">AE69*AG73</f>
        <v/>
      </c>
      <c r="AI75" s="161" t="str">
        <f ca="1">AG69*AI73</f>
        <v/>
      </c>
      <c r="AK75" s="161" t="str">
        <f ca="1">AI69*AK73</f>
        <v/>
      </c>
      <c r="AM75" s="161" t="str">
        <f ca="1">AK69*AM73</f>
        <v/>
      </c>
      <c r="AO75" s="161" t="str">
        <f ca="1">AM69*AO73</f>
        <v/>
      </c>
      <c r="AQ75" s="161" t="str">
        <f ca="1">AO69*AQ73</f>
        <v/>
      </c>
      <c r="AS75" s="161" t="str">
        <f ca="1">AQ69*AS73</f>
        <v/>
      </c>
      <c r="AT75" s="156"/>
      <c r="AU75" s="161" t="str">
        <f ca="1">AS69*AU73</f>
        <v/>
      </c>
      <c r="AW75" s="161" t="str">
        <f ca="1">AU69*AW73</f>
        <v/>
      </c>
      <c r="AY75" s="135" t="str">
        <f ca="1">SUM(I69:AW69)</f>
        <v/>
      </c>
      <c r="AZ75" s="156"/>
      <c r="BA75" s="113"/>
    </row>
    <row r="76" spans="1:53" ht="22.5" customHeight="1" x14ac:dyDescent="0.25">
      <c r="A76" s="160"/>
      <c r="C76" s="167"/>
      <c r="D76" s="167"/>
      <c r="E76" s="167"/>
      <c r="F76" s="170"/>
      <c r="G76" s="171"/>
      <c r="I76" s="161"/>
      <c r="K76" s="161"/>
      <c r="L76" s="155"/>
      <c r="M76" s="161"/>
      <c r="O76" s="161"/>
      <c r="Q76" s="161"/>
      <c r="R76" s="155"/>
      <c r="S76" s="161"/>
      <c r="U76" s="161"/>
      <c r="W76" s="161"/>
      <c r="Y76" s="161"/>
      <c r="Z76" s="156"/>
      <c r="AA76" s="8"/>
      <c r="AC76" s="161"/>
      <c r="AE76" s="161"/>
      <c r="AG76" s="161"/>
      <c r="AI76" s="161"/>
      <c r="AK76" s="161"/>
      <c r="AM76" s="161"/>
      <c r="AO76" s="161"/>
      <c r="AQ76" s="161"/>
      <c r="AS76" s="161"/>
      <c r="AT76" s="156"/>
      <c r="AU76" s="161"/>
      <c r="AW76" s="161"/>
      <c r="AY76" s="135"/>
      <c r="AZ76" s="156"/>
      <c r="BA76" s="113"/>
    </row>
    <row r="77" spans="1:53" ht="15" customHeight="1" x14ac:dyDescent="0.25">
      <c r="A77" s="172" t="s">
        <v>358</v>
      </c>
      <c r="H77"/>
      <c r="I77" s="161"/>
      <c r="K77" s="161"/>
      <c r="L77" s="155"/>
      <c r="M77" s="161"/>
      <c r="O77" s="161"/>
      <c r="Q77" s="161"/>
      <c r="R77" s="155"/>
      <c r="S77" s="161"/>
      <c r="U77" s="161"/>
      <c r="W77" s="161"/>
      <c r="Y77" s="161"/>
      <c r="Z77" s="156"/>
      <c r="AA77" s="8"/>
      <c r="AC77" s="161"/>
      <c r="AE77" s="161"/>
      <c r="AG77" s="161"/>
      <c r="AI77" s="161"/>
      <c r="AK77" s="161"/>
      <c r="AM77" s="161"/>
      <c r="AO77" s="161"/>
      <c r="AQ77" s="161"/>
      <c r="AS77" s="161"/>
      <c r="AT77" s="156"/>
      <c r="AU77" s="161"/>
      <c r="AW77" s="161"/>
      <c r="AY77" s="135">
        <f>SUM(I71:AW71)</f>
        <v>0</v>
      </c>
      <c r="AZ77" s="156"/>
      <c r="BA77" s="113"/>
    </row>
    <row r="78" spans="1:53" ht="6.75" customHeight="1" x14ac:dyDescent="0.25">
      <c r="A78" s="173"/>
      <c r="B78" s="174"/>
      <c r="C78" s="174"/>
      <c r="D78" s="174"/>
      <c r="E78" s="174"/>
      <c r="F78" s="174"/>
      <c r="G78" s="174"/>
      <c r="H78" s="174"/>
      <c r="I78" s="161"/>
      <c r="K78" s="161"/>
      <c r="L78" s="155"/>
      <c r="M78" s="161"/>
      <c r="O78" s="161"/>
      <c r="Q78" s="161"/>
      <c r="R78" s="155"/>
      <c r="S78" s="161"/>
      <c r="U78" s="161"/>
      <c r="W78" s="161"/>
      <c r="Y78" s="161"/>
      <c r="Z78" s="156"/>
      <c r="AA78" s="8"/>
      <c r="AC78" s="161"/>
      <c r="AE78" s="161"/>
      <c r="AG78" s="161"/>
      <c r="AI78" s="161"/>
      <c r="AK78" s="161"/>
      <c r="AM78" s="161"/>
      <c r="AO78" s="161"/>
      <c r="AQ78" s="161"/>
      <c r="AS78" s="161"/>
      <c r="AT78" s="156"/>
      <c r="AU78" s="161"/>
      <c r="AW78" s="161"/>
      <c r="AY78" s="162"/>
      <c r="AZ78" s="156"/>
      <c r="BA78" s="113"/>
    </row>
    <row r="79" spans="1:53" ht="15" customHeight="1" x14ac:dyDescent="0.25">
      <c r="A79" s="175" t="s">
        <v>359</v>
      </c>
      <c r="B79" s="176"/>
      <c r="C79" s="176"/>
      <c r="D79" s="176"/>
      <c r="E79" s="176"/>
      <c r="F79" s="176"/>
      <c r="G79" s="176"/>
      <c r="H79" s="176"/>
      <c r="I79" s="177" t="str">
        <f ca="1">SUM(I31:I64)</f>
        <v/>
      </c>
      <c r="J79" s="4"/>
      <c r="K79" s="177" t="str">
        <f ca="1">SUM(K31:K64)</f>
        <v/>
      </c>
      <c r="L79" s="178"/>
      <c r="M79" s="177" t="str">
        <f ca="1">SUM(M31:M64)</f>
        <v/>
      </c>
      <c r="O79" s="177" t="str">
        <f ca="1">SUM(O31:O64)</f>
        <v/>
      </c>
      <c r="Q79" s="177" t="str">
        <f ca="1">SUM(Q31:Q64)</f>
        <v/>
      </c>
      <c r="R79" s="178"/>
      <c r="S79" s="177" t="str">
        <f ca="1">SUM(S31:S64)</f>
        <v/>
      </c>
      <c r="U79" s="179"/>
      <c r="W79" s="177" t="str">
        <f ca="1">SUM(W31:W64)</f>
        <v/>
      </c>
      <c r="Y79" s="177" t="str">
        <f ca="1">SUM(Y31:Y64)</f>
        <v/>
      </c>
      <c r="Z79" s="180"/>
      <c r="AA79" s="8"/>
      <c r="AC79" s="177" t="str">
        <f ca="1">SUM(AC31:AC64)</f>
        <v/>
      </c>
      <c r="AE79" s="177" t="str">
        <f ca="1">SUM(AE31:AE64)</f>
        <v/>
      </c>
      <c r="AG79" s="177" t="str">
        <f ca="1">SUM(AG31:AG64)</f>
        <v/>
      </c>
      <c r="AI79" s="177" t="str">
        <f ca="1">SUM(AI31:AI64)</f>
        <v/>
      </c>
      <c r="AK79" s="177" t="str">
        <f ca="1">SUM(AK31:AK64)</f>
        <v/>
      </c>
      <c r="AM79" s="177" t="str">
        <f ca="1">SUM(AM31:AM64)</f>
        <v/>
      </c>
      <c r="AO79" s="177" t="str">
        <f ca="1">SUM(AO31:AO64)</f>
        <v/>
      </c>
      <c r="AQ79" s="177" t="str">
        <f ca="1">SUM(AQ31:AQ64)</f>
        <v/>
      </c>
      <c r="AS79" s="177" t="str">
        <f ca="1">SUM(AS31:AS64)</f>
        <v/>
      </c>
      <c r="AT79" s="180"/>
      <c r="AU79" s="177" t="str">
        <f ca="1">SUM(AU31:AU64)</f>
        <v/>
      </c>
      <c r="AW79" s="177" t="str">
        <f ca="1">SUM(AW31:AW64)</f>
        <v/>
      </c>
      <c r="AY79" s="177" t="str">
        <f ca="1">SUM(AY31:AY64)</f>
        <v/>
      </c>
      <c r="AZ79" s="156"/>
      <c r="BA79" s="113"/>
    </row>
    <row r="80" spans="1:53" s="185" customFormat="1" ht="15.75" customHeight="1" x14ac:dyDescent="0.25">
      <c r="A80" s="181"/>
      <c r="B80" s="182"/>
      <c r="C80" s="182"/>
      <c r="D80" s="183"/>
      <c r="E80" s="183"/>
      <c r="F80" s="183"/>
      <c r="G80" s="183"/>
      <c r="H80" s="183"/>
      <c r="I80" s="184"/>
      <c r="K80" s="184"/>
      <c r="L80" s="178"/>
      <c r="M80" s="184"/>
      <c r="O80" s="184"/>
      <c r="Q80" s="184"/>
      <c r="R80" s="178"/>
      <c r="S80" s="184"/>
      <c r="U80" s="184"/>
      <c r="W80" s="184"/>
      <c r="Y80" s="184"/>
      <c r="Z80" s="180"/>
      <c r="AA80" s="8"/>
      <c r="AC80" s="184"/>
      <c r="AE80" s="186">
        <f>146408452/169*173</f>
        <v>149873740.80473372</v>
      </c>
      <c r="AG80" s="184"/>
      <c r="AI80" s="184"/>
      <c r="AK80" s="184"/>
      <c r="AM80" s="184"/>
      <c r="AO80" s="186">
        <v>52605702</v>
      </c>
      <c r="AQ80" s="186">
        <v>52605702</v>
      </c>
      <c r="AS80" s="186">
        <v>52605702</v>
      </c>
      <c r="AT80" s="180"/>
      <c r="AU80" s="184"/>
      <c r="AW80" s="184"/>
      <c r="AY80" s="187"/>
      <c r="AZ80" s="180"/>
      <c r="BA80" s="113"/>
    </row>
    <row r="81" spans="1:56" ht="15" customHeight="1" x14ac:dyDescent="0.25">
      <c r="A81" s="188"/>
      <c r="B81" s="167"/>
      <c r="C81" s="167"/>
      <c r="D81" s="189"/>
      <c r="E81" s="189"/>
      <c r="F81" s="189"/>
      <c r="G81" s="189"/>
      <c r="H81" s="189"/>
      <c r="I81" s="190"/>
      <c r="K81" s="190"/>
      <c r="L81" s="178"/>
      <c r="M81" s="190"/>
      <c r="O81" s="190"/>
      <c r="Q81" s="190"/>
      <c r="R81" s="178"/>
      <c r="S81" s="190"/>
      <c r="U81" s="190"/>
      <c r="W81" s="190"/>
      <c r="Y81" s="190"/>
      <c r="Z81" s="180"/>
      <c r="AA81" s="8"/>
      <c r="AC81" s="190"/>
      <c r="AE81" s="191">
        <f>(146408452-12830219.68-8665391.42)/169*173</f>
        <v>127869357.84437869</v>
      </c>
      <c r="AG81" s="190"/>
      <c r="AI81" s="190"/>
      <c r="AK81" s="190"/>
      <c r="AM81" s="190"/>
      <c r="AO81" s="191"/>
      <c r="AQ81" s="191"/>
      <c r="AS81" s="191"/>
      <c r="AT81" s="180"/>
      <c r="AU81" s="190"/>
      <c r="AW81" s="190"/>
      <c r="AY81" s="162"/>
      <c r="AZ81" s="180"/>
      <c r="BA81" s="113"/>
    </row>
    <row r="82" spans="1:56" s="137" customFormat="1" ht="15" customHeight="1" x14ac:dyDescent="0.25">
      <c r="A82" s="188"/>
      <c r="B82" s="167"/>
      <c r="C82" s="167"/>
      <c r="D82" s="189"/>
      <c r="E82" s="189"/>
      <c r="F82" s="189"/>
      <c r="G82" s="189"/>
      <c r="H82" s="189"/>
      <c r="I82" s="190">
        <f>IF(I12=0,0,I84/I12)</f>
        <v>0</v>
      </c>
      <c r="K82" s="190">
        <f>IF(K12=0,0,K84/K12)</f>
        <v>0</v>
      </c>
      <c r="L82" s="178"/>
      <c r="M82" s="190">
        <f>IF(M12=0,0,M84/M12)</f>
        <v>0</v>
      </c>
      <c r="O82" s="190">
        <f>IF(O12=0,0,O84/O12)</f>
        <v>0</v>
      </c>
      <c r="Q82" s="190">
        <f>IF(Q12=0,0,Q84/Q12)</f>
        <v>0</v>
      </c>
      <c r="R82" s="178"/>
      <c r="S82" s="190">
        <f>IF(S12=0,0,S84/S12)</f>
        <v>0</v>
      </c>
      <c r="U82" s="190"/>
      <c r="W82" s="190">
        <f>IF(W12=0,0,W84/W12)</f>
        <v>0</v>
      </c>
      <c r="Y82" s="190">
        <f>IF(Y12=0,0,Y84/Y12)</f>
        <v>0</v>
      </c>
      <c r="Z82" s="180"/>
      <c r="AA82" s="8"/>
      <c r="AC82" s="190">
        <f>IF(AC12=0,0,AC84/AC12)</f>
        <v>0</v>
      </c>
      <c r="AE82" s="190">
        <f>IF(AE12=0,0,AE84/AE12)</f>
        <v>0</v>
      </c>
      <c r="AG82" s="190">
        <f>IF(AG12=0,0,AG84/AG12)</f>
        <v>0</v>
      </c>
      <c r="AI82" s="190">
        <f>IF(AI12=0,0,AI84/AI12)</f>
        <v>0</v>
      </c>
      <c r="AK82" s="190">
        <f>IF(AK12=0,0,AK84/AK12)</f>
        <v>0</v>
      </c>
      <c r="AM82" s="190">
        <f>IF(AM12=0,0,AM84/AM12)</f>
        <v>0</v>
      </c>
      <c r="AO82" s="190">
        <f>IF(AO12=0,0,AO84/AO12)</f>
        <v>0</v>
      </c>
      <c r="AQ82" s="190">
        <f>IF(AQ12=0,0,AQ84/AQ12)</f>
        <v>0</v>
      </c>
      <c r="AS82" s="190">
        <f>IF(AS12=0,0,AS84/AS12)</f>
        <v>0</v>
      </c>
      <c r="AT82" s="180"/>
      <c r="AU82" s="190">
        <f>IF(AU12=0,0,AU84/AU12)</f>
        <v>0</v>
      </c>
      <c r="AW82" s="190">
        <f>IF(AW12=0,0,AW84/AW12)</f>
        <v>0</v>
      </c>
      <c r="AY82" s="162">
        <f>IF(AY12=0,0,AY84/AY12)</f>
        <v>0</v>
      </c>
      <c r="AZ82" s="180"/>
      <c r="BA82" s="113"/>
    </row>
    <row r="83" spans="1:56" s="137" customFormat="1" ht="15" customHeight="1" x14ac:dyDescent="0.25">
      <c r="A83" s="160" t="s">
        <v>360</v>
      </c>
      <c r="C83" s="5"/>
      <c r="I83" s="192" t="str">
        <f ca="1">IFERROR(I75/I17,0)</f>
        <v/>
      </c>
      <c r="J83" s="4"/>
      <c r="K83" s="192" t="str">
        <f ca="1">IFERROR(K75/K17,0)</f>
        <v/>
      </c>
      <c r="L83" s="193"/>
      <c r="M83" s="192">
        <f>IFERROR(M75/M17,0)</f>
        <v>0</v>
      </c>
      <c r="O83" s="192">
        <f>IFERROR(O75/O17,0)</f>
        <v>0</v>
      </c>
      <c r="Q83" s="192" t="str">
        <f ca="1">IFERROR(Q75/Q17,0)</f>
        <v/>
      </c>
      <c r="R83" s="193"/>
      <c r="S83" s="192" t="str">
        <f ca="1">IFERROR(S75/S17,0)</f>
        <v/>
      </c>
      <c r="U83" s="192"/>
      <c r="W83" s="192" t="str">
        <f ca="1">IFERROR(W75/W17,0)</f>
        <v/>
      </c>
      <c r="Y83" s="192" t="str">
        <f ca="1">IFERROR(Y75/Y17,0)</f>
        <v/>
      </c>
      <c r="Z83" s="194"/>
      <c r="AA83" s="8"/>
      <c r="AC83" s="192" t="str">
        <f ca="1">IFERROR(AC75/AC17,0)</f>
        <v/>
      </c>
      <c r="AE83" s="192" t="str">
        <f ca="1">IFERROR(AE75/AE17,0)</f>
        <v/>
      </c>
      <c r="AG83" s="192" t="str">
        <f ca="1">IFERROR(AG75/AG17,0)</f>
        <v/>
      </c>
      <c r="AI83" s="192" t="str">
        <f ca="1">IFERROR(AI75/AI17,0)</f>
        <v/>
      </c>
      <c r="AK83" s="192" t="str">
        <f ca="1">IFERROR(AK75/AK17,0)</f>
        <v/>
      </c>
      <c r="AM83" s="192" t="str">
        <f ca="1">IFERROR(AM75/AM17,0)</f>
        <v/>
      </c>
      <c r="AO83" s="192" t="str">
        <f ca="1">IFERROR(AO75/AO17,0)</f>
        <v/>
      </c>
      <c r="AQ83" s="192" t="str">
        <f ca="1">IFERROR(AQ75/AQ17,0)</f>
        <v/>
      </c>
      <c r="AS83" s="192" t="str">
        <f ca="1">IFERROR(AS75/AS17,0)</f>
        <v/>
      </c>
      <c r="AT83" s="156"/>
      <c r="AU83" s="192" t="str">
        <f ca="1">IFERROR(AU75/AU17,0)</f>
        <v/>
      </c>
      <c r="AW83" s="192" t="str">
        <f ca="1">IFERROR(AW75/AW17,0)</f>
        <v/>
      </c>
      <c r="AY83" s="195" t="e">
        <f>SUM(AY84:AY90)</f>
        <v>#DIV/0!</v>
      </c>
      <c r="AZ83" s="156"/>
      <c r="BA83" s="113"/>
    </row>
    <row r="84" spans="1:56" s="137" customFormat="1" ht="15" customHeight="1" x14ac:dyDescent="0.25">
      <c r="A84" s="196"/>
      <c r="B84" s="197"/>
      <c r="C84" s="197"/>
      <c r="D84" s="198"/>
      <c r="E84" s="198"/>
      <c r="F84" s="199">
        <v>0</v>
      </c>
      <c r="G84" s="198"/>
      <c r="H84" s="198"/>
      <c r="I84" s="200">
        <f>$F$84*I12</f>
        <v>0</v>
      </c>
      <c r="J84" s="4"/>
      <c r="K84" s="200">
        <f>$F$84*K12</f>
        <v>0</v>
      </c>
      <c r="L84" s="178"/>
      <c r="M84" s="200">
        <f>$F$84*M12</f>
        <v>0</v>
      </c>
      <c r="O84" s="200">
        <f>$F$84*O12</f>
        <v>0</v>
      </c>
      <c r="Q84" s="200">
        <f>$F$84*Q12</f>
        <v>0</v>
      </c>
      <c r="R84" s="178"/>
      <c r="S84" s="200">
        <f>$F$84*S12</f>
        <v>0</v>
      </c>
      <c r="U84" s="200"/>
      <c r="W84" s="200">
        <f>$F$84*W12</f>
        <v>0</v>
      </c>
      <c r="Y84" s="200">
        <f>$F$84*Y12</f>
        <v>0</v>
      </c>
      <c r="Z84" s="180"/>
      <c r="AA84" s="8"/>
      <c r="AC84" s="200">
        <f>$F$84*AC12</f>
        <v>0</v>
      </c>
      <c r="AE84" s="200">
        <f>$F$84*AE12</f>
        <v>0</v>
      </c>
      <c r="AG84" s="200">
        <f>$F$84*AG12</f>
        <v>0</v>
      </c>
      <c r="AI84" s="200">
        <f>$F$84*AI12</f>
        <v>0</v>
      </c>
      <c r="AK84" s="200">
        <f>$F$84*AK12</f>
        <v>0</v>
      </c>
      <c r="AM84" s="200">
        <f>$F$84*AM12</f>
        <v>0</v>
      </c>
      <c r="AO84" s="200">
        <f>$F$84*AO12</f>
        <v>0</v>
      </c>
      <c r="AQ84" s="200">
        <f>$F$84*AQ12</f>
        <v>0</v>
      </c>
      <c r="AS84" s="200">
        <f>$F$84*AS12</f>
        <v>0</v>
      </c>
      <c r="AT84" s="180"/>
      <c r="AU84" s="200">
        <f>$F$84*AU12</f>
        <v>0</v>
      </c>
      <c r="AW84" s="200">
        <f>$F$84*AW12</f>
        <v>0</v>
      </c>
      <c r="AY84" s="201">
        <f t="shared" ref="AY84:AY90" si="2">SUM(I84:AW84)</f>
        <v>0</v>
      </c>
      <c r="AZ84" s="180"/>
      <c r="BA84" s="113"/>
    </row>
    <row r="85" spans="1:56" s="137" customFormat="1" ht="15" customHeight="1" x14ac:dyDescent="0.25">
      <c r="A85" s="79" t="s">
        <v>361</v>
      </c>
      <c r="B85" s="5" t="s">
        <v>362</v>
      </c>
      <c r="C85" s="5"/>
      <c r="D85" s="4"/>
      <c r="E85" s="4"/>
      <c r="H85" s="202"/>
      <c r="I85" s="203" t="s">
        <v>363</v>
      </c>
      <c r="J85" s="4"/>
      <c r="K85" s="203" t="s">
        <v>364</v>
      </c>
      <c r="L85" s="204"/>
      <c r="M85" s="203" t="s">
        <v>365</v>
      </c>
      <c r="O85" s="203" t="s">
        <v>366</v>
      </c>
      <c r="Q85" s="205" t="s">
        <v>367</v>
      </c>
      <c r="R85" s="204"/>
      <c r="S85" s="205" t="s">
        <v>368</v>
      </c>
      <c r="U85" s="206"/>
      <c r="W85" s="205" t="s">
        <v>369</v>
      </c>
      <c r="Y85" s="205" t="s">
        <v>370</v>
      </c>
      <c r="Z85" s="65"/>
      <c r="AA85" s="8"/>
      <c r="AC85" s="205" t="s">
        <v>371</v>
      </c>
      <c r="AE85" s="205" t="s">
        <v>372</v>
      </c>
      <c r="AG85" s="205" t="s">
        <v>373</v>
      </c>
      <c r="AI85" s="205" t="s">
        <v>374</v>
      </c>
      <c r="AK85" s="205" t="s">
        <v>375</v>
      </c>
      <c r="AM85" s="205" t="s">
        <v>376</v>
      </c>
      <c r="AO85" s="205" t="s">
        <v>377</v>
      </c>
      <c r="AQ85" s="205" t="s">
        <v>378</v>
      </c>
      <c r="AS85" s="205" t="s">
        <v>379</v>
      </c>
      <c r="AT85" s="65"/>
      <c r="AU85" s="205" t="s">
        <v>380</v>
      </c>
      <c r="AW85" s="205" t="s">
        <v>381</v>
      </c>
      <c r="AY85" s="207">
        <f t="shared" si="2"/>
        <v>0</v>
      </c>
      <c r="AZ85" s="65"/>
      <c r="BA85" s="113"/>
    </row>
    <row r="86" spans="1:56" s="10" customFormat="1" ht="15" customHeight="1" x14ac:dyDescent="0.25">
      <c r="A86" s="208"/>
      <c r="F86" s="209">
        <v>0</v>
      </c>
      <c r="G86" s="210" t="s">
        <v>382</v>
      </c>
      <c r="H86" s="185" t="s">
        <v>383</v>
      </c>
      <c r="I86" s="211" t="e">
        <f>$F$86*(I10/$AY$10)*4</f>
        <v>#DIV/0!</v>
      </c>
      <c r="J86" s="212"/>
      <c r="K86" s="211" t="e">
        <f>$F$86*(K10/$AY$10)*4</f>
        <v>#DIV/0!</v>
      </c>
      <c r="L86" s="213"/>
      <c r="M86" s="211" t="e">
        <f>$F$86*(M10/$AY$10)*4</f>
        <v>#DIV/0!</v>
      </c>
      <c r="O86" s="211" t="e">
        <f>$F$86*(O10/$AY$10)*4</f>
        <v>#DIV/0!</v>
      </c>
      <c r="Q86" s="211" t="e">
        <f>$F$86*(Q10/$AY$10)*4</f>
        <v>#DIV/0!</v>
      </c>
      <c r="R86" s="213"/>
      <c r="S86" s="211" t="e">
        <f>$F$86*(S10/$AY$10)*4</f>
        <v>#DIV/0!</v>
      </c>
      <c r="U86" s="211"/>
      <c r="W86" s="211" t="e">
        <f>$F$86*(W10/$AY$10)*4</f>
        <v>#DIV/0!</v>
      </c>
      <c r="Y86" s="211" t="e">
        <f>$F$86*(Y10/$AY$10)*4</f>
        <v>#DIV/0!</v>
      </c>
      <c r="AA86" s="8"/>
      <c r="AC86" s="211" t="e">
        <f>$F$86*(AC10/$AY$10)*4</f>
        <v>#DIV/0!</v>
      </c>
      <c r="AE86" s="211" t="e">
        <f>$F$86*(AE10/$AY$10)*4</f>
        <v>#DIV/0!</v>
      </c>
      <c r="AG86" s="211" t="e">
        <f>$F$86*(AG10/$AY$10)*4</f>
        <v>#DIV/0!</v>
      </c>
      <c r="AI86" s="211" t="e">
        <f>$F$86*(AI10/$AY$10)*4</f>
        <v>#DIV/0!</v>
      </c>
      <c r="AK86" s="211" t="e">
        <f>$F$86*(AK10/$AY$10)*4</f>
        <v>#DIV/0!</v>
      </c>
      <c r="AM86" s="211" t="e">
        <f>$F$86*(AM10/$AY$10)*4</f>
        <v>#DIV/0!</v>
      </c>
      <c r="AO86" s="211" t="e">
        <f>$F$86*(AO10/$AY$10)*4</f>
        <v>#DIV/0!</v>
      </c>
      <c r="AQ86" s="211" t="e">
        <f>$F$86*(AQ10/$AY$10)*4</f>
        <v>#DIV/0!</v>
      </c>
      <c r="AS86" s="211" t="e">
        <f>$F$86*(AS10/$AY$10)*4</f>
        <v>#DIV/0!</v>
      </c>
      <c r="AU86" s="211" t="e">
        <f>$F$86*(AU10/$AY$10)*4</f>
        <v>#DIV/0!</v>
      </c>
      <c r="AW86" s="211" t="e">
        <f>$F$86*(AW10/$AY$10)*4</f>
        <v>#DIV/0!</v>
      </c>
      <c r="AY86" s="211" t="e">
        <f t="shared" si="2"/>
        <v>#DIV/0!</v>
      </c>
      <c r="BA86" s="214"/>
    </row>
    <row r="87" spans="1:56" ht="15" customHeight="1" x14ac:dyDescent="0.25">
      <c r="A87" s="641">
        <v>5</v>
      </c>
      <c r="B87" s="658" t="s">
        <v>384</v>
      </c>
      <c r="C87" s="644"/>
      <c r="D87" s="217"/>
      <c r="E87" s="217"/>
      <c r="F87" s="29">
        <v>0</v>
      </c>
      <c r="G87" s="218" t="s">
        <v>382</v>
      </c>
      <c r="H87" s="217"/>
      <c r="I87" s="219" t="e">
        <f>$F$87*(I10/$AY$10)*4</f>
        <v>#DIV/0!</v>
      </c>
      <c r="J87" s="4"/>
      <c r="K87" s="219" t="e">
        <f>$F$87*(K10/$AY$10)*4</f>
        <v>#DIV/0!</v>
      </c>
      <c r="L87" s="220"/>
      <c r="M87" s="219" t="e">
        <f>$F$87*(M10/$AY$10)*4</f>
        <v>#DIV/0!</v>
      </c>
      <c r="O87" s="219" t="e">
        <f>$F$87*(O10/$AY$10)*4</f>
        <v>#DIV/0!</v>
      </c>
      <c r="Q87" s="219" t="e">
        <f>$F$87*(Q10/$AY$10)*4</f>
        <v>#DIV/0!</v>
      </c>
      <c r="R87" s="220"/>
      <c r="S87" s="219" t="e">
        <f>$F$87*(S10/$AY$10)*4</f>
        <v>#DIV/0!</v>
      </c>
      <c r="U87" s="221"/>
      <c r="W87" s="219" t="e">
        <f>$F$87*(W10/$AY$10)*4</f>
        <v>#DIV/0!</v>
      </c>
      <c r="Y87" s="219" t="e">
        <f>$F$87*(Y10/$AY$10)*4</f>
        <v>#DIV/0!</v>
      </c>
      <c r="Z87" s="149"/>
      <c r="AA87" s="8"/>
      <c r="AC87" s="219" t="e">
        <f>$F$87*(AC10/$AY$10)*4</f>
        <v>#DIV/0!</v>
      </c>
      <c r="AE87" s="219" t="e">
        <f>$F$87*(AE10/$AY$10)*4</f>
        <v>#DIV/0!</v>
      </c>
      <c r="AG87" s="219" t="e">
        <f>$F$87*(AG10/$AY$10)*4</f>
        <v>#DIV/0!</v>
      </c>
      <c r="AI87" s="219" t="e">
        <f>$F$87*(AI10/$AY$10)*4</f>
        <v>#DIV/0!</v>
      </c>
      <c r="AK87" s="219" t="e">
        <f>$F$87*(AK10/$AY$10)*4</f>
        <v>#DIV/0!</v>
      </c>
      <c r="AM87" s="219" t="e">
        <f>$F$87*(AM10/$AY$10)*4</f>
        <v>#DIV/0!</v>
      </c>
      <c r="AO87" s="219" t="e">
        <f>$F$87*(AO10/$AY$10)*4</f>
        <v>#DIV/0!</v>
      </c>
      <c r="AQ87" s="219" t="e">
        <f>$F$87*(AQ10/$AY$10)*4</f>
        <v>#DIV/0!</v>
      </c>
      <c r="AS87" s="219" t="e">
        <f>$F$87*(AS10/$AY$10)*4</f>
        <v>#DIV/0!</v>
      </c>
      <c r="AT87" s="149"/>
      <c r="AU87" s="219" t="e">
        <f>$F$87*(AU10/$AY$10)*4</f>
        <v>#DIV/0!</v>
      </c>
      <c r="AW87" s="219" t="e">
        <f>$F$87*(AW10/$AY$10)*4</f>
        <v>#DIV/0!</v>
      </c>
      <c r="AY87" s="222" t="e">
        <f t="shared" si="2"/>
        <v>#DIV/0!</v>
      </c>
      <c r="AZ87" s="156"/>
      <c r="BA87" s="113"/>
      <c r="BD87" s="223"/>
    </row>
    <row r="88" spans="1:56" ht="15" customHeight="1" x14ac:dyDescent="0.25">
      <c r="A88" s="642"/>
      <c r="B88" s="644"/>
      <c r="C88" s="644"/>
      <c r="F88" s="224">
        <v>0</v>
      </c>
      <c r="I88" s="225" t="s">
        <v>385</v>
      </c>
      <c r="J88" s="80"/>
      <c r="K88" s="225" t="s">
        <v>386</v>
      </c>
      <c r="L88" s="226"/>
      <c r="M88" s="225" t="s">
        <v>387</v>
      </c>
      <c r="N88" s="227"/>
      <c r="O88" s="225" t="s">
        <v>388</v>
      </c>
      <c r="P88" s="227"/>
      <c r="Q88" s="225" t="s">
        <v>389</v>
      </c>
      <c r="R88" s="226"/>
      <c r="S88" s="225" t="s">
        <v>390</v>
      </c>
      <c r="T88" s="227"/>
      <c r="U88" s="225"/>
      <c r="V88" s="227"/>
      <c r="W88" s="225" t="s">
        <v>391</v>
      </c>
      <c r="X88" s="227"/>
      <c r="Y88" s="225" t="s">
        <v>392</v>
      </c>
      <c r="Z88" s="227"/>
      <c r="AA88" s="8"/>
      <c r="AB88" s="227"/>
      <c r="AC88" s="225" t="s">
        <v>393</v>
      </c>
      <c r="AD88" s="227"/>
      <c r="AE88" s="225" t="s">
        <v>394</v>
      </c>
      <c r="AF88" s="227"/>
      <c r="AG88" s="225" t="s">
        <v>395</v>
      </c>
      <c r="AH88" s="227"/>
      <c r="AI88" s="225" t="s">
        <v>396</v>
      </c>
      <c r="AJ88" s="227"/>
      <c r="AK88" s="225" t="s">
        <v>397</v>
      </c>
      <c r="AL88" s="227"/>
      <c r="AM88" s="225" t="s">
        <v>398</v>
      </c>
      <c r="AN88" s="227"/>
      <c r="AO88" s="225" t="s">
        <v>399</v>
      </c>
      <c r="AP88" s="227"/>
      <c r="AQ88" s="225" t="s">
        <v>400</v>
      </c>
      <c r="AR88" s="227"/>
      <c r="AS88" s="225" t="s">
        <v>401</v>
      </c>
      <c r="AT88" s="227"/>
      <c r="AU88" s="225" t="s">
        <v>402</v>
      </c>
      <c r="AV88" s="227"/>
      <c r="AW88" s="225" t="s">
        <v>403</v>
      </c>
      <c r="AX88" s="227"/>
      <c r="AY88" s="135">
        <f t="shared" si="2"/>
        <v>0</v>
      </c>
      <c r="AZ88" s="156"/>
      <c r="BA88" s="113"/>
      <c r="BC88" s="10"/>
      <c r="BD88" s="228"/>
    </row>
    <row r="89" spans="1:56" ht="15" customHeight="1" x14ac:dyDescent="0.25">
      <c r="A89" s="642"/>
      <c r="B89" s="644"/>
      <c r="C89" s="644"/>
      <c r="D89" s="229">
        <v>0.15</v>
      </c>
      <c r="E89" s="230">
        <v>0.3</v>
      </c>
      <c r="F89" s="231" t="s">
        <v>404</v>
      </c>
      <c r="G89" s="137" t="s">
        <v>405</v>
      </c>
      <c r="H89" s="20"/>
      <c r="I89" s="225" t="s">
        <v>406</v>
      </c>
      <c r="J89" s="232"/>
      <c r="K89" s="225" t="s">
        <v>407</v>
      </c>
      <c r="L89" s="226"/>
      <c r="M89" s="225" t="s">
        <v>408</v>
      </c>
      <c r="O89" s="225" t="s">
        <v>409</v>
      </c>
      <c r="Q89" s="225" t="s">
        <v>410</v>
      </c>
      <c r="R89" s="226"/>
      <c r="S89" s="225" t="s">
        <v>411</v>
      </c>
      <c r="U89" s="225"/>
      <c r="W89" s="225" t="s">
        <v>412</v>
      </c>
      <c r="Y89" s="225" t="s">
        <v>413</v>
      </c>
      <c r="Z89" s="227"/>
      <c r="AA89" s="8"/>
      <c r="AB89" s="227"/>
      <c r="AC89" s="225" t="s">
        <v>414</v>
      </c>
      <c r="AE89" s="225" t="s">
        <v>415</v>
      </c>
      <c r="AG89" s="225" t="s">
        <v>416</v>
      </c>
      <c r="AI89" s="225" t="s">
        <v>417</v>
      </c>
      <c r="AK89" s="225" t="s">
        <v>418</v>
      </c>
      <c r="AM89" s="225" t="s">
        <v>419</v>
      </c>
      <c r="AO89" s="225" t="s">
        <v>420</v>
      </c>
      <c r="AQ89" s="225" t="s">
        <v>421</v>
      </c>
      <c r="AS89" s="225" t="s">
        <v>422</v>
      </c>
      <c r="AT89" s="233"/>
      <c r="AU89" s="225" t="s">
        <v>423</v>
      </c>
      <c r="AW89" s="225" t="s">
        <v>424</v>
      </c>
      <c r="AY89" s="135">
        <f t="shared" si="2"/>
        <v>0</v>
      </c>
      <c r="AZ89" s="156"/>
      <c r="BA89" s="113"/>
    </row>
    <row r="90" spans="1:56" s="137" customFormat="1" ht="15" customHeight="1" x14ac:dyDescent="0.25">
      <c r="A90" s="234"/>
      <c r="B90" s="137">
        <v>5.3</v>
      </c>
      <c r="C90" s="137" t="s">
        <v>425</v>
      </c>
      <c r="F90" s="235">
        <v>0</v>
      </c>
      <c r="G90" s="137" t="s">
        <v>382</v>
      </c>
      <c r="H90" s="227"/>
      <c r="I90" s="236" t="s">
        <v>426</v>
      </c>
      <c r="J90" s="237"/>
      <c r="K90" s="225" t="s">
        <v>427</v>
      </c>
      <c r="L90" s="226"/>
      <c r="M90" s="225" t="s">
        <v>428</v>
      </c>
      <c r="O90" s="225" t="s">
        <v>429</v>
      </c>
      <c r="Q90" s="225" t="s">
        <v>430</v>
      </c>
      <c r="R90" s="226"/>
      <c r="S90" s="225" t="s">
        <v>431</v>
      </c>
      <c r="U90" s="225"/>
      <c r="W90" s="225" t="s">
        <v>432</v>
      </c>
      <c r="Y90" s="225" t="s">
        <v>433</v>
      </c>
      <c r="Z90" s="227"/>
      <c r="AA90" s="8"/>
      <c r="AC90" s="225" t="s">
        <v>434</v>
      </c>
      <c r="AE90" s="225" t="s">
        <v>435</v>
      </c>
      <c r="AG90" s="225" t="s">
        <v>436</v>
      </c>
      <c r="AI90" s="225" t="s">
        <v>437</v>
      </c>
      <c r="AK90" s="225" t="s">
        <v>438</v>
      </c>
      <c r="AM90" s="225" t="s">
        <v>439</v>
      </c>
      <c r="AO90" s="225" t="s">
        <v>440</v>
      </c>
      <c r="AQ90" s="225" t="s">
        <v>441</v>
      </c>
      <c r="AS90" s="225" t="s">
        <v>442</v>
      </c>
      <c r="AT90" s="227"/>
      <c r="AU90" s="225" t="s">
        <v>443</v>
      </c>
      <c r="AW90" s="225" t="s">
        <v>444</v>
      </c>
      <c r="AY90" s="135">
        <f t="shared" si="2"/>
        <v>0</v>
      </c>
      <c r="AZ90" s="194"/>
      <c r="BA90" s="113"/>
    </row>
    <row r="91" spans="1:56" s="137" customFormat="1" ht="15" customHeight="1" x14ac:dyDescent="0.25">
      <c r="A91" s="234"/>
      <c r="B91" s="137">
        <f>B84+0.1</f>
        <v>0.1</v>
      </c>
      <c r="C91" s="137" t="s">
        <v>445</v>
      </c>
      <c r="F91" s="235">
        <v>0</v>
      </c>
      <c r="G91" s="137" t="s">
        <v>382</v>
      </c>
      <c r="I91" s="236" t="e">
        <f>F85*(I11/$AY$10)*4</f>
        <v>#DIV/0!</v>
      </c>
      <c r="J91" s="237"/>
      <c r="K91" s="225" t="e">
        <f>+$F85*(K10/$AY$10)*4</f>
        <v>#DIV/0!</v>
      </c>
      <c r="L91" s="226"/>
      <c r="M91" s="225" t="e">
        <f>+$F85*(M10/$AY$10)*4</f>
        <v>#DIV/0!</v>
      </c>
      <c r="O91" s="225" t="e">
        <f>+$F85*(O10/$AY$10)*4</f>
        <v>#DIV/0!</v>
      </c>
      <c r="Q91" s="225" t="e">
        <f>+$F85*(Q10/$AY$10)*6</f>
        <v>#DIV/0!</v>
      </c>
      <c r="R91" s="226"/>
      <c r="S91" s="225" t="e">
        <f>+$F85*(S10/$AY$10)*6</f>
        <v>#DIV/0!</v>
      </c>
      <c r="U91" s="225"/>
      <c r="W91" s="225" t="e">
        <f>+$F85*(W10/$AY$10)*8</f>
        <v>#DIV/0!</v>
      </c>
      <c r="Y91" s="225" t="e">
        <f>+$F85*(Y10/$AY$10)*10</f>
        <v>#DIV/0!</v>
      </c>
      <c r="Z91" s="227"/>
      <c r="AA91" s="8"/>
      <c r="AC91" s="225" t="e">
        <f>+$F85*(AC10/$AY$10)*4</f>
        <v>#DIV/0!</v>
      </c>
      <c r="AE91" s="225" t="e">
        <f>+$F85*(AE10/$AY$10)*4</f>
        <v>#DIV/0!</v>
      </c>
      <c r="AG91" s="225" t="e">
        <f>+$F85*(AG10/$AY$10)*6</f>
        <v>#DIV/0!</v>
      </c>
      <c r="AI91" s="225" t="e">
        <f>+$F85*(AI10/$AY$10)*6</f>
        <v>#DIV/0!</v>
      </c>
      <c r="AK91" s="225" t="e">
        <f>+$F85*(AK10/$AY$10)*8</f>
        <v>#DIV/0!</v>
      </c>
      <c r="AM91" s="225" t="e">
        <f>+$F85*(AM10/$AY$10)*8</f>
        <v>#DIV/0!</v>
      </c>
      <c r="AO91" s="225" t="e">
        <f>+$F85*(AO10/$AY$10)*10</f>
        <v>#DIV/0!</v>
      </c>
      <c r="AQ91" s="225" t="e">
        <f>+$F85*(AQ10/$AY$10)*10</f>
        <v>#DIV/0!</v>
      </c>
      <c r="AS91" s="225" t="e">
        <f>+$F85*(AS10/$AY$10)*10</f>
        <v>#DIV/0!</v>
      </c>
      <c r="AT91" s="227"/>
      <c r="AU91" s="225" t="e">
        <f>+$F85*(AU10/$AY$10)*10</f>
        <v>#DIV/0!</v>
      </c>
      <c r="AW91" s="225" t="e">
        <f>+$F85*(AW10/$AY$10)*10</f>
        <v>#DIV/0!</v>
      </c>
      <c r="AY91" s="135">
        <f t="shared" ref="AY91:AY97" si="3">SUM(I85:AW85)</f>
        <v>0</v>
      </c>
      <c r="AZ91" s="194"/>
      <c r="BA91" s="113"/>
    </row>
    <row r="92" spans="1:56" s="137" customFormat="1" ht="15" customHeight="1" x14ac:dyDescent="0.25">
      <c r="B92" s="137" t="s">
        <v>446</v>
      </c>
      <c r="C92" s="238" t="s">
        <v>447</v>
      </c>
      <c r="F92" s="163">
        <v>0.03</v>
      </c>
      <c r="G92" s="239" t="s">
        <v>448</v>
      </c>
      <c r="I92" s="618" t="s">
        <v>449</v>
      </c>
      <c r="K92" s="72" t="s">
        <v>450</v>
      </c>
      <c r="M92" s="72" t="s">
        <v>451</v>
      </c>
      <c r="O92" s="72" t="s">
        <v>452</v>
      </c>
      <c r="Q92" s="72" t="s">
        <v>453</v>
      </c>
      <c r="S92" s="72" t="s">
        <v>454</v>
      </c>
      <c r="W92" s="72" t="s">
        <v>455</v>
      </c>
      <c r="Y92" s="72" t="s">
        <v>456</v>
      </c>
      <c r="AC92" s="72" t="s">
        <v>457</v>
      </c>
      <c r="AE92" s="72" t="s">
        <v>458</v>
      </c>
      <c r="AG92" s="72" t="s">
        <v>459</v>
      </c>
      <c r="AI92" s="72" t="s">
        <v>460</v>
      </c>
      <c r="AK92" s="72" t="s">
        <v>461</v>
      </c>
      <c r="AM92" s="72" t="s">
        <v>462</v>
      </c>
      <c r="AO92" s="72" t="s">
        <v>463</v>
      </c>
      <c r="AQ92" s="72" t="s">
        <v>464</v>
      </c>
      <c r="AS92" s="72" t="s">
        <v>465</v>
      </c>
      <c r="AU92" s="72" t="s">
        <v>466</v>
      </c>
      <c r="AW92" s="72" t="s">
        <v>467</v>
      </c>
      <c r="AY92" s="72" t="e">
        <f t="shared" si="3"/>
        <v>#DIV/0!</v>
      </c>
    </row>
    <row r="93" spans="1:56" s="137" customFormat="1" ht="15" customHeight="1" x14ac:dyDescent="0.25">
      <c r="B93" s="137" t="s">
        <v>468</v>
      </c>
      <c r="C93" s="238" t="s">
        <v>469</v>
      </c>
      <c r="F93" s="240">
        <v>2.5000000000000001E-3</v>
      </c>
      <c r="G93" s="239" t="s">
        <v>470</v>
      </c>
      <c r="I93" s="618" t="s">
        <v>471</v>
      </c>
      <c r="K93" s="72" t="s">
        <v>472</v>
      </c>
      <c r="M93" s="72" t="s">
        <v>473</v>
      </c>
      <c r="O93" s="72" t="s">
        <v>474</v>
      </c>
      <c r="Q93" s="72" t="s">
        <v>475</v>
      </c>
      <c r="S93" s="72" t="s">
        <v>476</v>
      </c>
      <c r="W93" s="72" t="s">
        <v>477</v>
      </c>
      <c r="Y93" s="72" t="s">
        <v>478</v>
      </c>
      <c r="AC93" s="72" t="s">
        <v>479</v>
      </c>
      <c r="AE93" s="72" t="s">
        <v>480</v>
      </c>
      <c r="AG93" s="72" t="s">
        <v>481</v>
      </c>
      <c r="AI93" s="72" t="s">
        <v>482</v>
      </c>
      <c r="AK93" s="72" t="s">
        <v>483</v>
      </c>
      <c r="AM93" s="72" t="s">
        <v>484</v>
      </c>
      <c r="AO93" s="72" t="s">
        <v>485</v>
      </c>
      <c r="AQ93" s="72" t="s">
        <v>486</v>
      </c>
      <c r="AS93" s="72" t="s">
        <v>487</v>
      </c>
      <c r="AU93" s="72" t="s">
        <v>488</v>
      </c>
      <c r="AW93" s="72" t="s">
        <v>489</v>
      </c>
      <c r="AY93" s="72" t="e">
        <f t="shared" si="3"/>
        <v>#DIV/0!</v>
      </c>
    </row>
    <row r="94" spans="1:56" s="137" customFormat="1" ht="15" customHeight="1" x14ac:dyDescent="0.25">
      <c r="B94" s="137" t="s">
        <v>490</v>
      </c>
      <c r="C94" s="238" t="s">
        <v>491</v>
      </c>
      <c r="F94" s="240">
        <v>1.25E-3</v>
      </c>
      <c r="G94" s="239" t="s">
        <v>492</v>
      </c>
      <c r="I94" s="618">
        <f>$F$88*I4</f>
        <v>0</v>
      </c>
      <c r="K94" s="72">
        <f>$F$88*K4</f>
        <v>0</v>
      </c>
      <c r="M94" s="72">
        <f>$F$88*M4</f>
        <v>0</v>
      </c>
      <c r="O94" s="72">
        <f>$F$88*O4</f>
        <v>0</v>
      </c>
      <c r="Q94" s="72">
        <f>$F$88*Q4</f>
        <v>0</v>
      </c>
      <c r="S94" s="72">
        <f>$F$88*S4</f>
        <v>0</v>
      </c>
      <c r="W94" s="72">
        <f>$F$88*W4</f>
        <v>0</v>
      </c>
      <c r="Y94" s="72">
        <f>$F$88*Y4</f>
        <v>0</v>
      </c>
      <c r="AC94" s="72">
        <f>$F$88*AC4</f>
        <v>0</v>
      </c>
      <c r="AE94" s="72">
        <f>$F$88*AE4</f>
        <v>0</v>
      </c>
      <c r="AG94" s="72">
        <f>$F$88*AG4</f>
        <v>0</v>
      </c>
      <c r="AI94" s="72">
        <f>$F$88*AI4</f>
        <v>0</v>
      </c>
      <c r="AK94" s="72">
        <f>$F$88*AK4</f>
        <v>0</v>
      </c>
      <c r="AM94" s="72">
        <f>$F$88*AM4</f>
        <v>0</v>
      </c>
      <c r="AO94" s="72">
        <f>$F$88*AO4</f>
        <v>0</v>
      </c>
      <c r="AQ94" s="72">
        <f>$F$88*AQ4</f>
        <v>0</v>
      </c>
      <c r="AS94" s="72">
        <f>$F$88*AS4</f>
        <v>0</v>
      </c>
      <c r="AU94" s="72">
        <f>$F$88*AU4</f>
        <v>0</v>
      </c>
      <c r="AW94" s="72" t="e">
        <f>$F$88*AW4</f>
        <v>#VALUE!</v>
      </c>
      <c r="AY94" s="72">
        <f t="shared" si="3"/>
        <v>0</v>
      </c>
    </row>
    <row r="95" spans="1:56" s="137" customFormat="1" ht="15" customHeight="1" x14ac:dyDescent="0.25">
      <c r="B95" s="137" t="s">
        <v>493</v>
      </c>
      <c r="C95" s="238" t="s">
        <v>494</v>
      </c>
      <c r="F95" s="163">
        <v>0.01</v>
      </c>
      <c r="G95" s="239" t="s">
        <v>495</v>
      </c>
      <c r="I95" s="618" t="e">
        <f>$F$89*I4</f>
        <v>#VALUE!</v>
      </c>
      <c r="K95" s="72" t="e">
        <f>$F$89*K4</f>
        <v>#VALUE!</v>
      </c>
      <c r="M95" s="72" t="e">
        <f>$F$89*M4</f>
        <v>#VALUE!</v>
      </c>
      <c r="O95" s="72" t="e">
        <f>$F$89*O4</f>
        <v>#VALUE!</v>
      </c>
      <c r="Q95" s="72" t="e">
        <f>$F$89*Q4</f>
        <v>#VALUE!</v>
      </c>
      <c r="S95" s="72" t="e">
        <f>$F$89*S4</f>
        <v>#VALUE!</v>
      </c>
      <c r="W95" s="72" t="e">
        <f>$F$89*W4</f>
        <v>#VALUE!</v>
      </c>
      <c r="Y95" s="72" t="e">
        <f>$F$89*Y4</f>
        <v>#VALUE!</v>
      </c>
      <c r="AC95" s="72" t="e">
        <f>$F$89*AC4</f>
        <v>#VALUE!</v>
      </c>
      <c r="AE95" s="72" t="e">
        <f>$F$89*AE4</f>
        <v>#VALUE!</v>
      </c>
      <c r="AG95" s="72" t="e">
        <f>$F$89*AG4</f>
        <v>#VALUE!</v>
      </c>
      <c r="AI95" s="72" t="e">
        <f>$F$89*AI4</f>
        <v>#VALUE!</v>
      </c>
      <c r="AK95" s="72" t="e">
        <f>$F$89*AK4</f>
        <v>#VALUE!</v>
      </c>
      <c r="AM95" s="72" t="e">
        <f>$F$89*AM4</f>
        <v>#VALUE!</v>
      </c>
      <c r="AO95" s="72" t="e">
        <f>$F$89*AO4</f>
        <v>#VALUE!</v>
      </c>
      <c r="AQ95" s="72" t="e">
        <f>$F$89*AQ4</f>
        <v>#VALUE!</v>
      </c>
      <c r="AS95" s="72" t="e">
        <f>$F$89*AS4</f>
        <v>#VALUE!</v>
      </c>
      <c r="AU95" s="72" t="e">
        <f>$F$89*AU4</f>
        <v>#VALUE!</v>
      </c>
      <c r="AW95" s="72" t="e">
        <f>$F$89*AW4</f>
        <v>#VALUE!</v>
      </c>
      <c r="AY95" s="72">
        <f t="shared" si="3"/>
        <v>0</v>
      </c>
    </row>
    <row r="96" spans="1:56" s="137" customFormat="1" ht="15" customHeight="1" x14ac:dyDescent="0.25">
      <c r="B96" s="137" t="s">
        <v>496</v>
      </c>
      <c r="C96" s="238" t="s">
        <v>497</v>
      </c>
      <c r="F96" s="163">
        <v>0</v>
      </c>
      <c r="G96" s="239" t="s">
        <v>498</v>
      </c>
      <c r="I96" s="618">
        <f>$F$90*I4</f>
        <v>0</v>
      </c>
      <c r="K96" s="72">
        <f>$F$90*K4</f>
        <v>0</v>
      </c>
      <c r="M96" s="72">
        <f>$F$90*M4</f>
        <v>0</v>
      </c>
      <c r="O96" s="72">
        <f>$F$90*O4</f>
        <v>0</v>
      </c>
      <c r="Q96" s="72">
        <f>$F$90*Q4</f>
        <v>0</v>
      </c>
      <c r="S96" s="72">
        <f>$F$90*S4</f>
        <v>0</v>
      </c>
      <c r="W96" s="72">
        <f>$F$90*W4</f>
        <v>0</v>
      </c>
      <c r="Y96" s="72">
        <f>$F$90*Y4</f>
        <v>0</v>
      </c>
      <c r="AC96" s="72">
        <f>$F$90*AC4</f>
        <v>0</v>
      </c>
      <c r="AE96" s="72">
        <f>$F$90*AE4</f>
        <v>0</v>
      </c>
      <c r="AG96" s="72">
        <f>$F$90*AG4</f>
        <v>0</v>
      </c>
      <c r="AI96" s="72">
        <f>$F$90*AI4</f>
        <v>0</v>
      </c>
      <c r="AK96" s="72">
        <f>$F$90*AK4</f>
        <v>0</v>
      </c>
      <c r="AM96" s="72">
        <f>$F$90*AM4</f>
        <v>0</v>
      </c>
      <c r="AO96" s="72">
        <f>$F$90*AO4</f>
        <v>0</v>
      </c>
      <c r="AQ96" s="72">
        <f>$F$90*AQ4</f>
        <v>0</v>
      </c>
      <c r="AS96" s="72">
        <f>$F$90*AS4</f>
        <v>0</v>
      </c>
      <c r="AU96" s="72">
        <f>$F$90*AU4</f>
        <v>0</v>
      </c>
      <c r="AW96" s="72" t="e">
        <f>$F$90*AW4</f>
        <v>#VALUE!</v>
      </c>
      <c r="AY96" s="72">
        <f t="shared" si="3"/>
        <v>0</v>
      </c>
    </row>
    <row r="97" spans="1:53" s="137" customFormat="1" ht="15" customHeight="1" x14ac:dyDescent="0.25">
      <c r="B97" s="137" t="s">
        <v>499</v>
      </c>
      <c r="C97" s="238" t="s">
        <v>500</v>
      </c>
      <c r="F97" s="241">
        <v>0</v>
      </c>
      <c r="G97" s="239" t="s">
        <v>501</v>
      </c>
      <c r="I97" s="618">
        <f>$F$91*I4</f>
        <v>0</v>
      </c>
      <c r="K97" s="72">
        <f>$F$91*K4</f>
        <v>0</v>
      </c>
      <c r="M97" s="72">
        <f>$F$91*M4</f>
        <v>0</v>
      </c>
      <c r="O97" s="72">
        <f>$F$91*O4</f>
        <v>0</v>
      </c>
      <c r="Q97" s="72">
        <f>$F$91*Q4</f>
        <v>0</v>
      </c>
      <c r="S97" s="72">
        <f>$F$91*S4</f>
        <v>0</v>
      </c>
      <c r="W97" s="72">
        <f>$F$91*W4</f>
        <v>0</v>
      </c>
      <c r="Y97" s="72">
        <f>$F$91*Y4</f>
        <v>0</v>
      </c>
      <c r="AC97" s="72">
        <f>$F$91*AC4</f>
        <v>0</v>
      </c>
      <c r="AE97" s="72">
        <f>$F$91*AE4</f>
        <v>0</v>
      </c>
      <c r="AG97" s="72">
        <f>$F$91*AG4</f>
        <v>0</v>
      </c>
      <c r="AI97" s="72">
        <f>$F$91*AI4</f>
        <v>0</v>
      </c>
      <c r="AK97" s="72">
        <f>$F$91*AK4</f>
        <v>0</v>
      </c>
      <c r="AM97" s="72">
        <f>$F$91*AM4</f>
        <v>0</v>
      </c>
      <c r="AO97" s="72">
        <f>$F$91*AO4</f>
        <v>0</v>
      </c>
      <c r="AQ97" s="72">
        <f>$F$91*AQ4</f>
        <v>0</v>
      </c>
      <c r="AS97" s="72">
        <f>$F$91*AS4</f>
        <v>0</v>
      </c>
      <c r="AU97" s="72">
        <f>$F$91*AU4</f>
        <v>0</v>
      </c>
      <c r="AW97" s="72" t="e">
        <f>$F$91*AW4</f>
        <v>#VALUE!</v>
      </c>
      <c r="AY97" s="72" t="e">
        <f t="shared" si="3"/>
        <v>#DIV/0!</v>
      </c>
    </row>
    <row r="98" spans="1:53" s="137" customFormat="1" ht="15" customHeight="1" x14ac:dyDescent="0.25">
      <c r="A98" s="242"/>
      <c r="D98" s="16"/>
      <c r="E98" s="16"/>
      <c r="F98" s="243"/>
      <c r="G98" s="1"/>
      <c r="H98" s="1"/>
      <c r="I98" s="244"/>
      <c r="J98" s="237"/>
      <c r="K98" s="244"/>
      <c r="L98" s="220"/>
      <c r="M98" s="244"/>
      <c r="O98" s="244"/>
      <c r="Q98" s="244"/>
      <c r="R98" s="220"/>
      <c r="S98" s="244"/>
      <c r="U98" s="244"/>
      <c r="W98" s="244"/>
      <c r="Y98" s="244"/>
      <c r="Z98" s="149"/>
      <c r="AA98" s="8"/>
      <c r="AC98" s="244"/>
      <c r="AE98" s="244"/>
      <c r="AG98" s="244"/>
      <c r="AI98" s="244"/>
      <c r="AK98" s="244"/>
      <c r="AM98" s="244"/>
      <c r="AO98" s="244"/>
      <c r="AQ98" s="244"/>
      <c r="AS98" s="244"/>
      <c r="AT98" s="149"/>
      <c r="AU98" s="244"/>
      <c r="AW98" s="244"/>
      <c r="AY98" s="245"/>
      <c r="AZ98" s="156"/>
      <c r="BA98" s="113"/>
    </row>
    <row r="99" spans="1:53" s="137" customFormat="1" ht="15" customHeight="1" x14ac:dyDescent="0.25">
      <c r="A99" s="246">
        <v>6</v>
      </c>
      <c r="B99" s="247" t="s">
        <v>71</v>
      </c>
      <c r="D99" s="248"/>
      <c r="E99" s="248"/>
      <c r="F99" s="249"/>
      <c r="G99" s="249"/>
      <c r="H99" s="249"/>
      <c r="I99" s="219" t="e">
        <f>SUM(I101:I104)</f>
        <v>#DIV/0!</v>
      </c>
      <c r="J99" s="237"/>
      <c r="K99" s="219" t="e">
        <f>SUM(K101:K104)</f>
        <v>#DIV/0!</v>
      </c>
      <c r="L99" s="220"/>
      <c r="M99" s="219" t="e">
        <f>SUM(M101:M103)</f>
        <v>#DIV/0!</v>
      </c>
      <c r="O99" s="219" t="e">
        <f>SUM(O101:O103)</f>
        <v>#DIV/0!</v>
      </c>
      <c r="Q99" s="219" t="e">
        <f>SUM(Q101:Q104)</f>
        <v>#DIV/0!</v>
      </c>
      <c r="R99" s="220"/>
      <c r="S99" s="219" t="e">
        <f>SUM(S101:S104)</f>
        <v>#DIV/0!</v>
      </c>
      <c r="U99" s="221"/>
      <c r="W99" s="219" t="e">
        <f>SUM(W101:W104)</f>
        <v>#DIV/0!</v>
      </c>
      <c r="Y99" s="219" t="e">
        <f>SUM(Y101:Y104)</f>
        <v>#DIV/0!</v>
      </c>
      <c r="Z99" s="149"/>
      <c r="AA99" s="8"/>
      <c r="AC99" s="219" t="e">
        <f>SUM(AC101:AC104)</f>
        <v>#DIV/0!</v>
      </c>
      <c r="AE99" s="219" t="e">
        <f>SUM(AE101:AE104)</f>
        <v>#DIV/0!</v>
      </c>
      <c r="AG99" s="219" t="e">
        <f>SUM(AG101:AG103)</f>
        <v>#DIV/0!</v>
      </c>
      <c r="AI99" s="219" t="e">
        <f>SUM(AI101:AI103)</f>
        <v>#DIV/0!</v>
      </c>
      <c r="AK99" s="219" t="e">
        <f>SUM(AK101:AK103)</f>
        <v>#DIV/0!</v>
      </c>
      <c r="AM99" s="219" t="e">
        <f>SUM(AM101:AM103)</f>
        <v>#DIV/0!</v>
      </c>
      <c r="AO99" s="219" t="e">
        <f>SUM(AO101:AO103)</f>
        <v>#DIV/0!</v>
      </c>
      <c r="AQ99" s="219" t="e">
        <f>SUM(AQ101:AQ103)</f>
        <v>#DIV/0!</v>
      </c>
      <c r="AS99" s="219" t="e">
        <f>SUM(AS101:AS103)</f>
        <v>#DIV/0!</v>
      </c>
      <c r="AT99" s="149"/>
      <c r="AU99" s="219" t="e">
        <f>SUM(AU101:AU103)</f>
        <v>#DIV/0!</v>
      </c>
      <c r="AW99" s="219" t="e">
        <f>SUM(AW101:AW104)</f>
        <v>#DIV/0!</v>
      </c>
      <c r="AY99" s="222" t="e">
        <f>SUM(AY101:AY104)</f>
        <v>#DIV/0!</v>
      </c>
      <c r="AZ99" s="156"/>
      <c r="BA99" s="113"/>
    </row>
    <row r="100" spans="1:53" s="137" customFormat="1" ht="15" customHeight="1" x14ac:dyDescent="0.25">
      <c r="A100" s="250"/>
      <c r="D100" s="248"/>
      <c r="E100" s="248"/>
      <c r="F100" s="249"/>
      <c r="G100" s="249"/>
      <c r="H100" s="249" t="s">
        <v>502</v>
      </c>
      <c r="I100" s="251" t="str">
        <f ca="1">I87/I73</f>
        <v/>
      </c>
      <c r="J100" s="237"/>
      <c r="K100" s="251" t="str">
        <f ca="1">K87/K73</f>
        <v/>
      </c>
      <c r="L100" s="252"/>
      <c r="M100" s="251" t="str">
        <f ca="1">M87/M73</f>
        <v/>
      </c>
      <c r="O100" s="251" t="str">
        <f ca="1">O87/O73</f>
        <v/>
      </c>
      <c r="Q100" s="251" t="str">
        <f ca="1">Q87/Q73</f>
        <v/>
      </c>
      <c r="R100" s="252"/>
      <c r="S100" s="251" t="str">
        <f ca="1">S87/S73</f>
        <v/>
      </c>
      <c r="U100" s="253"/>
      <c r="W100" s="251" t="str">
        <f ca="1">W87/W73</f>
        <v/>
      </c>
      <c r="Y100" s="251" t="str">
        <f ca="1">Y87/Y73</f>
        <v/>
      </c>
      <c r="Z100" s="254"/>
      <c r="AA100" s="8"/>
      <c r="AC100" s="251" t="str">
        <f ca="1">AC87/AC73</f>
        <v/>
      </c>
      <c r="AE100" s="251" t="str">
        <f ca="1">AE87/AE73</f>
        <v/>
      </c>
      <c r="AG100" s="251" t="str">
        <f ca="1">AG87/AG73</f>
        <v/>
      </c>
      <c r="AI100" s="251" t="str">
        <f ca="1">AI87/AI73</f>
        <v/>
      </c>
      <c r="AK100" s="251" t="str">
        <f ca="1">AK87/AK73</f>
        <v/>
      </c>
      <c r="AM100" s="251" t="str">
        <f ca="1">AM87/AM73</f>
        <v/>
      </c>
      <c r="AO100" s="251" t="str">
        <f ca="1">AO87/AO73</f>
        <v/>
      </c>
      <c r="AQ100" s="251" t="str">
        <f ca="1">AQ87/AQ73</f>
        <v/>
      </c>
      <c r="AS100" s="251" t="str">
        <f ca="1">AS87/AS73</f>
        <v/>
      </c>
      <c r="AT100" s="254"/>
      <c r="AU100" s="251" t="str">
        <f ca="1">AU87/AU73</f>
        <v/>
      </c>
      <c r="AW100" s="251" t="str">
        <f ca="1">AW87/AW73</f>
        <v/>
      </c>
      <c r="AY100" s="255" t="e">
        <f>AY87/AY73</f>
        <v>#DIV/0!</v>
      </c>
      <c r="AZ100" s="156"/>
      <c r="BA100" s="256"/>
    </row>
    <row r="101" spans="1:53" s="257" customFormat="1" ht="15" customHeight="1" x14ac:dyDescent="0.25">
      <c r="A101" s="250"/>
      <c r="D101" s="248"/>
      <c r="E101" s="248"/>
      <c r="F101" s="249"/>
      <c r="G101" s="249"/>
      <c r="H101" s="249" t="s">
        <v>503</v>
      </c>
      <c r="I101" s="258" t="e">
        <f>I87/I17</f>
        <v>#DIV/0!</v>
      </c>
      <c r="J101" s="237"/>
      <c r="K101" s="258" t="e">
        <f>K87/K17</f>
        <v>#DIV/0!</v>
      </c>
      <c r="L101" s="252"/>
      <c r="M101" s="258" t="e">
        <f>M87/M17</f>
        <v>#DIV/0!</v>
      </c>
      <c r="O101" s="258" t="e">
        <f>O87/O17</f>
        <v>#DIV/0!</v>
      </c>
      <c r="Q101" s="258" t="e">
        <f>Q87/Q17</f>
        <v>#DIV/0!</v>
      </c>
      <c r="R101" s="252"/>
      <c r="S101" s="258" t="e">
        <f>S87/S17</f>
        <v>#DIV/0!</v>
      </c>
      <c r="U101" s="253"/>
      <c r="W101" s="258" t="e">
        <f>W87/W17</f>
        <v>#DIV/0!</v>
      </c>
      <c r="Y101" s="258" t="e">
        <f>Y87/Y17</f>
        <v>#DIV/0!</v>
      </c>
      <c r="Z101" s="254"/>
      <c r="AA101" s="8"/>
      <c r="AC101" s="258" t="e">
        <f>AC87/AC17</f>
        <v>#DIV/0!</v>
      </c>
      <c r="AE101" s="258" t="e">
        <f>AE87/AE17</f>
        <v>#DIV/0!</v>
      </c>
      <c r="AG101" s="258" t="e">
        <f>AG87/AG17</f>
        <v>#DIV/0!</v>
      </c>
      <c r="AI101" s="258" t="e">
        <f>AI87/AI17</f>
        <v>#DIV/0!</v>
      </c>
      <c r="AK101" s="258" t="e">
        <f>AK87/AK17</f>
        <v>#DIV/0!</v>
      </c>
      <c r="AM101" s="258" t="e">
        <f>AM87/AM17</f>
        <v>#DIV/0!</v>
      </c>
      <c r="AO101" s="258" t="e">
        <f>AO87/AO17</f>
        <v>#DIV/0!</v>
      </c>
      <c r="AQ101" s="258" t="e">
        <f>AQ87/AQ17</f>
        <v>#DIV/0!</v>
      </c>
      <c r="AS101" s="258" t="e">
        <f>AS87/AS17</f>
        <v>#DIV/0!</v>
      </c>
      <c r="AT101" s="254"/>
      <c r="AU101" s="258" t="e">
        <f>AU87/AU17</f>
        <v>#DIV/0!</v>
      </c>
      <c r="AW101" s="258" t="e">
        <f>AW87/AW17</f>
        <v>#DIV/0!</v>
      </c>
      <c r="AY101" s="258" t="e">
        <f>AY87/AY17</f>
        <v>#DIV/0!</v>
      </c>
      <c r="AZ101" s="156"/>
      <c r="BA101" s="256"/>
    </row>
    <row r="102" spans="1:53" s="137" customFormat="1" ht="15" customHeight="1" x14ac:dyDescent="0.25">
      <c r="B102" s="137" t="s">
        <v>504</v>
      </c>
      <c r="C102" s="157" t="s">
        <v>505</v>
      </c>
      <c r="G102" s="239" t="s">
        <v>506</v>
      </c>
      <c r="I102" s="618">
        <v>0</v>
      </c>
      <c r="K102" s="72">
        <v>0</v>
      </c>
      <c r="M102" s="72">
        <v>0</v>
      </c>
      <c r="O102" s="72">
        <v>0</v>
      </c>
      <c r="Q102" s="72">
        <v>0</v>
      </c>
      <c r="S102" s="72">
        <v>0</v>
      </c>
      <c r="W102" s="72">
        <v>0</v>
      </c>
      <c r="Y102" s="72">
        <v>0</v>
      </c>
      <c r="AC102" s="72">
        <v>0</v>
      </c>
      <c r="AE102" s="72">
        <v>0</v>
      </c>
      <c r="AG102" s="72">
        <v>0</v>
      </c>
      <c r="AI102" s="72">
        <v>0</v>
      </c>
      <c r="AK102" s="72">
        <v>0</v>
      </c>
      <c r="AM102" s="72">
        <v>0</v>
      </c>
      <c r="AO102" s="72">
        <v>0</v>
      </c>
      <c r="AQ102" s="72">
        <v>0</v>
      </c>
      <c r="AS102" s="72">
        <v>0</v>
      </c>
      <c r="AU102" s="72">
        <v>0</v>
      </c>
      <c r="AW102" s="72">
        <v>0</v>
      </c>
      <c r="AY102" s="72">
        <f>SUM(I90:AW90)</f>
        <v>0</v>
      </c>
    </row>
    <row r="103" spans="1:53" s="137" customFormat="1" ht="15" customHeight="1" x14ac:dyDescent="0.25">
      <c r="B103" s="137" t="s">
        <v>507</v>
      </c>
      <c r="C103" s="238" t="s">
        <v>508</v>
      </c>
      <c r="F103" s="259">
        <v>0</v>
      </c>
      <c r="G103" s="239" t="s">
        <v>509</v>
      </c>
      <c r="I103" s="618">
        <v>0</v>
      </c>
      <c r="K103" s="72">
        <v>0</v>
      </c>
      <c r="M103" s="72">
        <v>0</v>
      </c>
      <c r="O103" s="72">
        <v>0</v>
      </c>
      <c r="Q103" s="72">
        <v>0</v>
      </c>
      <c r="S103" s="72">
        <v>0</v>
      </c>
      <c r="W103" s="72">
        <v>0</v>
      </c>
      <c r="Y103" s="72">
        <v>0</v>
      </c>
      <c r="AC103" s="72">
        <v>0</v>
      </c>
      <c r="AE103" s="72">
        <v>0</v>
      </c>
      <c r="AG103" s="72">
        <v>0</v>
      </c>
      <c r="AI103" s="72">
        <v>0</v>
      </c>
      <c r="AK103" s="72">
        <v>0</v>
      </c>
      <c r="AM103" s="72">
        <v>0</v>
      </c>
      <c r="AO103" s="72">
        <v>0</v>
      </c>
      <c r="AQ103" s="72">
        <v>0</v>
      </c>
      <c r="AS103" s="72">
        <v>0</v>
      </c>
      <c r="AU103" s="72">
        <v>0</v>
      </c>
      <c r="AW103" s="72">
        <v>0</v>
      </c>
      <c r="AY103" s="72" t="e">
        <f>SUM(I91:AW91)</f>
        <v>#DIV/0!</v>
      </c>
    </row>
    <row r="104" spans="1:53" ht="15" customHeight="1" x14ac:dyDescent="0.25">
      <c r="A104" s="260"/>
      <c r="B104" s="137">
        <v>6.1</v>
      </c>
      <c r="C104" s="137" t="s">
        <v>510</v>
      </c>
      <c r="F104" s="261"/>
      <c r="G104" s="227"/>
      <c r="H104" s="227"/>
      <c r="I104" s="262"/>
      <c r="J104" s="237"/>
      <c r="K104" s="262"/>
      <c r="L104" s="226"/>
      <c r="M104" s="262"/>
      <c r="O104" s="225"/>
      <c r="Q104" s="225"/>
      <c r="R104" s="226"/>
      <c r="S104" s="225"/>
      <c r="U104" s="225"/>
      <c r="W104" s="225"/>
      <c r="Y104" s="225"/>
      <c r="Z104" s="227"/>
      <c r="AA104" s="8"/>
      <c r="AC104" s="262"/>
      <c r="AE104" s="225"/>
      <c r="AG104" s="225"/>
      <c r="AI104" s="225"/>
      <c r="AK104" s="225"/>
      <c r="AM104" s="225"/>
      <c r="AO104" s="225"/>
      <c r="AP104" s="263"/>
      <c r="AQ104" s="225"/>
      <c r="AS104" s="225"/>
      <c r="AT104" s="227"/>
      <c r="AU104" s="225"/>
      <c r="AW104" s="225"/>
      <c r="AY104" s="135"/>
      <c r="AZ104" s="156"/>
      <c r="BA104" s="113"/>
    </row>
    <row r="105" spans="1:53" s="4" customFormat="1" ht="15" customHeight="1" x14ac:dyDescent="0.25">
      <c r="A105" s="260"/>
      <c r="C105" s="137" t="s">
        <v>511</v>
      </c>
      <c r="F105" s="264">
        <v>300</v>
      </c>
      <c r="G105" s="227"/>
      <c r="H105" s="227"/>
      <c r="I105" s="265">
        <f>$F91*I17</f>
        <v>0</v>
      </c>
      <c r="J105" s="237"/>
      <c r="K105" s="265">
        <f>$F91*K17</f>
        <v>0</v>
      </c>
      <c r="L105" s="226"/>
      <c r="M105" s="265"/>
      <c r="O105" s="225"/>
      <c r="Q105" s="225"/>
      <c r="R105" s="226"/>
      <c r="S105" s="265">
        <f>$F91*(E49*D49)</f>
        <v>0</v>
      </c>
      <c r="U105" s="225"/>
      <c r="W105" s="225"/>
      <c r="Y105" s="225"/>
      <c r="Z105" s="227"/>
      <c r="AA105" s="8"/>
      <c r="AC105" s="265">
        <f>$F91*AC17</f>
        <v>0</v>
      </c>
      <c r="AE105" s="265">
        <f>$F91*AE17</f>
        <v>0</v>
      </c>
      <c r="AG105" s="265">
        <f>$F91*AG17</f>
        <v>0</v>
      </c>
      <c r="AI105" s="265">
        <f>$F91*AI17</f>
        <v>0</v>
      </c>
      <c r="AK105" s="265">
        <f>$F91*AK17</f>
        <v>0</v>
      </c>
      <c r="AM105" s="265">
        <f>$F91*AM17</f>
        <v>0</v>
      </c>
      <c r="AO105" s="265">
        <f>$F91*AO17</f>
        <v>0</v>
      </c>
      <c r="AP105" s="263"/>
      <c r="AQ105" s="265">
        <f>$F91*AQ17</f>
        <v>0</v>
      </c>
      <c r="AS105" s="225"/>
      <c r="AT105" s="227"/>
      <c r="AU105" s="265">
        <f>$F91*AU17</f>
        <v>0</v>
      </c>
      <c r="AW105" s="225"/>
      <c r="AY105" s="135" t="e">
        <f t="shared" ref="AY105:AY117" si="4">SUM(I91:AW91)</f>
        <v>#DIV/0!</v>
      </c>
      <c r="AZ105" s="156"/>
      <c r="BA105" s="113"/>
    </row>
    <row r="106" spans="1:53" s="4" customFormat="1" ht="15" customHeight="1" x14ac:dyDescent="0.25">
      <c r="A106" s="260"/>
      <c r="C106" s="137" t="s">
        <v>512</v>
      </c>
      <c r="F106" s="264">
        <v>200</v>
      </c>
      <c r="G106" s="227"/>
      <c r="H106" s="227"/>
      <c r="I106" s="262"/>
      <c r="J106" s="237"/>
      <c r="K106" s="262"/>
      <c r="L106" s="226"/>
      <c r="M106" s="265">
        <f>$F92*M17</f>
        <v>0</v>
      </c>
      <c r="O106" s="265">
        <f>$F92*O17</f>
        <v>0</v>
      </c>
      <c r="Q106" s="225"/>
      <c r="R106" s="226"/>
      <c r="S106" s="225"/>
      <c r="U106" s="225"/>
      <c r="W106" s="225"/>
      <c r="Y106" s="225"/>
      <c r="Z106" s="227"/>
      <c r="AA106" s="8"/>
      <c r="AC106" s="262"/>
      <c r="AE106" s="225"/>
      <c r="AG106" s="225"/>
      <c r="AI106" s="225"/>
      <c r="AK106" s="225"/>
      <c r="AM106" s="225"/>
      <c r="AO106" s="225"/>
      <c r="AP106" s="263"/>
      <c r="AQ106" s="225"/>
      <c r="AS106" s="225"/>
      <c r="AT106" s="227"/>
      <c r="AU106" s="225"/>
      <c r="AW106" s="225"/>
      <c r="AY106" s="135">
        <f t="shared" si="4"/>
        <v>0</v>
      </c>
      <c r="AZ106" s="156"/>
      <c r="BA106" s="113"/>
    </row>
    <row r="107" spans="1:53" s="4" customFormat="1" ht="15" customHeight="1" x14ac:dyDescent="0.25">
      <c r="A107" s="260"/>
      <c r="C107" s="137" t="s">
        <v>513</v>
      </c>
      <c r="F107" s="264">
        <v>180</v>
      </c>
      <c r="G107" s="227"/>
      <c r="H107" s="227"/>
      <c r="I107" s="262"/>
      <c r="J107" s="237"/>
      <c r="K107" s="262"/>
      <c r="L107" s="226"/>
      <c r="M107" s="262"/>
      <c r="O107" s="266"/>
      <c r="Q107" s="265">
        <f>$F93*Q17</f>
        <v>0</v>
      </c>
      <c r="R107" s="226"/>
      <c r="S107" s="265">
        <f>$F93*(D50*E50)</f>
        <v>0</v>
      </c>
      <c r="U107" s="225"/>
      <c r="W107" s="265">
        <f>$F93*W17</f>
        <v>0</v>
      </c>
      <c r="Y107" s="265">
        <f>$F93*Y17</f>
        <v>0</v>
      </c>
      <c r="Z107" s="227"/>
      <c r="AA107" s="8"/>
      <c r="AC107" s="262"/>
      <c r="AE107" s="225"/>
      <c r="AG107" s="225"/>
      <c r="AI107" s="225"/>
      <c r="AK107" s="225"/>
      <c r="AM107" s="225"/>
      <c r="AO107" s="225"/>
      <c r="AP107" s="263"/>
      <c r="AQ107" s="225"/>
      <c r="AS107" s="225"/>
      <c r="AT107" s="227"/>
      <c r="AU107" s="225"/>
      <c r="AW107" s="265">
        <f>$F93*AW17</f>
        <v>0</v>
      </c>
      <c r="AY107" s="135">
        <f t="shared" si="4"/>
        <v>0</v>
      </c>
      <c r="AZ107" s="156"/>
      <c r="BA107" s="113"/>
    </row>
    <row r="108" spans="1:53" s="4" customFormat="1" ht="15" customHeight="1" x14ac:dyDescent="0.25">
      <c r="B108" s="4" t="s">
        <v>514</v>
      </c>
      <c r="C108" s="157" t="s">
        <v>515</v>
      </c>
      <c r="I108" s="618">
        <v>0</v>
      </c>
      <c r="K108" s="72">
        <v>0</v>
      </c>
      <c r="M108" s="72">
        <v>0</v>
      </c>
      <c r="O108" s="72">
        <v>0</v>
      </c>
      <c r="Q108" s="72">
        <v>0</v>
      </c>
      <c r="S108" s="72">
        <v>0</v>
      </c>
      <c r="W108" s="72">
        <v>0</v>
      </c>
      <c r="Y108" s="72">
        <v>0</v>
      </c>
      <c r="AC108" s="72">
        <v>0</v>
      </c>
      <c r="AE108" s="72">
        <v>0</v>
      </c>
      <c r="AG108" s="72">
        <v>0</v>
      </c>
      <c r="AI108" s="72">
        <v>0</v>
      </c>
      <c r="AK108" s="72">
        <v>0</v>
      </c>
      <c r="AM108" s="72">
        <v>0</v>
      </c>
      <c r="AO108" s="72">
        <v>0</v>
      </c>
      <c r="AQ108" s="72">
        <v>0</v>
      </c>
      <c r="AS108" s="72">
        <v>0</v>
      </c>
      <c r="AU108" s="72">
        <v>0</v>
      </c>
      <c r="AW108" s="72">
        <v>0</v>
      </c>
      <c r="AY108" s="72" t="e">
        <f t="shared" si="4"/>
        <v>#VALUE!</v>
      </c>
    </row>
    <row r="109" spans="1:53" s="4" customFormat="1" ht="15" customHeight="1" x14ac:dyDescent="0.25">
      <c r="B109" s="4" t="s">
        <v>516</v>
      </c>
      <c r="C109" s="238" t="s">
        <v>517</v>
      </c>
      <c r="F109" s="267">
        <v>0</v>
      </c>
      <c r="G109" s="239" t="s">
        <v>518</v>
      </c>
      <c r="I109" s="618">
        <v>0</v>
      </c>
      <c r="K109" s="72">
        <v>0</v>
      </c>
      <c r="M109" s="72">
        <v>0</v>
      </c>
      <c r="O109" s="72">
        <v>0</v>
      </c>
      <c r="Q109" s="72">
        <v>0</v>
      </c>
      <c r="S109" s="72">
        <v>0</v>
      </c>
      <c r="W109" s="72">
        <v>0</v>
      </c>
      <c r="Y109" s="72">
        <v>0</v>
      </c>
      <c r="AC109" s="72">
        <v>0</v>
      </c>
      <c r="AE109" s="72">
        <v>0</v>
      </c>
      <c r="AG109" s="72">
        <v>0</v>
      </c>
      <c r="AI109" s="72">
        <v>0</v>
      </c>
      <c r="AK109" s="72">
        <v>0</v>
      </c>
      <c r="AM109" s="72">
        <v>0</v>
      </c>
      <c r="AO109" s="72">
        <v>0</v>
      </c>
      <c r="AQ109" s="72">
        <v>0</v>
      </c>
      <c r="AS109" s="72">
        <v>0</v>
      </c>
      <c r="AU109" s="72">
        <v>0</v>
      </c>
      <c r="AW109" s="72">
        <v>0</v>
      </c>
      <c r="AY109" s="72" t="e">
        <f t="shared" si="4"/>
        <v>#VALUE!</v>
      </c>
    </row>
    <row r="110" spans="1:53" s="4" customFormat="1" ht="15" customHeight="1" x14ac:dyDescent="0.25">
      <c r="B110" s="4" t="s">
        <v>519</v>
      </c>
      <c r="C110" s="238" t="s">
        <v>520</v>
      </c>
      <c r="F110" s="267">
        <v>0</v>
      </c>
      <c r="G110" s="239" t="s">
        <v>521</v>
      </c>
      <c r="I110" s="618">
        <v>0</v>
      </c>
      <c r="K110" s="72">
        <v>0</v>
      </c>
      <c r="M110" s="72">
        <v>0</v>
      </c>
      <c r="O110" s="72">
        <v>0</v>
      </c>
      <c r="Q110" s="72">
        <v>0</v>
      </c>
      <c r="S110" s="72">
        <v>0</v>
      </c>
      <c r="W110" s="72">
        <v>0</v>
      </c>
      <c r="Y110" s="72">
        <v>0</v>
      </c>
      <c r="AC110" s="72">
        <v>0</v>
      </c>
      <c r="AE110" s="72">
        <v>0</v>
      </c>
      <c r="AG110" s="72">
        <v>0</v>
      </c>
      <c r="AI110" s="72">
        <v>0</v>
      </c>
      <c r="AK110" s="72">
        <v>0</v>
      </c>
      <c r="AM110" s="72">
        <v>0</v>
      </c>
      <c r="AO110" s="72">
        <v>0</v>
      </c>
      <c r="AQ110" s="72">
        <v>0</v>
      </c>
      <c r="AS110" s="72">
        <v>0</v>
      </c>
      <c r="AU110" s="72">
        <v>0</v>
      </c>
      <c r="AW110" s="72">
        <v>0</v>
      </c>
      <c r="AY110" s="72" t="e">
        <f t="shared" si="4"/>
        <v>#VALUE!</v>
      </c>
    </row>
    <row r="111" spans="1:53" s="4" customFormat="1" ht="15" customHeight="1" x14ac:dyDescent="0.25">
      <c r="B111" s="4" t="s">
        <v>522</v>
      </c>
      <c r="C111" s="238" t="s">
        <v>523</v>
      </c>
      <c r="F111" s="267">
        <v>0</v>
      </c>
      <c r="G111" s="239" t="s">
        <v>524</v>
      </c>
      <c r="I111" s="618">
        <v>0</v>
      </c>
      <c r="K111" s="72">
        <v>0</v>
      </c>
      <c r="M111" s="72">
        <v>0</v>
      </c>
      <c r="O111" s="72">
        <v>0</v>
      </c>
      <c r="Q111" s="72">
        <v>0</v>
      </c>
      <c r="S111" s="72">
        <v>0</v>
      </c>
      <c r="W111" s="72">
        <v>0</v>
      </c>
      <c r="Y111" s="72">
        <v>0</v>
      </c>
      <c r="AC111" s="72">
        <v>0</v>
      </c>
      <c r="AE111" s="72">
        <v>0</v>
      </c>
      <c r="AG111" s="72">
        <v>0</v>
      </c>
      <c r="AI111" s="72">
        <v>0</v>
      </c>
      <c r="AK111" s="72">
        <v>0</v>
      </c>
      <c r="AM111" s="72">
        <v>0</v>
      </c>
      <c r="AO111" s="72">
        <v>0</v>
      </c>
      <c r="AQ111" s="72">
        <v>0</v>
      </c>
      <c r="AS111" s="72">
        <v>0</v>
      </c>
      <c r="AU111" s="72">
        <v>0</v>
      </c>
      <c r="AW111" s="72">
        <v>0</v>
      </c>
      <c r="AY111" s="72" t="e">
        <f t="shared" si="4"/>
        <v>#VALUE!</v>
      </c>
    </row>
    <row r="112" spans="1:53" ht="15" customHeight="1" x14ac:dyDescent="0.25">
      <c r="B112" s="1" t="s">
        <v>525</v>
      </c>
      <c r="C112" s="238" t="s">
        <v>526</v>
      </c>
      <c r="F112" s="267">
        <v>0</v>
      </c>
      <c r="G112" s="239" t="s">
        <v>524</v>
      </c>
      <c r="I112" s="618">
        <v>0</v>
      </c>
      <c r="K112" s="72">
        <v>0</v>
      </c>
      <c r="M112" s="72">
        <v>0</v>
      </c>
      <c r="O112" s="72">
        <v>0</v>
      </c>
      <c r="Q112" s="72">
        <v>0</v>
      </c>
      <c r="S112" s="72">
        <v>0</v>
      </c>
      <c r="W112" s="72">
        <v>0</v>
      </c>
      <c r="Y112" s="72">
        <v>0</v>
      </c>
      <c r="AC112" s="72">
        <v>0</v>
      </c>
      <c r="AE112" s="72">
        <v>0</v>
      </c>
      <c r="AG112" s="72">
        <v>0</v>
      </c>
      <c r="AI112" s="72">
        <v>0</v>
      </c>
      <c r="AK112" s="72">
        <v>0</v>
      </c>
      <c r="AM112" s="72">
        <v>0</v>
      </c>
      <c r="AO112" s="72">
        <v>0</v>
      </c>
      <c r="AQ112" s="72">
        <v>0</v>
      </c>
      <c r="AS112" s="72">
        <v>0</v>
      </c>
      <c r="AU112" s="72">
        <v>0</v>
      </c>
      <c r="AW112" s="72">
        <v>0</v>
      </c>
      <c r="AY112" s="72">
        <f t="shared" si="4"/>
        <v>0</v>
      </c>
    </row>
    <row r="113" spans="1:54" ht="15" customHeight="1" x14ac:dyDescent="0.25">
      <c r="B113" s="1" t="s">
        <v>527</v>
      </c>
      <c r="C113" s="238" t="s">
        <v>528</v>
      </c>
      <c r="F113" s="267">
        <v>0</v>
      </c>
      <c r="G113" s="239" t="s">
        <v>524</v>
      </c>
      <c r="I113" s="618">
        <v>0</v>
      </c>
      <c r="K113" s="72">
        <v>0</v>
      </c>
      <c r="M113" s="72">
        <v>0</v>
      </c>
      <c r="O113" s="72">
        <v>0</v>
      </c>
      <c r="Q113" s="72">
        <v>0</v>
      </c>
      <c r="S113" s="72">
        <v>0</v>
      </c>
      <c r="W113" s="72">
        <v>0</v>
      </c>
      <c r="Y113" s="72">
        <v>0</v>
      </c>
      <c r="AC113" s="72">
        <v>0</v>
      </c>
      <c r="AE113" s="72">
        <v>0</v>
      </c>
      <c r="AG113" s="72">
        <v>0</v>
      </c>
      <c r="AI113" s="72">
        <v>0</v>
      </c>
      <c r="AK113" s="72">
        <v>0</v>
      </c>
      <c r="AM113" s="72">
        <v>0</v>
      </c>
      <c r="AO113" s="72">
        <v>0</v>
      </c>
      <c r="AQ113" s="72">
        <v>0</v>
      </c>
      <c r="AS113" s="72">
        <v>0</v>
      </c>
      <c r="AU113" s="72">
        <v>0</v>
      </c>
      <c r="AW113" s="72">
        <v>0</v>
      </c>
      <c r="AY113" s="72" t="e">
        <f t="shared" si="4"/>
        <v>#DIV/0!</v>
      </c>
    </row>
    <row r="114" spans="1:54" ht="15" customHeight="1" x14ac:dyDescent="0.25">
      <c r="B114" s="1" t="s">
        <v>529</v>
      </c>
      <c r="C114" s="238" t="s">
        <v>530</v>
      </c>
      <c r="F114" s="268">
        <v>0</v>
      </c>
      <c r="G114" s="239" t="s">
        <v>531</v>
      </c>
      <c r="I114" s="618">
        <v>0</v>
      </c>
      <c r="K114" s="72">
        <v>0</v>
      </c>
      <c r="M114" s="72">
        <v>0</v>
      </c>
      <c r="O114" s="72">
        <v>0</v>
      </c>
      <c r="Q114" s="72">
        <v>0</v>
      </c>
      <c r="S114" s="72">
        <v>0</v>
      </c>
      <c r="W114" s="72">
        <v>0</v>
      </c>
      <c r="Y114" s="72">
        <v>0</v>
      </c>
      <c r="AC114" s="72">
        <v>0</v>
      </c>
      <c r="AE114" s="72">
        <v>0</v>
      </c>
      <c r="AG114" s="72">
        <v>0</v>
      </c>
      <c r="AI114" s="72">
        <v>0</v>
      </c>
      <c r="AK114" s="72">
        <v>0</v>
      </c>
      <c r="AM114" s="72">
        <v>0</v>
      </c>
      <c r="AO114" s="72">
        <v>0</v>
      </c>
      <c r="AQ114" s="72">
        <v>0</v>
      </c>
      <c r="AS114" s="72">
        <v>0</v>
      </c>
      <c r="AU114" s="72">
        <v>0</v>
      </c>
      <c r="AW114" s="72">
        <v>0</v>
      </c>
      <c r="AY114" s="72" t="str">
        <f t="shared" ca="1" si="4"/>
        <v/>
      </c>
    </row>
    <row r="115" spans="1:54" ht="15" customHeight="1" x14ac:dyDescent="0.25">
      <c r="B115" s="1" t="s">
        <v>532</v>
      </c>
      <c r="C115" s="238" t="s">
        <v>533</v>
      </c>
      <c r="F115" s="268">
        <v>0</v>
      </c>
      <c r="G115" s="239" t="s">
        <v>531</v>
      </c>
      <c r="I115" s="618">
        <v>0</v>
      </c>
      <c r="K115" s="72">
        <v>0</v>
      </c>
      <c r="M115" s="72">
        <v>0</v>
      </c>
      <c r="O115" s="72">
        <v>0</v>
      </c>
      <c r="Q115" s="72">
        <v>0</v>
      </c>
      <c r="S115" s="72">
        <v>0</v>
      </c>
      <c r="W115" s="72">
        <v>0</v>
      </c>
      <c r="Y115" s="72">
        <v>0</v>
      </c>
      <c r="AC115" s="72">
        <v>0</v>
      </c>
      <c r="AE115" s="72">
        <v>0</v>
      </c>
      <c r="AG115" s="72">
        <v>0</v>
      </c>
      <c r="AI115" s="72">
        <v>0</v>
      </c>
      <c r="AK115" s="72">
        <v>0</v>
      </c>
      <c r="AM115" s="72">
        <v>0</v>
      </c>
      <c r="AO115" s="72">
        <v>0</v>
      </c>
      <c r="AQ115" s="72">
        <v>0</v>
      </c>
      <c r="AS115" s="72">
        <v>0</v>
      </c>
      <c r="AU115" s="72">
        <v>0</v>
      </c>
      <c r="AW115" s="72">
        <v>0</v>
      </c>
      <c r="AY115" s="72" t="e">
        <f t="shared" si="4"/>
        <v>#DIV/0!</v>
      </c>
    </row>
    <row r="116" spans="1:54" ht="15" customHeight="1" x14ac:dyDescent="0.25">
      <c r="B116" s="1" t="s">
        <v>534</v>
      </c>
      <c r="C116" s="238" t="s">
        <v>535</v>
      </c>
      <c r="F116" s="268">
        <v>0</v>
      </c>
      <c r="G116" s="239" t="s">
        <v>536</v>
      </c>
      <c r="I116" s="618">
        <v>0</v>
      </c>
      <c r="K116" s="72">
        <v>0</v>
      </c>
      <c r="M116" s="72">
        <v>0</v>
      </c>
      <c r="O116" s="72">
        <v>0</v>
      </c>
      <c r="Q116" s="72">
        <v>0</v>
      </c>
      <c r="S116" s="72">
        <v>0</v>
      </c>
      <c r="W116" s="72">
        <v>0</v>
      </c>
      <c r="Y116" s="72">
        <v>0</v>
      </c>
      <c r="AC116" s="72">
        <v>0</v>
      </c>
      <c r="AE116" s="72">
        <v>0</v>
      </c>
      <c r="AG116" s="72">
        <v>0</v>
      </c>
      <c r="AI116" s="72">
        <v>0</v>
      </c>
      <c r="AK116" s="72">
        <v>0</v>
      </c>
      <c r="AM116" s="72">
        <v>0</v>
      </c>
      <c r="AO116" s="72">
        <v>0</v>
      </c>
      <c r="AQ116" s="72">
        <v>0</v>
      </c>
      <c r="AS116" s="72">
        <v>0</v>
      </c>
      <c r="AU116" s="72">
        <v>0</v>
      </c>
      <c r="AW116" s="72">
        <v>0</v>
      </c>
      <c r="AY116" s="72">
        <f t="shared" si="4"/>
        <v>0</v>
      </c>
    </row>
    <row r="117" spans="1:54" ht="15" customHeight="1" x14ac:dyDescent="0.25">
      <c r="B117" s="1" t="s">
        <v>537</v>
      </c>
      <c r="C117" s="238" t="s">
        <v>538</v>
      </c>
      <c r="F117" s="268">
        <v>0</v>
      </c>
      <c r="G117" s="239" t="s">
        <v>539</v>
      </c>
      <c r="I117" s="618">
        <v>0</v>
      </c>
      <c r="K117" s="72">
        <v>0</v>
      </c>
      <c r="M117" s="72">
        <v>0</v>
      </c>
      <c r="O117" s="72">
        <v>0</v>
      </c>
      <c r="Q117" s="72">
        <v>0</v>
      </c>
      <c r="S117" s="72">
        <v>0</v>
      </c>
      <c r="W117" s="72">
        <v>0</v>
      </c>
      <c r="Y117" s="72">
        <v>0</v>
      </c>
      <c r="AC117" s="72">
        <v>0</v>
      </c>
      <c r="AE117" s="72">
        <v>0</v>
      </c>
      <c r="AG117" s="72">
        <v>0</v>
      </c>
      <c r="AI117" s="72">
        <v>0</v>
      </c>
      <c r="AK117" s="72">
        <v>0</v>
      </c>
      <c r="AM117" s="72">
        <v>0</v>
      </c>
      <c r="AO117" s="72">
        <v>0</v>
      </c>
      <c r="AQ117" s="72">
        <v>0</v>
      </c>
      <c r="AS117" s="72">
        <v>0</v>
      </c>
      <c r="AU117" s="72">
        <v>0</v>
      </c>
      <c r="AW117" s="72">
        <v>0</v>
      </c>
      <c r="AY117" s="72">
        <f t="shared" si="4"/>
        <v>0</v>
      </c>
    </row>
    <row r="118" spans="1:54" ht="15" customHeight="1" x14ac:dyDescent="0.25">
      <c r="A118" s="260"/>
      <c r="C118" s="168"/>
      <c r="F118" s="269"/>
      <c r="G118" s="227"/>
      <c r="I118" s="225"/>
      <c r="J118" s="237"/>
      <c r="K118" s="225"/>
      <c r="L118" s="226"/>
      <c r="M118" s="225"/>
      <c r="O118" s="266"/>
      <c r="Q118" s="266"/>
      <c r="R118" s="226"/>
      <c r="S118" s="266"/>
      <c r="U118" s="225"/>
      <c r="W118" s="266"/>
      <c r="Y118" s="266"/>
      <c r="Z118" s="227"/>
      <c r="AA118" s="8"/>
      <c r="AC118" s="225"/>
      <c r="AE118" s="225"/>
      <c r="AG118" s="225"/>
      <c r="AI118" s="225"/>
      <c r="AK118" s="225"/>
      <c r="AM118" s="225"/>
      <c r="AO118" s="225"/>
      <c r="AQ118" s="225"/>
      <c r="AS118" s="225"/>
      <c r="AT118" s="227"/>
      <c r="AU118" s="225"/>
      <c r="AW118" s="225"/>
      <c r="AY118" s="135"/>
      <c r="AZ118" s="156"/>
      <c r="BA118" s="113"/>
      <c r="BB118" s="227"/>
    </row>
    <row r="119" spans="1:54" ht="15" customHeight="1" x14ac:dyDescent="0.25">
      <c r="B119" s="1" t="s">
        <v>540</v>
      </c>
      <c r="C119" s="157" t="s">
        <v>541</v>
      </c>
      <c r="I119" s="618">
        <v>0</v>
      </c>
      <c r="K119" s="72">
        <v>0</v>
      </c>
      <c r="M119" s="72">
        <v>0</v>
      </c>
      <c r="O119" s="72">
        <v>0</v>
      </c>
      <c r="Q119" s="72">
        <v>0</v>
      </c>
      <c r="S119" s="72">
        <v>0</v>
      </c>
      <c r="W119" s="72">
        <v>0</v>
      </c>
      <c r="Y119" s="72">
        <v>0</v>
      </c>
      <c r="AC119" s="72">
        <v>0</v>
      </c>
      <c r="AE119" s="72">
        <v>0</v>
      </c>
      <c r="AG119" s="72">
        <v>0</v>
      </c>
      <c r="AI119" s="72">
        <v>0</v>
      </c>
      <c r="AK119" s="72">
        <v>0</v>
      </c>
      <c r="AM119" s="72">
        <v>0</v>
      </c>
      <c r="AO119" s="72">
        <v>0</v>
      </c>
      <c r="AQ119" s="72">
        <v>0</v>
      </c>
      <c r="AS119" s="72">
        <v>0</v>
      </c>
      <c r="AU119" s="72">
        <v>0</v>
      </c>
      <c r="AW119" s="72">
        <v>0</v>
      </c>
      <c r="AY119" s="72" t="e">
        <f t="shared" ref="AY119:AY130" si="5">SUM(I95:AW95)</f>
        <v>#VALUE!</v>
      </c>
    </row>
    <row r="120" spans="1:54" ht="15" customHeight="1" x14ac:dyDescent="0.25">
      <c r="B120" s="1" t="s">
        <v>542</v>
      </c>
      <c r="C120" s="238" t="s">
        <v>543</v>
      </c>
      <c r="I120" s="618">
        <v>0</v>
      </c>
      <c r="K120" s="72">
        <v>0</v>
      </c>
      <c r="M120" s="72">
        <v>0</v>
      </c>
      <c r="O120" s="72">
        <v>0</v>
      </c>
      <c r="Q120" s="72">
        <v>0</v>
      </c>
      <c r="S120" s="72">
        <v>0</v>
      </c>
      <c r="W120" s="72">
        <v>0</v>
      </c>
      <c r="Y120" s="72">
        <v>0</v>
      </c>
      <c r="AC120" s="72">
        <v>0</v>
      </c>
      <c r="AE120" s="72">
        <v>0</v>
      </c>
      <c r="AG120" s="72">
        <v>0</v>
      </c>
      <c r="AI120" s="72">
        <v>0</v>
      </c>
      <c r="AK120" s="72">
        <v>0</v>
      </c>
      <c r="AM120" s="72">
        <v>0</v>
      </c>
      <c r="AO120" s="72">
        <v>0</v>
      </c>
      <c r="AQ120" s="72">
        <v>0</v>
      </c>
      <c r="AS120" s="72">
        <v>0</v>
      </c>
      <c r="AU120" s="72">
        <v>0</v>
      </c>
      <c r="AW120" s="72">
        <v>0</v>
      </c>
      <c r="AY120" s="72" t="e">
        <f t="shared" si="5"/>
        <v>#VALUE!</v>
      </c>
    </row>
    <row r="121" spans="1:54" s="4" customFormat="1" ht="15" customHeight="1" x14ac:dyDescent="0.25">
      <c r="B121" s="4" t="s">
        <v>544</v>
      </c>
      <c r="C121" s="238" t="s">
        <v>545</v>
      </c>
      <c r="I121" s="618">
        <v>0</v>
      </c>
      <c r="K121" s="72">
        <v>0</v>
      </c>
      <c r="M121" s="72">
        <v>0</v>
      </c>
      <c r="O121" s="72">
        <v>0</v>
      </c>
      <c r="Q121" s="72">
        <v>0</v>
      </c>
      <c r="S121" s="72">
        <v>0</v>
      </c>
      <c r="W121" s="72">
        <v>0</v>
      </c>
      <c r="Y121" s="72">
        <v>0</v>
      </c>
      <c r="AC121" s="72">
        <v>0</v>
      </c>
      <c r="AE121" s="72">
        <v>0</v>
      </c>
      <c r="AG121" s="72">
        <v>0</v>
      </c>
      <c r="AI121" s="72">
        <v>0</v>
      </c>
      <c r="AK121" s="72">
        <v>0</v>
      </c>
      <c r="AM121" s="72">
        <v>0</v>
      </c>
      <c r="AO121" s="72">
        <v>0</v>
      </c>
      <c r="AQ121" s="72">
        <v>0</v>
      </c>
      <c r="AS121" s="72">
        <v>0</v>
      </c>
      <c r="AU121" s="72">
        <v>0</v>
      </c>
      <c r="AW121" s="72">
        <v>0</v>
      </c>
      <c r="AY121" s="72" t="e">
        <f t="shared" si="5"/>
        <v>#VALUE!</v>
      </c>
    </row>
    <row r="122" spans="1:54" s="4" customFormat="1" ht="15" customHeight="1" x14ac:dyDescent="0.25">
      <c r="B122" s="4" t="s">
        <v>546</v>
      </c>
      <c r="C122" s="238" t="s">
        <v>547</v>
      </c>
      <c r="I122" s="618">
        <v>0</v>
      </c>
      <c r="K122" s="72">
        <v>0</v>
      </c>
      <c r="M122" s="72">
        <v>0</v>
      </c>
      <c r="O122" s="72">
        <v>0</v>
      </c>
      <c r="Q122" s="72">
        <v>0</v>
      </c>
      <c r="S122" s="72">
        <v>0</v>
      </c>
      <c r="W122" s="72">
        <v>0</v>
      </c>
      <c r="Y122" s="72">
        <v>0</v>
      </c>
      <c r="AC122" s="72">
        <v>0</v>
      </c>
      <c r="AE122" s="72">
        <v>0</v>
      </c>
      <c r="AG122" s="72">
        <v>0</v>
      </c>
      <c r="AI122" s="72">
        <v>0</v>
      </c>
      <c r="AK122" s="72">
        <v>0</v>
      </c>
      <c r="AM122" s="72">
        <v>0</v>
      </c>
      <c r="AO122" s="72">
        <v>0</v>
      </c>
      <c r="AQ122" s="72">
        <v>0</v>
      </c>
      <c r="AS122" s="72">
        <v>0</v>
      </c>
      <c r="AU122" s="72">
        <v>0</v>
      </c>
      <c r="AW122" s="72">
        <v>0</v>
      </c>
      <c r="AY122" s="72">
        <f t="shared" si="5"/>
        <v>0</v>
      </c>
    </row>
    <row r="123" spans="1:54" s="4" customFormat="1" ht="15" customHeight="1" x14ac:dyDescent="0.25">
      <c r="B123" s="4" t="s">
        <v>548</v>
      </c>
      <c r="C123" s="238" t="s">
        <v>549</v>
      </c>
      <c r="I123" s="618">
        <v>0</v>
      </c>
      <c r="K123" s="72">
        <v>0</v>
      </c>
      <c r="M123" s="72">
        <v>0</v>
      </c>
      <c r="O123" s="72">
        <v>0</v>
      </c>
      <c r="Q123" s="72">
        <v>0</v>
      </c>
      <c r="S123" s="72">
        <v>0</v>
      </c>
      <c r="W123" s="72">
        <v>0</v>
      </c>
      <c r="Y123" s="72">
        <v>0</v>
      </c>
      <c r="AC123" s="72">
        <v>0</v>
      </c>
      <c r="AE123" s="72">
        <v>0</v>
      </c>
      <c r="AG123" s="72">
        <v>0</v>
      </c>
      <c r="AI123" s="72">
        <v>0</v>
      </c>
      <c r="AK123" s="72">
        <v>0</v>
      </c>
      <c r="AM123" s="72">
        <v>0</v>
      </c>
      <c r="AO123" s="72">
        <v>0</v>
      </c>
      <c r="AQ123" s="72">
        <v>0</v>
      </c>
      <c r="AS123" s="72">
        <v>0</v>
      </c>
      <c r="AU123" s="72">
        <v>0</v>
      </c>
      <c r="AW123" s="72">
        <v>0</v>
      </c>
      <c r="AY123" s="72" t="e">
        <f t="shared" si="5"/>
        <v>#DIV/0!</v>
      </c>
    </row>
    <row r="124" spans="1:54" s="4" customFormat="1" ht="15" customHeight="1" x14ac:dyDescent="0.25">
      <c r="B124" s="4" t="s">
        <v>550</v>
      </c>
      <c r="C124" s="238" t="s">
        <v>551</v>
      </c>
      <c r="I124" s="618">
        <v>0</v>
      </c>
      <c r="K124" s="72">
        <v>0</v>
      </c>
      <c r="M124" s="72">
        <v>0</v>
      </c>
      <c r="O124" s="72">
        <v>0</v>
      </c>
      <c r="Q124" s="72">
        <v>0</v>
      </c>
      <c r="S124" s="72">
        <v>0</v>
      </c>
      <c r="W124" s="72">
        <v>0</v>
      </c>
      <c r="Y124" s="72">
        <v>0</v>
      </c>
      <c r="AC124" s="72">
        <v>0</v>
      </c>
      <c r="AE124" s="72">
        <v>0</v>
      </c>
      <c r="AG124" s="72">
        <v>0</v>
      </c>
      <c r="AI124" s="72">
        <v>0</v>
      </c>
      <c r="AK124" s="72">
        <v>0</v>
      </c>
      <c r="AM124" s="72">
        <v>0</v>
      </c>
      <c r="AO124" s="72">
        <v>0</v>
      </c>
      <c r="AQ124" s="72">
        <v>0</v>
      </c>
      <c r="AS124" s="72">
        <v>0</v>
      </c>
      <c r="AU124" s="72">
        <v>0</v>
      </c>
      <c r="AW124" s="72">
        <v>0</v>
      </c>
      <c r="AY124" s="72" t="str">
        <f t="shared" ca="1" si="5"/>
        <v/>
      </c>
    </row>
    <row r="125" spans="1:54" ht="15" customHeight="1" x14ac:dyDescent="0.25">
      <c r="B125" s="1" t="s">
        <v>552</v>
      </c>
      <c r="C125" s="238" t="s">
        <v>553</v>
      </c>
      <c r="I125" s="618">
        <v>0</v>
      </c>
      <c r="K125" s="72">
        <v>0</v>
      </c>
      <c r="M125" s="72">
        <v>0</v>
      </c>
      <c r="O125" s="72">
        <v>0</v>
      </c>
      <c r="Q125" s="72">
        <v>0</v>
      </c>
      <c r="S125" s="72">
        <v>0</v>
      </c>
      <c r="W125" s="72">
        <v>0</v>
      </c>
      <c r="Y125" s="72">
        <v>0</v>
      </c>
      <c r="AC125" s="72">
        <v>0</v>
      </c>
      <c r="AE125" s="72">
        <v>0</v>
      </c>
      <c r="AG125" s="72">
        <v>0</v>
      </c>
      <c r="AI125" s="72">
        <v>0</v>
      </c>
      <c r="AK125" s="72">
        <v>0</v>
      </c>
      <c r="AM125" s="72">
        <v>0</v>
      </c>
      <c r="AO125" s="72">
        <v>0</v>
      </c>
      <c r="AQ125" s="72">
        <v>0</v>
      </c>
      <c r="AS125" s="72">
        <v>0</v>
      </c>
      <c r="AU125" s="72">
        <v>0</v>
      </c>
      <c r="AW125" s="72">
        <v>0</v>
      </c>
      <c r="AY125" s="72" t="e">
        <f t="shared" si="5"/>
        <v>#DIV/0!</v>
      </c>
    </row>
    <row r="126" spans="1:54" s="4" customFormat="1" ht="15" customHeight="1" x14ac:dyDescent="0.25">
      <c r="B126" s="4" t="s">
        <v>554</v>
      </c>
      <c r="C126" s="238" t="s">
        <v>555</v>
      </c>
      <c r="I126" s="618">
        <v>0</v>
      </c>
      <c r="K126" s="72">
        <v>0</v>
      </c>
      <c r="M126" s="72">
        <v>0</v>
      </c>
      <c r="O126" s="72">
        <v>0</v>
      </c>
      <c r="Q126" s="72">
        <v>0</v>
      </c>
      <c r="S126" s="72">
        <v>0</v>
      </c>
      <c r="W126" s="72">
        <v>0</v>
      </c>
      <c r="Y126" s="72">
        <v>0</v>
      </c>
      <c r="AC126" s="72">
        <v>0</v>
      </c>
      <c r="AE126" s="72">
        <v>0</v>
      </c>
      <c r="AG126" s="72">
        <v>0</v>
      </c>
      <c r="AI126" s="72">
        <v>0</v>
      </c>
      <c r="AK126" s="72">
        <v>0</v>
      </c>
      <c r="AM126" s="72">
        <v>0</v>
      </c>
      <c r="AO126" s="72">
        <v>0</v>
      </c>
      <c r="AQ126" s="72">
        <v>0</v>
      </c>
      <c r="AS126" s="72">
        <v>0</v>
      </c>
      <c r="AU126" s="72">
        <v>0</v>
      </c>
      <c r="AW126" s="72">
        <v>0</v>
      </c>
      <c r="AY126" s="72">
        <f t="shared" si="5"/>
        <v>0</v>
      </c>
    </row>
    <row r="127" spans="1:54" s="4" customFormat="1" ht="15" customHeight="1" x14ac:dyDescent="0.25">
      <c r="B127" s="4" t="s">
        <v>556</v>
      </c>
      <c r="C127" s="238" t="s">
        <v>557</v>
      </c>
      <c r="I127" s="618">
        <v>0</v>
      </c>
      <c r="K127" s="72">
        <v>0</v>
      </c>
      <c r="M127" s="72">
        <v>0</v>
      </c>
      <c r="O127" s="72">
        <v>0</v>
      </c>
      <c r="Q127" s="72">
        <v>0</v>
      </c>
      <c r="S127" s="72">
        <v>0</v>
      </c>
      <c r="W127" s="72">
        <v>0</v>
      </c>
      <c r="Y127" s="72">
        <v>0</v>
      </c>
      <c r="AC127" s="72">
        <v>0</v>
      </c>
      <c r="AE127" s="72">
        <v>0</v>
      </c>
      <c r="AG127" s="72">
        <v>0</v>
      </c>
      <c r="AI127" s="72">
        <v>0</v>
      </c>
      <c r="AK127" s="72">
        <v>0</v>
      </c>
      <c r="AM127" s="72">
        <v>0</v>
      </c>
      <c r="AO127" s="72">
        <v>0</v>
      </c>
      <c r="AQ127" s="72">
        <v>0</v>
      </c>
      <c r="AS127" s="72">
        <v>0</v>
      </c>
      <c r="AU127" s="72">
        <v>0</v>
      </c>
      <c r="AW127" s="72">
        <v>0</v>
      </c>
      <c r="AY127" s="72">
        <f t="shared" si="5"/>
        <v>0</v>
      </c>
    </row>
    <row r="128" spans="1:54" s="4" customFormat="1" ht="15" customHeight="1" x14ac:dyDescent="0.25">
      <c r="B128" s="4" t="s">
        <v>558</v>
      </c>
      <c r="C128" s="238" t="s">
        <v>559</v>
      </c>
      <c r="I128" s="618">
        <v>0</v>
      </c>
      <c r="K128" s="72">
        <v>0</v>
      </c>
      <c r="M128" s="72">
        <v>0</v>
      </c>
      <c r="O128" s="72">
        <v>0</v>
      </c>
      <c r="Q128" s="72">
        <v>0</v>
      </c>
      <c r="S128" s="72">
        <v>0</v>
      </c>
      <c r="W128" s="72">
        <v>0</v>
      </c>
      <c r="Y128" s="72">
        <v>0</v>
      </c>
      <c r="AC128" s="72">
        <v>0</v>
      </c>
      <c r="AE128" s="72">
        <v>0</v>
      </c>
      <c r="AG128" s="72">
        <v>0</v>
      </c>
      <c r="AI128" s="72">
        <v>0</v>
      </c>
      <c r="AK128" s="72">
        <v>0</v>
      </c>
      <c r="AM128" s="72">
        <v>0</v>
      </c>
      <c r="AO128" s="72">
        <v>0</v>
      </c>
      <c r="AQ128" s="72">
        <v>0</v>
      </c>
      <c r="AS128" s="72">
        <v>0</v>
      </c>
      <c r="AU128" s="72">
        <v>0</v>
      </c>
      <c r="AW128" s="72">
        <v>0</v>
      </c>
      <c r="AY128" s="72">
        <f t="shared" si="5"/>
        <v>0</v>
      </c>
    </row>
    <row r="129" spans="1:53" s="4" customFormat="1" ht="12.75" customHeight="1" x14ac:dyDescent="0.25">
      <c r="B129" s="4" t="s">
        <v>560</v>
      </c>
      <c r="C129" s="238" t="s">
        <v>561</v>
      </c>
      <c r="I129" s="618">
        <v>0</v>
      </c>
      <c r="K129" s="72">
        <v>0</v>
      </c>
      <c r="M129" s="72">
        <v>0</v>
      </c>
      <c r="O129" s="72">
        <v>0</v>
      </c>
      <c r="Q129" s="72">
        <v>0</v>
      </c>
      <c r="S129" s="72">
        <v>0</v>
      </c>
      <c r="W129" s="72">
        <v>0</v>
      </c>
      <c r="Y129" s="72">
        <v>0</v>
      </c>
      <c r="AC129" s="72">
        <v>0</v>
      </c>
      <c r="AE129" s="72">
        <v>0</v>
      </c>
      <c r="AG129" s="72">
        <v>0</v>
      </c>
      <c r="AI129" s="72">
        <v>0</v>
      </c>
      <c r="AK129" s="72">
        <v>0</v>
      </c>
      <c r="AM129" s="72">
        <v>0</v>
      </c>
      <c r="AO129" s="72">
        <v>0</v>
      </c>
      <c r="AQ129" s="72">
        <v>0</v>
      </c>
      <c r="AS129" s="72">
        <v>0</v>
      </c>
      <c r="AU129" s="72">
        <v>0</v>
      </c>
      <c r="AW129" s="72">
        <v>0</v>
      </c>
      <c r="AY129" s="72">
        <f t="shared" si="5"/>
        <v>0</v>
      </c>
    </row>
    <row r="130" spans="1:53" s="4" customFormat="1" ht="15" customHeight="1" x14ac:dyDescent="0.25">
      <c r="B130" s="4" t="s">
        <v>562</v>
      </c>
      <c r="C130" s="238" t="s">
        <v>563</v>
      </c>
      <c r="I130" s="618">
        <v>0</v>
      </c>
      <c r="K130" s="72">
        <v>0</v>
      </c>
      <c r="M130" s="72">
        <v>0</v>
      </c>
      <c r="O130" s="72">
        <v>0</v>
      </c>
      <c r="Q130" s="72">
        <v>0</v>
      </c>
      <c r="S130" s="72">
        <v>0</v>
      </c>
      <c r="W130" s="72">
        <v>0</v>
      </c>
      <c r="Y130" s="72">
        <v>0</v>
      </c>
      <c r="AC130" s="72">
        <v>0</v>
      </c>
      <c r="AE130" s="72">
        <v>0</v>
      </c>
      <c r="AG130" s="72">
        <v>0</v>
      </c>
      <c r="AI130" s="72">
        <v>0</v>
      </c>
      <c r="AK130" s="72">
        <v>0</v>
      </c>
      <c r="AM130" s="72">
        <v>0</v>
      </c>
      <c r="AO130" s="72">
        <v>0</v>
      </c>
      <c r="AQ130" s="72">
        <v>0</v>
      </c>
      <c r="AS130" s="72">
        <v>0</v>
      </c>
      <c r="AU130" s="72">
        <v>0</v>
      </c>
      <c r="AW130" s="72">
        <v>0</v>
      </c>
      <c r="AY130" s="72">
        <f t="shared" si="5"/>
        <v>0</v>
      </c>
    </row>
    <row r="131" spans="1:53" ht="6.75" customHeight="1" x14ac:dyDescent="0.25">
      <c r="A131" s="234"/>
      <c r="B131" s="137">
        <v>6.2</v>
      </c>
      <c r="C131" s="137" t="s">
        <v>564</v>
      </c>
      <c r="F131" s="270">
        <v>700000</v>
      </c>
      <c r="H131" s="271"/>
      <c r="I131" s="266">
        <f>F95*I10</f>
        <v>0</v>
      </c>
      <c r="J131" s="237"/>
      <c r="K131" s="266">
        <f>H95*K10</f>
        <v>0</v>
      </c>
      <c r="L131" s="272"/>
      <c r="M131" s="266">
        <f>J95*M10</f>
        <v>0</v>
      </c>
      <c r="O131" s="266">
        <f>L95*O10</f>
        <v>0</v>
      </c>
      <c r="Q131" s="266">
        <f>N95*Q10</f>
        <v>0</v>
      </c>
      <c r="R131" s="272"/>
      <c r="S131" s="266">
        <f>P95*S10</f>
        <v>0</v>
      </c>
      <c r="U131" s="266"/>
      <c r="W131" s="266">
        <f>T95*W10</f>
        <v>0</v>
      </c>
      <c r="Y131" s="266">
        <f>V95*Y10</f>
        <v>0</v>
      </c>
      <c r="Z131" s="273"/>
      <c r="AA131" s="8"/>
      <c r="AC131" s="266">
        <f>Z95*AC10</f>
        <v>0</v>
      </c>
      <c r="AE131" s="266">
        <f>AB95*AE10</f>
        <v>0</v>
      </c>
      <c r="AG131" s="266">
        <f>AD95*AG10</f>
        <v>0</v>
      </c>
      <c r="AI131" s="266">
        <f>AF95*AI10</f>
        <v>0</v>
      </c>
      <c r="AK131" s="266">
        <f>AH95*AK10</f>
        <v>0</v>
      </c>
      <c r="AM131" s="266">
        <f>AJ95*AM10</f>
        <v>0</v>
      </c>
      <c r="AO131" s="266">
        <f>AL95*AO10</f>
        <v>0</v>
      </c>
      <c r="AQ131" s="266">
        <f>AN95*AQ10</f>
        <v>0</v>
      </c>
      <c r="AS131" s="266">
        <f>AP95*AS10</f>
        <v>0</v>
      </c>
      <c r="AT131" s="273"/>
      <c r="AU131" s="266">
        <f>AR95*AU10</f>
        <v>0</v>
      </c>
      <c r="AW131" s="266">
        <f>AT95*AW10</f>
        <v>0</v>
      </c>
      <c r="AY131" s="135" t="e">
        <f>SUM(I95:AW95)</f>
        <v>#VALUE!</v>
      </c>
      <c r="AZ131" s="156"/>
      <c r="BA131" s="113"/>
    </row>
    <row r="132" spans="1:53" ht="15" customHeight="1" x14ac:dyDescent="0.25">
      <c r="A132" s="657"/>
      <c r="B132" s="644"/>
      <c r="C132" s="644"/>
      <c r="D132" s="644"/>
      <c r="E132" s="644"/>
      <c r="F132" s="644"/>
      <c r="H132" s="271"/>
      <c r="I132" s="640"/>
      <c r="J132" s="237"/>
      <c r="K132" s="640"/>
      <c r="L132" s="272"/>
      <c r="M132" s="640"/>
      <c r="O132" s="640"/>
      <c r="Q132" s="640"/>
      <c r="R132" s="272"/>
      <c r="S132" s="640"/>
      <c r="U132" s="266"/>
      <c r="W132" s="640"/>
      <c r="Y132" s="640"/>
      <c r="Z132" s="273"/>
      <c r="AA132" s="8"/>
      <c r="AC132" s="640"/>
      <c r="AE132" s="640"/>
      <c r="AG132" s="640"/>
      <c r="AI132" s="640"/>
      <c r="AK132" s="640"/>
      <c r="AM132" s="640"/>
      <c r="AO132" s="640"/>
      <c r="AQ132" s="640"/>
      <c r="AS132" s="640"/>
      <c r="AT132" s="273"/>
      <c r="AU132" s="640"/>
      <c r="AW132" s="640"/>
      <c r="AY132" s="645"/>
      <c r="AZ132" s="156"/>
      <c r="BA132" s="113"/>
    </row>
    <row r="133" spans="1:53" ht="15" customHeight="1" x14ac:dyDescent="0.25">
      <c r="A133" s="642"/>
      <c r="B133" s="644"/>
      <c r="C133" s="644"/>
      <c r="D133" s="644"/>
      <c r="E133" s="644"/>
      <c r="F133" s="644"/>
      <c r="H133" s="271"/>
      <c r="I133" s="639"/>
      <c r="J133" s="237"/>
      <c r="K133" s="639"/>
      <c r="L133" s="226"/>
      <c r="M133" s="639"/>
      <c r="O133" s="639"/>
      <c r="P133" s="227"/>
      <c r="Q133" s="639"/>
      <c r="R133" s="226"/>
      <c r="S133" s="639"/>
      <c r="T133" s="227"/>
      <c r="U133" s="225"/>
      <c r="V133" s="227"/>
      <c r="W133" s="639"/>
      <c r="X133" s="227"/>
      <c r="Y133" s="639"/>
      <c r="Z133" s="227"/>
      <c r="AA133" s="8"/>
      <c r="AB133" s="227"/>
      <c r="AC133" s="639"/>
      <c r="AD133" s="227"/>
      <c r="AE133" s="639"/>
      <c r="AF133" s="227"/>
      <c r="AG133" s="639"/>
      <c r="AH133" s="227"/>
      <c r="AI133" s="639"/>
      <c r="AJ133" s="227"/>
      <c r="AK133" s="639"/>
      <c r="AL133" s="227"/>
      <c r="AM133" s="639"/>
      <c r="AN133" s="227"/>
      <c r="AO133" s="639"/>
      <c r="AQ133" s="639"/>
      <c r="AS133" s="639"/>
      <c r="AT133" s="273"/>
      <c r="AU133" s="639"/>
      <c r="AW133" s="639"/>
      <c r="AY133" s="639"/>
      <c r="AZ133" s="156"/>
      <c r="BA133" s="113"/>
    </row>
    <row r="134" spans="1:53" ht="27.75" customHeight="1" x14ac:dyDescent="0.25">
      <c r="A134" s="657"/>
      <c r="B134" s="644"/>
      <c r="C134" s="644"/>
      <c r="D134" s="644"/>
      <c r="E134" s="644"/>
      <c r="F134" s="644"/>
      <c r="G134" s="644"/>
      <c r="H134" s="644"/>
      <c r="I134" s="266"/>
      <c r="J134" s="237"/>
      <c r="K134" s="266"/>
      <c r="L134" s="226"/>
      <c r="M134" s="266"/>
      <c r="O134" s="266"/>
      <c r="P134" s="227"/>
      <c r="Q134" s="266"/>
      <c r="R134" s="226"/>
      <c r="S134" s="266"/>
      <c r="T134" s="227"/>
      <c r="U134" s="225"/>
      <c r="V134" s="227"/>
      <c r="W134" s="266"/>
      <c r="X134" s="227"/>
      <c r="Y134" s="266"/>
      <c r="Z134" s="227"/>
      <c r="AA134" s="8"/>
      <c r="AB134" s="227"/>
      <c r="AC134" s="266"/>
      <c r="AD134" s="227"/>
      <c r="AE134" s="266"/>
      <c r="AF134" s="227"/>
      <c r="AG134" s="225"/>
      <c r="AH134" s="227"/>
      <c r="AI134" s="225"/>
      <c r="AJ134" s="227"/>
      <c r="AK134" s="225"/>
      <c r="AL134" s="227"/>
      <c r="AM134" s="225"/>
      <c r="AN134" s="227"/>
      <c r="AO134" s="225"/>
      <c r="AQ134" s="225"/>
      <c r="AS134" s="225"/>
      <c r="AT134" s="273"/>
      <c r="AU134" s="225"/>
      <c r="AW134" s="225"/>
      <c r="AY134" s="135"/>
      <c r="AZ134" s="156"/>
      <c r="BA134" s="113"/>
    </row>
    <row r="135" spans="1:53" ht="12.75" customHeight="1" x14ac:dyDescent="0.25">
      <c r="A135" s="234"/>
      <c r="B135" s="137">
        <v>6.4</v>
      </c>
      <c r="C135" s="137" t="s">
        <v>565</v>
      </c>
      <c r="D135" s="274"/>
      <c r="F135" s="275">
        <v>1000000</v>
      </c>
      <c r="H135" s="276"/>
      <c r="I135" s="236" t="e">
        <f>$F$99*(I10/$AY$10)</f>
        <v>#DIV/0!</v>
      </c>
      <c r="J135" s="237"/>
      <c r="K135" s="236" t="e">
        <f>$F$99*(K10/$AY$10)</f>
        <v>#DIV/0!</v>
      </c>
      <c r="L135" s="226"/>
      <c r="M135" s="236" t="e">
        <f>$F$99*(M10/$AY$10)</f>
        <v>#DIV/0!</v>
      </c>
      <c r="O135" s="236" t="e">
        <f>$F$99*(O10/$AY$10)</f>
        <v>#DIV/0!</v>
      </c>
      <c r="P135" s="227"/>
      <c r="Q135" s="236" t="e">
        <f>$F$99*(Q10/$AY$10)</f>
        <v>#DIV/0!</v>
      </c>
      <c r="R135" s="226"/>
      <c r="S135" s="236" t="e">
        <f>$F$99*(S10/$AY$10)</f>
        <v>#DIV/0!</v>
      </c>
      <c r="T135" s="227"/>
      <c r="U135" s="225"/>
      <c r="V135" s="227"/>
      <c r="W135" s="236" t="e">
        <f>$F$99*(W10/$AY$10)</f>
        <v>#DIV/0!</v>
      </c>
      <c r="X135" s="227"/>
      <c r="Y135" s="236" t="e">
        <f>$F$99*(Y10/$AY$10)</f>
        <v>#DIV/0!</v>
      </c>
      <c r="Z135" s="227"/>
      <c r="AA135" s="8"/>
      <c r="AB135" s="227"/>
      <c r="AC135" s="236" t="e">
        <f>$F$99*(AC10/$AY$10)</f>
        <v>#DIV/0!</v>
      </c>
      <c r="AD135" s="227"/>
      <c r="AE135" s="236" t="e">
        <f>$F$99*(AE10/$AY$10)</f>
        <v>#DIV/0!</v>
      </c>
      <c r="AF135" s="227"/>
      <c r="AG135" s="236" t="e">
        <f>$F$99*(AG10/$AY$10)</f>
        <v>#DIV/0!</v>
      </c>
      <c r="AH135" s="227"/>
      <c r="AI135" s="236" t="e">
        <f>$F$99*(AI10/$AY$10)</f>
        <v>#DIV/0!</v>
      </c>
      <c r="AJ135" s="227"/>
      <c r="AK135" s="236" t="e">
        <f>$F$99*(AK10/$AY$10)</f>
        <v>#DIV/0!</v>
      </c>
      <c r="AL135" s="227"/>
      <c r="AM135" s="236" t="e">
        <f>$F$99*(AM10/$AY$10)</f>
        <v>#DIV/0!</v>
      </c>
      <c r="AN135" s="227"/>
      <c r="AO135" s="236" t="e">
        <f>$F$99*(AO10/$AY$10)</f>
        <v>#DIV/0!</v>
      </c>
      <c r="AQ135" s="236" t="e">
        <f>$F$99*(AQ10/$AY$10)</f>
        <v>#DIV/0!</v>
      </c>
      <c r="AS135" s="236" t="e">
        <f>$F$99*(AS10/$AY$10)</f>
        <v>#DIV/0!</v>
      </c>
      <c r="AT135" s="273"/>
      <c r="AU135" s="236" t="e">
        <f>$F$99*(AU10/$AY$10)</f>
        <v>#DIV/0!</v>
      </c>
      <c r="AW135" s="236" t="e">
        <f>$F$99*(AW10/$AY$10)</f>
        <v>#DIV/0!</v>
      </c>
      <c r="AY135" s="135" t="e">
        <f>SUM(I99:AW99)</f>
        <v>#DIV/0!</v>
      </c>
      <c r="AZ135" s="156"/>
      <c r="BA135" s="113"/>
    </row>
    <row r="136" spans="1:53" ht="15" customHeight="1" x14ac:dyDescent="0.25">
      <c r="A136" s="234"/>
      <c r="F136" s="269"/>
      <c r="G136" s="273"/>
      <c r="H136" s="227"/>
      <c r="I136" s="277"/>
      <c r="J136" s="237"/>
      <c r="K136" s="277"/>
      <c r="L136" s="226"/>
      <c r="M136" s="277"/>
      <c r="O136" s="277"/>
      <c r="Q136" s="277"/>
      <c r="R136" s="226"/>
      <c r="S136" s="277"/>
      <c r="U136" s="277"/>
      <c r="W136" s="277"/>
      <c r="Y136" s="277"/>
      <c r="Z136" s="227"/>
      <c r="AA136" s="8"/>
      <c r="AC136" s="277"/>
      <c r="AE136" s="277"/>
      <c r="AG136" s="277"/>
      <c r="AI136" s="277"/>
      <c r="AK136" s="277"/>
      <c r="AM136" s="277"/>
      <c r="AO136" s="277"/>
      <c r="AQ136" s="277"/>
      <c r="AS136" s="277"/>
      <c r="AT136" s="227"/>
      <c r="AU136" s="277"/>
      <c r="AW136" s="277"/>
      <c r="AY136" s="278"/>
      <c r="AZ136" s="156"/>
      <c r="BA136" s="113"/>
    </row>
    <row r="137" spans="1:53" ht="15" customHeight="1" x14ac:dyDescent="0.25">
      <c r="A137" s="234"/>
      <c r="C137" s="257" t="s">
        <v>566</v>
      </c>
      <c r="D137" s="279"/>
      <c r="E137" s="279"/>
      <c r="F137" s="279"/>
      <c r="H137" s="261"/>
      <c r="I137" s="280" t="e">
        <f>SUM(I90:I100)</f>
        <v>#DIV/0!</v>
      </c>
      <c r="J137" s="5"/>
      <c r="K137" s="280" t="e">
        <f>SUM(K90:K100)</f>
        <v>#DIV/0!</v>
      </c>
      <c r="L137" s="281"/>
      <c r="M137" s="280" t="e">
        <f>SUM(M90:M100)</f>
        <v>#DIV/0!</v>
      </c>
      <c r="O137" s="280" t="e">
        <f>SUM(O90:O100)</f>
        <v>#DIV/0!</v>
      </c>
      <c r="Q137" s="280" t="e">
        <f>SUM(Q90:Q100)</f>
        <v>#DIV/0!</v>
      </c>
      <c r="R137" s="281"/>
      <c r="S137" s="280" t="e">
        <f>SUM(S90:S100)</f>
        <v>#DIV/0!</v>
      </c>
      <c r="U137" s="280"/>
      <c r="V137" s="282"/>
      <c r="W137" s="280" t="e">
        <f>SUM(W90:W100)</f>
        <v>#DIV/0!</v>
      </c>
      <c r="Y137" s="280" t="e">
        <f>SUM(Y90:Y100)</f>
        <v>#DIV/0!</v>
      </c>
      <c r="Z137" s="261"/>
      <c r="AA137" s="8"/>
      <c r="AC137" s="280" t="e">
        <f>SUM(AC90:AC100)</f>
        <v>#DIV/0!</v>
      </c>
      <c r="AE137" s="280" t="e">
        <f>SUM(AE90:AE100)</f>
        <v>#DIV/0!</v>
      </c>
      <c r="AG137" s="280" t="e">
        <f>SUM(AG90:AG100)</f>
        <v>#DIV/0!</v>
      </c>
      <c r="AI137" s="280" t="e">
        <f>SUM(AI90:AI100)</f>
        <v>#DIV/0!</v>
      </c>
      <c r="AK137" s="280" t="e">
        <f>SUM(AK90:AK100)</f>
        <v>#DIV/0!</v>
      </c>
      <c r="AM137" s="280" t="e">
        <f>SUM(AM90:AM100)</f>
        <v>#DIV/0!</v>
      </c>
      <c r="AO137" s="280" t="e">
        <f>SUM(AO90:AO100)</f>
        <v>#DIV/0!</v>
      </c>
      <c r="AQ137" s="280" t="e">
        <f>SUM(AQ90:AQ100)</f>
        <v>#DIV/0!</v>
      </c>
      <c r="AS137" s="280" t="e">
        <f>SUM(AS90:AS100)</f>
        <v>#DIV/0!</v>
      </c>
      <c r="AT137" s="261"/>
      <c r="AU137" s="280" t="e">
        <f>SUM(AU90:AU100)</f>
        <v>#DIV/0!</v>
      </c>
      <c r="AW137" s="280" t="e">
        <f>SUM(AW90:AW100)</f>
        <v>#DIV/0!</v>
      </c>
      <c r="AY137" s="283" t="e">
        <f>SUM(I101:AW101)</f>
        <v>#DIV/0!</v>
      </c>
      <c r="AZ137" s="156"/>
      <c r="BA137" s="284"/>
    </row>
    <row r="138" spans="1:53" ht="15" customHeight="1" x14ac:dyDescent="0.25">
      <c r="A138" s="234"/>
      <c r="B138" s="137">
        <v>6.5</v>
      </c>
      <c r="C138" s="137" t="s">
        <v>567</v>
      </c>
      <c r="D138" s="269"/>
      <c r="E138" s="269"/>
      <c r="F138" s="285">
        <v>0.08</v>
      </c>
      <c r="G138" s="137" t="s">
        <v>568</v>
      </c>
      <c r="H138" s="227"/>
      <c r="I138" s="225" t="e">
        <f>$F$102*I101</f>
        <v>#DIV/0!</v>
      </c>
      <c r="J138" s="4"/>
      <c r="K138" s="225" t="e">
        <f>$F$102*K101</f>
        <v>#DIV/0!</v>
      </c>
      <c r="L138" s="226"/>
      <c r="M138" s="225" t="e">
        <f>$F$102*M101</f>
        <v>#DIV/0!</v>
      </c>
      <c r="O138" s="225" t="e">
        <f>$F$102*O101</f>
        <v>#DIV/0!</v>
      </c>
      <c r="Q138" s="225" t="e">
        <f>$F$102*Q101</f>
        <v>#DIV/0!</v>
      </c>
      <c r="R138" s="226"/>
      <c r="S138" s="225" t="e">
        <f>$F$102*S101</f>
        <v>#DIV/0!</v>
      </c>
      <c r="U138" s="225"/>
      <c r="V138" s="286"/>
      <c r="W138" s="225" t="e">
        <f>$F$102*W101</f>
        <v>#DIV/0!</v>
      </c>
      <c r="Y138" s="225" t="e">
        <f>$F$102*Y101</f>
        <v>#DIV/0!</v>
      </c>
      <c r="Z138" s="227"/>
      <c r="AA138" s="8"/>
      <c r="AC138" s="225" t="e">
        <f>$F$102*AC101</f>
        <v>#DIV/0!</v>
      </c>
      <c r="AE138" s="225" t="e">
        <f>$F$102*AE101</f>
        <v>#DIV/0!</v>
      </c>
      <c r="AG138" s="225" t="e">
        <f>$F$102*AG101</f>
        <v>#DIV/0!</v>
      </c>
      <c r="AI138" s="225" t="e">
        <f>$F$102*AI101</f>
        <v>#DIV/0!</v>
      </c>
      <c r="AK138" s="225" t="e">
        <f>$F$102*AK101</f>
        <v>#DIV/0!</v>
      </c>
      <c r="AM138" s="225" t="e">
        <f>$F$102*AM101</f>
        <v>#DIV/0!</v>
      </c>
      <c r="AO138" s="225" t="e">
        <f>$F$102*AO101</f>
        <v>#DIV/0!</v>
      </c>
      <c r="AQ138" s="225" t="e">
        <f>$F$102*AQ101</f>
        <v>#DIV/0!</v>
      </c>
      <c r="AS138" s="225" t="e">
        <f>$F$102*AS101</f>
        <v>#DIV/0!</v>
      </c>
      <c r="AT138" s="227"/>
      <c r="AU138" s="225" t="e">
        <f>$F$102*AU101</f>
        <v>#DIV/0!</v>
      </c>
      <c r="AW138" s="225" t="e">
        <f>$F$102*AW101</f>
        <v>#DIV/0!</v>
      </c>
      <c r="AY138" s="135">
        <f>SUM(I102:AW102)</f>
        <v>0</v>
      </c>
      <c r="AZ138" s="156"/>
      <c r="BA138" s="113"/>
    </row>
    <row r="139" spans="1:53" ht="15" customHeight="1" x14ac:dyDescent="0.25">
      <c r="A139" s="234"/>
      <c r="B139" s="137">
        <v>6.6</v>
      </c>
      <c r="C139" s="137" t="s">
        <v>569</v>
      </c>
      <c r="F139" s="285">
        <v>0.05</v>
      </c>
      <c r="G139" s="137" t="s">
        <v>568</v>
      </c>
      <c r="H139" s="617"/>
      <c r="I139" s="266" t="e">
        <f>$F$103*I101</f>
        <v>#DIV/0!</v>
      </c>
      <c r="J139" s="232"/>
      <c r="K139" s="266" t="e">
        <f>$F$103*K101</f>
        <v>#DIV/0!</v>
      </c>
      <c r="L139" s="272"/>
      <c r="M139" s="266" t="e">
        <f>$F$103*M101</f>
        <v>#DIV/0!</v>
      </c>
      <c r="O139" s="266" t="e">
        <f>$F$103*O101</f>
        <v>#DIV/0!</v>
      </c>
      <c r="Q139" s="266" t="e">
        <f>$F$103*Q101</f>
        <v>#DIV/0!</v>
      </c>
      <c r="R139" s="272"/>
      <c r="S139" s="266" t="e">
        <f>$F$103*S101</f>
        <v>#DIV/0!</v>
      </c>
      <c r="U139" s="225"/>
      <c r="W139" s="266" t="e">
        <f>$F$103*W101</f>
        <v>#DIV/0!</v>
      </c>
      <c r="Y139" s="266" t="e">
        <f>$F$103*Y101</f>
        <v>#DIV/0!</v>
      </c>
      <c r="Z139" s="273"/>
      <c r="AA139" s="8"/>
      <c r="AC139" s="266" t="e">
        <f>$F$103*AC101</f>
        <v>#DIV/0!</v>
      </c>
      <c r="AE139" s="266" t="e">
        <f>$F$103*AE101</f>
        <v>#DIV/0!</v>
      </c>
      <c r="AG139" s="266" t="e">
        <f>$F$103*AG101</f>
        <v>#DIV/0!</v>
      </c>
      <c r="AH139" s="227"/>
      <c r="AI139" s="266" t="e">
        <f>$F$103*AI101</f>
        <v>#DIV/0!</v>
      </c>
      <c r="AJ139" s="227"/>
      <c r="AK139" s="266" t="e">
        <f>$F$103*AK101</f>
        <v>#DIV/0!</v>
      </c>
      <c r="AL139" s="227"/>
      <c r="AM139" s="266" t="e">
        <f>$F$103*AM101</f>
        <v>#DIV/0!</v>
      </c>
      <c r="AN139" s="227"/>
      <c r="AO139" s="266" t="e">
        <f>$F$103*AO101</f>
        <v>#DIV/0!</v>
      </c>
      <c r="AP139" s="227"/>
      <c r="AQ139" s="266" t="e">
        <f>$F$103*AQ101</f>
        <v>#DIV/0!</v>
      </c>
      <c r="AR139" s="227"/>
      <c r="AS139" s="266" t="e">
        <f>$F$103*AS101</f>
        <v>#DIV/0!</v>
      </c>
      <c r="AT139" s="227"/>
      <c r="AU139" s="266" t="e">
        <f>$F$103*AU101</f>
        <v>#DIV/0!</v>
      </c>
      <c r="AV139" s="227"/>
      <c r="AW139" s="266" t="e">
        <f>$F$103*AW101</f>
        <v>#DIV/0!</v>
      </c>
      <c r="AX139" s="227"/>
      <c r="AY139" s="135">
        <f>SUM(I103:AW103)</f>
        <v>0</v>
      </c>
      <c r="AZ139" s="156"/>
      <c r="BA139" s="113"/>
    </row>
    <row r="140" spans="1:53" ht="15" customHeight="1" x14ac:dyDescent="0.25">
      <c r="A140" s="242"/>
      <c r="B140" s="137">
        <v>6.7</v>
      </c>
      <c r="C140" s="287" t="s">
        <v>570</v>
      </c>
      <c r="E140" s="14" t="s">
        <v>571</v>
      </c>
      <c r="F140" s="263">
        <v>0.06</v>
      </c>
      <c r="G140" s="137" t="s">
        <v>568</v>
      </c>
      <c r="H140" s="65"/>
      <c r="I140" s="288"/>
      <c r="J140" s="232"/>
      <c r="K140" s="288"/>
      <c r="L140" s="204"/>
      <c r="M140" s="206"/>
      <c r="O140" s="206"/>
      <c r="Q140" s="206" t="e">
        <f>$F$104*Q101</f>
        <v>#DIV/0!</v>
      </c>
      <c r="R140" s="204"/>
      <c r="S140" s="206" t="e">
        <f>$F$104*S93</f>
        <v>#VALUE!</v>
      </c>
      <c r="U140" s="206"/>
      <c r="W140" s="206" t="e">
        <f>$F$104*W101</f>
        <v>#DIV/0!</v>
      </c>
      <c r="Y140" s="206" t="e">
        <f>$F$104*Y101</f>
        <v>#DIV/0!</v>
      </c>
      <c r="Z140" s="65"/>
      <c r="AA140" s="8"/>
      <c r="AC140" s="288"/>
      <c r="AD140" s="289"/>
      <c r="AE140" s="288"/>
      <c r="AG140" s="206"/>
      <c r="AI140" s="206"/>
      <c r="AK140" s="206"/>
      <c r="AM140" s="206"/>
      <c r="AO140" s="206"/>
      <c r="AQ140" s="206"/>
      <c r="AS140" s="206"/>
      <c r="AT140" s="65"/>
      <c r="AU140" s="206"/>
      <c r="AW140" s="206" t="e">
        <f>$F$104*AW101</f>
        <v>#DIV/0!</v>
      </c>
      <c r="AY140" s="135">
        <f>SUM(I104:AW104)</f>
        <v>0</v>
      </c>
      <c r="AZ140" s="156"/>
      <c r="BA140" s="113"/>
    </row>
    <row r="141" spans="1:53" ht="15" customHeight="1" x14ac:dyDescent="0.25">
      <c r="B141" s="1" t="s">
        <v>572</v>
      </c>
      <c r="C141" s="238" t="s">
        <v>573</v>
      </c>
      <c r="F141" s="163">
        <v>1E-3</v>
      </c>
      <c r="G141" s="238" t="s">
        <v>574</v>
      </c>
      <c r="I141" s="618" t="e">
        <f>$F$105*I101</f>
        <v>#DIV/0!</v>
      </c>
      <c r="K141" s="72" t="e">
        <f>$F$105*K101</f>
        <v>#DIV/0!</v>
      </c>
      <c r="M141" s="72" t="e">
        <f>$F$105*M101</f>
        <v>#DIV/0!</v>
      </c>
      <c r="O141" s="72" t="e">
        <f>$F$105*O101</f>
        <v>#DIV/0!</v>
      </c>
      <c r="Q141" s="72" t="e">
        <f>$F$105*Q101</f>
        <v>#DIV/0!</v>
      </c>
      <c r="S141" s="72" t="e">
        <f>$F$105*S101</f>
        <v>#DIV/0!</v>
      </c>
      <c r="W141" s="72" t="e">
        <f>$F$105*W101</f>
        <v>#DIV/0!</v>
      </c>
      <c r="Y141" s="72" t="e">
        <f>$F$105*Y101</f>
        <v>#DIV/0!</v>
      </c>
      <c r="AC141" s="72" t="e">
        <f>$F$105*AC101</f>
        <v>#DIV/0!</v>
      </c>
      <c r="AE141" s="72" t="e">
        <f>$F$105*AE101</f>
        <v>#DIV/0!</v>
      </c>
      <c r="AG141" s="72" t="e">
        <f>$F$105*AG101</f>
        <v>#DIV/0!</v>
      </c>
      <c r="AI141" s="72" t="e">
        <f>$F$105*AI101</f>
        <v>#DIV/0!</v>
      </c>
      <c r="AK141" s="72" t="e">
        <f>$F$105*AK101</f>
        <v>#DIV/0!</v>
      </c>
      <c r="AM141" s="72" t="e">
        <f>$F$105*AM101</f>
        <v>#DIV/0!</v>
      </c>
      <c r="AO141" s="72" t="e">
        <f>$F$105*AO101</f>
        <v>#DIV/0!</v>
      </c>
      <c r="AQ141" s="72" t="e">
        <f>$F$105*AQ101</f>
        <v>#DIV/0!</v>
      </c>
      <c r="AS141" s="72" t="e">
        <f>$F$105*AS101</f>
        <v>#DIV/0!</v>
      </c>
      <c r="AU141" s="72" t="e">
        <f>$F$105*AU101</f>
        <v>#DIV/0!</v>
      </c>
      <c r="AW141" s="72" t="e">
        <f>$F$105*AW101</f>
        <v>#DIV/0!</v>
      </c>
      <c r="AY141" s="72">
        <f>SUM(I105:AW105)</f>
        <v>0</v>
      </c>
    </row>
    <row r="142" spans="1:53" ht="15" hidden="1" customHeight="1" x14ac:dyDescent="0.25">
      <c r="A142" s="246">
        <v>7</v>
      </c>
      <c r="B142" s="290" t="s">
        <v>575</v>
      </c>
      <c r="C142" s="290"/>
      <c r="D142" s="291"/>
      <c r="E142" s="291"/>
      <c r="F142" s="292"/>
      <c r="G142" s="293"/>
      <c r="H142" s="294"/>
      <c r="I142" s="295">
        <f>SUM(I106:I107)</f>
        <v>0</v>
      </c>
      <c r="J142" s="232"/>
      <c r="K142" s="295">
        <f>SUM(K106:K107)</f>
        <v>0</v>
      </c>
      <c r="L142" s="155"/>
      <c r="M142" s="295">
        <f>SUM(M106:M107)</f>
        <v>0</v>
      </c>
      <c r="O142" s="295">
        <f>SUM(O106:O107)</f>
        <v>0</v>
      </c>
      <c r="Q142" s="295">
        <f>SUM(Q106:Q107)</f>
        <v>0</v>
      </c>
      <c r="R142" s="155"/>
      <c r="S142" s="295">
        <f>SUM(S106:S107)</f>
        <v>0</v>
      </c>
      <c r="U142" s="296"/>
      <c r="W142" s="295">
        <f>SUM(W106:W107)</f>
        <v>0</v>
      </c>
      <c r="Y142" s="295">
        <f>SUM(Y106:Y107)</f>
        <v>0</v>
      </c>
      <c r="Z142" s="156"/>
      <c r="AA142" s="8"/>
      <c r="AC142" s="295">
        <f>SUM(AC106:AC107)</f>
        <v>0</v>
      </c>
      <c r="AE142" s="295">
        <f>SUM(AE106:AE107)</f>
        <v>0</v>
      </c>
      <c r="AG142" s="295">
        <f>SUM(AG106:AG107)</f>
        <v>0</v>
      </c>
      <c r="AI142" s="295">
        <f>SUM(AI106:AI107)</f>
        <v>0</v>
      </c>
      <c r="AK142" s="295">
        <f>SUM(AK106:AK107)</f>
        <v>0</v>
      </c>
      <c r="AM142" s="295">
        <f>SUM(AM106:AM107)</f>
        <v>0</v>
      </c>
      <c r="AO142" s="295">
        <f>SUM(AO106:AO107)</f>
        <v>0</v>
      </c>
      <c r="AQ142" s="295">
        <f>SUM(AQ106:AQ107)</f>
        <v>0</v>
      </c>
      <c r="AS142" s="295">
        <f>SUM(AS106:AS107)</f>
        <v>0</v>
      </c>
      <c r="AT142" s="156"/>
      <c r="AU142" s="295">
        <f>SUM(AU106:AU107)</f>
        <v>0</v>
      </c>
      <c r="AW142" s="295">
        <f>SUM(AW106:AW107)</f>
        <v>0</v>
      </c>
      <c r="AY142" s="295">
        <f>SUM(AY106:AY107)</f>
        <v>0</v>
      </c>
      <c r="AZ142" s="156"/>
      <c r="BA142" s="113"/>
    </row>
    <row r="143" spans="1:53" ht="15" customHeight="1" x14ac:dyDescent="0.25">
      <c r="A143" s="242"/>
      <c r="B143" s="5"/>
      <c r="C143" s="5"/>
      <c r="D143" s="297"/>
      <c r="E143" s="297"/>
      <c r="F143" s="298"/>
      <c r="G143" s="299">
        <v>5000</v>
      </c>
      <c r="H143" s="300"/>
      <c r="I143" s="161">
        <f>$G$106*I13</f>
        <v>0</v>
      </c>
      <c r="J143" s="232"/>
      <c r="K143" s="161">
        <f>$G$106*K13</f>
        <v>0</v>
      </c>
      <c r="L143" s="155"/>
      <c r="M143" s="161">
        <f>$G$106*M13</f>
        <v>0</v>
      </c>
      <c r="O143" s="161">
        <f>$G$106*O13</f>
        <v>0</v>
      </c>
      <c r="Q143" s="161">
        <f>$G$106*Q13</f>
        <v>0</v>
      </c>
      <c r="R143" s="155"/>
      <c r="S143" s="161">
        <f>$G$106*S13</f>
        <v>0</v>
      </c>
      <c r="U143" s="161"/>
      <c r="W143" s="161">
        <f>$G$106*W13</f>
        <v>0</v>
      </c>
      <c r="Y143" s="161">
        <f>$G$106*Y13</f>
        <v>0</v>
      </c>
      <c r="Z143" s="156"/>
      <c r="AA143" s="8"/>
      <c r="AC143" s="161">
        <f>$G$106*AC13</f>
        <v>0</v>
      </c>
      <c r="AE143" s="161">
        <f>$G$106*AE13</f>
        <v>0</v>
      </c>
      <c r="AG143" s="161">
        <f>$G$106*AG13</f>
        <v>0</v>
      </c>
      <c r="AI143" s="161">
        <f>$G$106*AI13</f>
        <v>0</v>
      </c>
      <c r="AK143" s="161">
        <f>$G$106*AK13</f>
        <v>0</v>
      </c>
      <c r="AM143" s="161">
        <f>$G$106*AM13</f>
        <v>0</v>
      </c>
      <c r="AO143" s="161">
        <f>$G$106*AO13</f>
        <v>0</v>
      </c>
      <c r="AQ143" s="161">
        <f>$G$106*AQ13</f>
        <v>0</v>
      </c>
      <c r="AS143" s="161">
        <f>$G$106*AS13</f>
        <v>0</v>
      </c>
      <c r="AT143" s="156"/>
      <c r="AU143" s="161">
        <f>$G$106*AU13</f>
        <v>0</v>
      </c>
      <c r="AW143" s="161">
        <f>$G$106*AW13</f>
        <v>0</v>
      </c>
      <c r="AY143" s="135">
        <f>SUM(I106:AW106)</f>
        <v>0</v>
      </c>
      <c r="AZ143" s="156"/>
      <c r="BA143" s="113"/>
    </row>
    <row r="144" spans="1:53" ht="15" customHeight="1" x14ac:dyDescent="0.25">
      <c r="A144" s="242"/>
      <c r="B144" s="5"/>
      <c r="C144" s="5"/>
      <c r="D144" s="297"/>
      <c r="E144" s="297"/>
      <c r="G144" s="299"/>
      <c r="H144" s="300"/>
      <c r="I144" s="161"/>
      <c r="J144" s="232"/>
      <c r="K144" s="161"/>
      <c r="L144" s="155"/>
      <c r="M144" s="161"/>
      <c r="O144" s="161"/>
      <c r="Q144" s="161"/>
      <c r="R144" s="155"/>
      <c r="S144" s="161"/>
      <c r="U144" s="161"/>
      <c r="W144" s="161"/>
      <c r="Y144" s="161"/>
      <c r="Z144" s="156"/>
      <c r="AA144" s="8"/>
      <c r="AC144" s="161"/>
      <c r="AE144" s="161"/>
      <c r="AG144" s="161"/>
      <c r="AI144" s="161"/>
      <c r="AK144" s="161"/>
      <c r="AM144" s="161"/>
      <c r="AO144" s="161"/>
      <c r="AQ144" s="161"/>
      <c r="AS144" s="161"/>
      <c r="AT144" s="156"/>
      <c r="AU144" s="161"/>
      <c r="AW144" s="161"/>
      <c r="AY144" s="162"/>
      <c r="AZ144" s="156"/>
      <c r="BA144" s="113"/>
    </row>
    <row r="145" spans="1:53" ht="15" customHeight="1" x14ac:dyDescent="0.25">
      <c r="A145" s="246">
        <v>8</v>
      </c>
      <c r="B145" s="290" t="s">
        <v>576</v>
      </c>
      <c r="C145" s="301"/>
      <c r="D145" s="302"/>
      <c r="E145" s="302"/>
      <c r="F145" s="292"/>
      <c r="G145" s="293"/>
      <c r="H145" s="303"/>
      <c r="I145" s="295">
        <f>SUM(I109:I110)</f>
        <v>0</v>
      </c>
      <c r="J145" s="232"/>
      <c r="K145" s="295">
        <f>SUM(K109:K110)</f>
        <v>0</v>
      </c>
      <c r="L145" s="155"/>
      <c r="M145" s="295">
        <f>SUM(M109:M110)</f>
        <v>0</v>
      </c>
      <c r="O145" s="295">
        <f>SUM(O109:O110)</f>
        <v>0</v>
      </c>
      <c r="Q145" s="295">
        <f>SUM(Q109:Q110)</f>
        <v>0</v>
      </c>
      <c r="R145" s="155"/>
      <c r="S145" s="295">
        <f>SUM(S109:S110)</f>
        <v>0</v>
      </c>
      <c r="U145" s="296"/>
      <c r="W145" s="295">
        <f>SUM(W109:W110)</f>
        <v>0</v>
      </c>
      <c r="Y145" s="295">
        <f>SUM(Y109:Y110)</f>
        <v>0</v>
      </c>
      <c r="Z145" s="156"/>
      <c r="AA145" s="8"/>
      <c r="AC145" s="295">
        <f>SUM(AC109:AC110)</f>
        <v>0</v>
      </c>
      <c r="AE145" s="295">
        <f>SUM(AE109:AE110)</f>
        <v>0</v>
      </c>
      <c r="AG145" s="295">
        <f>SUM(AG109:AG110)</f>
        <v>0</v>
      </c>
      <c r="AI145" s="295">
        <f>SUM(AI109:AI110)</f>
        <v>0</v>
      </c>
      <c r="AK145" s="295">
        <f>SUM(AK109:AK110)</f>
        <v>0</v>
      </c>
      <c r="AM145" s="295">
        <f>SUM(AM109:AM110)</f>
        <v>0</v>
      </c>
      <c r="AO145" s="295">
        <f>SUM(AO109:AO110)</f>
        <v>0</v>
      </c>
      <c r="AQ145" s="295">
        <f>SUM(AQ109:AQ110)</f>
        <v>0</v>
      </c>
      <c r="AS145" s="295">
        <f>SUM(AS109:AS110)</f>
        <v>0</v>
      </c>
      <c r="AT145" s="156"/>
      <c r="AU145" s="295">
        <f>SUM(AU109:AU110)</f>
        <v>0</v>
      </c>
      <c r="AW145" s="295">
        <f>SUM(AW109:AW110)</f>
        <v>0</v>
      </c>
      <c r="AY145" s="295" t="e">
        <f>SUM(AY109:AY110)</f>
        <v>#VALUE!</v>
      </c>
      <c r="AZ145" s="156"/>
      <c r="BA145" s="113"/>
    </row>
    <row r="146" spans="1:53" ht="15" customHeight="1" x14ac:dyDescent="0.25">
      <c r="A146" s="242"/>
      <c r="B146" s="5"/>
      <c r="D146" s="98"/>
      <c r="E146" s="98"/>
      <c r="F146" s="298"/>
      <c r="G146" s="299">
        <v>1000</v>
      </c>
      <c r="H146" s="304"/>
      <c r="I146" s="161" t="e">
        <f>$G$109*I13</f>
        <v>#VALUE!</v>
      </c>
      <c r="J146" s="232"/>
      <c r="K146" s="161" t="e">
        <f>$G$109*K13</f>
        <v>#VALUE!</v>
      </c>
      <c r="L146" s="155"/>
      <c r="M146" s="161" t="e">
        <f>$G$109*M13</f>
        <v>#VALUE!</v>
      </c>
      <c r="O146" s="161" t="e">
        <f>$G$109*O13</f>
        <v>#VALUE!</v>
      </c>
      <c r="Q146" s="161" t="e">
        <f>$G$109*Q13</f>
        <v>#VALUE!</v>
      </c>
      <c r="R146" s="155"/>
      <c r="S146" s="161" t="e">
        <f>$G$109*S13</f>
        <v>#VALUE!</v>
      </c>
      <c r="U146" s="305"/>
      <c r="W146" s="161" t="e">
        <f>$G$109*W13</f>
        <v>#VALUE!</v>
      </c>
      <c r="Y146" s="161" t="e">
        <f>$G$109*Y13</f>
        <v>#VALUE!</v>
      </c>
      <c r="Z146" s="156"/>
      <c r="AA146" s="8"/>
      <c r="AC146" s="161" t="e">
        <f>$G$109*AC13</f>
        <v>#VALUE!</v>
      </c>
      <c r="AE146" s="161" t="e">
        <f>$G$109*AE13</f>
        <v>#VALUE!</v>
      </c>
      <c r="AG146" s="161" t="e">
        <f>$G$109*AG13</f>
        <v>#VALUE!</v>
      </c>
      <c r="AI146" s="161" t="e">
        <f>$G$109*AI13</f>
        <v>#VALUE!</v>
      </c>
      <c r="AK146" s="161" t="e">
        <f>$G$109*AK13</f>
        <v>#VALUE!</v>
      </c>
      <c r="AM146" s="161" t="e">
        <f>$G$109*AM13</f>
        <v>#VALUE!</v>
      </c>
      <c r="AO146" s="161" t="e">
        <f>$G$109*AO13</f>
        <v>#VALUE!</v>
      </c>
      <c r="AQ146" s="161" t="e">
        <f>$G$109*AQ13</f>
        <v>#VALUE!</v>
      </c>
      <c r="AS146" s="161" t="e">
        <f>$G$109*AS13</f>
        <v>#VALUE!</v>
      </c>
      <c r="AT146" s="156"/>
      <c r="AU146" s="161" t="e">
        <f>$G$109*AU13</f>
        <v>#VALUE!</v>
      </c>
      <c r="AW146" s="161" t="e">
        <f>$G$109*AW13</f>
        <v>#VALUE!</v>
      </c>
      <c r="AY146" s="135">
        <f>SUM(I109:AW109)</f>
        <v>0</v>
      </c>
      <c r="AZ146" s="156"/>
      <c r="BA146" s="113"/>
    </row>
    <row r="147" spans="1:53" ht="15" customHeight="1" x14ac:dyDescent="0.25">
      <c r="A147" s="649"/>
      <c r="B147" s="644"/>
      <c r="C147" s="644"/>
      <c r="D147" s="644"/>
      <c r="E147" s="644"/>
      <c r="F147" s="644"/>
      <c r="G147" s="644"/>
      <c r="H147" s="306"/>
      <c r="I147" s="638"/>
      <c r="J147" s="232"/>
      <c r="K147" s="638"/>
      <c r="L147" s="155"/>
      <c r="M147" s="638"/>
      <c r="O147" s="638"/>
      <c r="Q147" s="638"/>
      <c r="R147" s="155"/>
      <c r="S147" s="638"/>
      <c r="U147" s="638"/>
      <c r="W147" s="638"/>
      <c r="Y147" s="638"/>
      <c r="Z147" s="156"/>
      <c r="AA147" s="8"/>
      <c r="AC147" s="638"/>
      <c r="AE147" s="638"/>
      <c r="AG147" s="638"/>
      <c r="AI147" s="638"/>
      <c r="AK147" s="638"/>
      <c r="AM147" s="638"/>
      <c r="AO147" s="638"/>
      <c r="AQ147" s="638"/>
      <c r="AS147" s="638"/>
      <c r="AT147" s="156"/>
      <c r="AU147" s="638"/>
      <c r="AW147" s="638"/>
      <c r="AY147" s="653"/>
      <c r="AZ147" s="156"/>
      <c r="BA147" s="652"/>
    </row>
    <row r="148" spans="1:53" ht="15" customHeight="1" x14ac:dyDescent="0.25">
      <c r="A148" s="642"/>
      <c r="B148" s="644"/>
      <c r="C148" s="644"/>
      <c r="D148" s="644"/>
      <c r="E148" s="644"/>
      <c r="F148" s="644"/>
      <c r="G148" s="644"/>
      <c r="H148" s="301"/>
      <c r="I148" s="639"/>
      <c r="J148" s="232"/>
      <c r="K148" s="639"/>
      <c r="L148" s="155"/>
      <c r="M148" s="639"/>
      <c r="O148" s="639"/>
      <c r="Q148" s="639"/>
      <c r="R148" s="155"/>
      <c r="S148" s="639"/>
      <c r="U148" s="639"/>
      <c r="W148" s="639"/>
      <c r="Y148" s="639"/>
      <c r="Z148" s="156"/>
      <c r="AA148" s="8"/>
      <c r="AC148" s="639"/>
      <c r="AE148" s="639"/>
      <c r="AG148" s="639"/>
      <c r="AI148" s="639"/>
      <c r="AK148" s="639"/>
      <c r="AM148" s="639"/>
      <c r="AO148" s="639"/>
      <c r="AQ148" s="639"/>
      <c r="AS148" s="639"/>
      <c r="AT148" s="156"/>
      <c r="AU148" s="639"/>
      <c r="AW148" s="639"/>
      <c r="AY148" s="639"/>
      <c r="AZ148" s="156"/>
      <c r="BA148" s="644"/>
    </row>
    <row r="149" spans="1:53" ht="6.75" customHeight="1" x14ac:dyDescent="0.25">
      <c r="A149" s="307"/>
      <c r="B149" s="137">
        <v>9.1</v>
      </c>
      <c r="C149" s="137" t="s">
        <v>577</v>
      </c>
      <c r="F149" s="308">
        <v>0.01</v>
      </c>
      <c r="G149" s="137" t="s">
        <v>353</v>
      </c>
      <c r="H149" s="137"/>
      <c r="I149" s="225" t="str">
        <f ca="1">$F$112*I73</f>
        <v/>
      </c>
      <c r="J149" s="4"/>
      <c r="K149" s="225" t="str">
        <f ca="1">$F$112*K73</f>
        <v/>
      </c>
      <c r="L149" s="226"/>
      <c r="M149" s="225" t="str">
        <f ca="1">$F$112*M73</f>
        <v/>
      </c>
      <c r="O149" s="225" t="str">
        <f ca="1">$F$112*O73</f>
        <v/>
      </c>
      <c r="Q149" s="225" t="str">
        <f ca="1">$F$112*Q73</f>
        <v/>
      </c>
      <c r="R149" s="226"/>
      <c r="S149" s="225" t="str">
        <f ca="1">$F$112*S73</f>
        <v/>
      </c>
      <c r="U149" s="225"/>
      <c r="W149" s="225" t="str">
        <f ca="1">+W73*$F112</f>
        <v/>
      </c>
      <c r="Y149" s="225" t="str">
        <f ca="1">+Y73*$F112</f>
        <v/>
      </c>
      <c r="Z149" s="227"/>
      <c r="AA149" s="8"/>
      <c r="AC149" s="225" t="str">
        <f ca="1">+AC73*$F112</f>
        <v/>
      </c>
      <c r="AE149" s="225" t="str">
        <f ca="1">+AE73*$F112</f>
        <v/>
      </c>
      <c r="AG149" s="225" t="str">
        <f ca="1">+AG73*$F112</f>
        <v/>
      </c>
      <c r="AI149" s="225" t="str">
        <f ca="1">+AI73*$F112</f>
        <v/>
      </c>
      <c r="AK149" s="225" t="str">
        <f ca="1">+AK73*$F112</f>
        <v/>
      </c>
      <c r="AM149" s="225" t="str">
        <f ca="1">+AM73*$F112</f>
        <v/>
      </c>
      <c r="AO149" s="225" t="str">
        <f ca="1">+AO73*$F112</f>
        <v/>
      </c>
      <c r="AQ149" s="225" t="str">
        <f ca="1">+AQ73*$F112</f>
        <v/>
      </c>
      <c r="AS149" s="225" t="str">
        <f ca="1">+AS73*$F112</f>
        <v/>
      </c>
      <c r="AT149" s="227"/>
      <c r="AU149" s="225" t="str">
        <f ca="1">+AU73*$F112</f>
        <v/>
      </c>
      <c r="AW149" s="225" t="str">
        <f ca="1">+AW73*$F112</f>
        <v/>
      </c>
      <c r="AY149" s="135">
        <f t="shared" ref="AY149:AY157" si="6">SUM(I112:AW112)</f>
        <v>0</v>
      </c>
      <c r="AZ149" s="80"/>
      <c r="BA149" s="113"/>
    </row>
    <row r="150" spans="1:53" ht="15" customHeight="1" x14ac:dyDescent="0.25">
      <c r="A150" s="656"/>
      <c r="B150" s="644"/>
      <c r="C150" s="644"/>
      <c r="D150" s="644"/>
      <c r="E150" s="644"/>
      <c r="F150" s="644"/>
      <c r="G150" s="137" t="s">
        <v>353</v>
      </c>
      <c r="H150" s="137"/>
      <c r="I150" s="225" t="str">
        <f ca="1">$F$113*I73</f>
        <v/>
      </c>
      <c r="J150" s="309"/>
      <c r="K150" s="225" t="str">
        <f ca="1">$F$113*K73</f>
        <v/>
      </c>
      <c r="L150" s="226"/>
      <c r="M150" s="225" t="str">
        <f ca="1">$F$113*M73</f>
        <v/>
      </c>
      <c r="O150" s="225" t="str">
        <f ca="1">$F$113*O73</f>
        <v/>
      </c>
      <c r="Q150" s="225" t="str">
        <f ca="1">$F$113*Q73</f>
        <v/>
      </c>
      <c r="R150" s="226"/>
      <c r="S150" s="225" t="str">
        <f ca="1">$F$113*S73</f>
        <v/>
      </c>
      <c r="U150" s="225"/>
      <c r="W150" s="225" t="str">
        <f ca="1">$F$113*W73</f>
        <v/>
      </c>
      <c r="Y150" s="225" t="str">
        <f ca="1">$F$113*Y73</f>
        <v/>
      </c>
      <c r="Z150" s="227"/>
      <c r="AA150" s="8"/>
      <c r="AC150" s="225" t="str">
        <f ca="1">$F$113*AC73</f>
        <v/>
      </c>
      <c r="AE150" s="225" t="str">
        <f ca="1">$F$113*AE73</f>
        <v/>
      </c>
      <c r="AG150" s="225" t="str">
        <f ca="1">$F$113*AG73</f>
        <v/>
      </c>
      <c r="AI150" s="225" t="str">
        <f ca="1">$F$113*AI73</f>
        <v/>
      </c>
      <c r="AK150" s="225" t="str">
        <f ca="1">$F$113*AK73</f>
        <v/>
      </c>
      <c r="AM150" s="225" t="str">
        <f ca="1">$F$113*AM73</f>
        <v/>
      </c>
      <c r="AO150" s="225" t="str">
        <f ca="1">$F$113*AO73</f>
        <v/>
      </c>
      <c r="AQ150" s="225" t="str">
        <f ca="1">$F$113*AQ73</f>
        <v/>
      </c>
      <c r="AS150" s="225" t="str">
        <f ca="1">$F$113*AS73</f>
        <v/>
      </c>
      <c r="AT150" s="227"/>
      <c r="AU150" s="225" t="str">
        <f ca="1">$F$113*AU73</f>
        <v/>
      </c>
      <c r="AW150" s="225" t="str">
        <f ca="1">$F$113*AW73</f>
        <v/>
      </c>
      <c r="AY150" s="135">
        <f t="shared" si="6"/>
        <v>0</v>
      </c>
      <c r="AZ150" s="156"/>
      <c r="BA150" s="113"/>
    </row>
    <row r="151" spans="1:53" ht="15" customHeight="1" x14ac:dyDescent="0.25">
      <c r="A151" s="642"/>
      <c r="B151" s="644"/>
      <c r="C151" s="644"/>
      <c r="D151" s="644"/>
      <c r="E151" s="644"/>
      <c r="F151" s="644"/>
      <c r="G151" s="137" t="s">
        <v>353</v>
      </c>
      <c r="H151" s="617"/>
      <c r="I151" s="225" t="str">
        <f ca="1">$F$114*I73</f>
        <v/>
      </c>
      <c r="J151" s="232"/>
      <c r="K151" s="225" t="str">
        <f ca="1">$F$114*K73</f>
        <v/>
      </c>
      <c r="L151" s="226"/>
      <c r="M151" s="225" t="str">
        <f ca="1">$F$114*M73</f>
        <v/>
      </c>
      <c r="O151" s="225" t="str">
        <f ca="1">$F$114*O73</f>
        <v/>
      </c>
      <c r="Q151" s="225" t="str">
        <f ca="1">$F$114*Q73</f>
        <v/>
      </c>
      <c r="R151" s="226"/>
      <c r="S151" s="225" t="str">
        <f ca="1">$F$114*S73</f>
        <v/>
      </c>
      <c r="U151" s="225"/>
      <c r="W151" s="225" t="str">
        <f ca="1">$F$114*W73</f>
        <v/>
      </c>
      <c r="Y151" s="225" t="str">
        <f ca="1">$F$114*Y73</f>
        <v/>
      </c>
      <c r="Z151" s="227"/>
      <c r="AA151" s="8"/>
      <c r="AC151" s="225" t="str">
        <f ca="1">$F$114*AC73</f>
        <v/>
      </c>
      <c r="AE151" s="225" t="str">
        <f ca="1">$F$114*AE73</f>
        <v/>
      </c>
      <c r="AG151" s="225" t="str">
        <f ca="1">$F$114*AG73</f>
        <v/>
      </c>
      <c r="AI151" s="225" t="str">
        <f ca="1">$F$114*AI73</f>
        <v/>
      </c>
      <c r="AK151" s="225" t="str">
        <f ca="1">$F$114*AK73</f>
        <v/>
      </c>
      <c r="AM151" s="225" t="str">
        <f ca="1">$F$114*AM73</f>
        <v/>
      </c>
      <c r="AO151" s="225" t="str">
        <f ca="1">$F$114*AO73</f>
        <v/>
      </c>
      <c r="AQ151" s="225" t="str">
        <f ca="1">$F$114*AQ73</f>
        <v/>
      </c>
      <c r="AS151" s="225" t="str">
        <f ca="1">$F$114*AS73</f>
        <v/>
      </c>
      <c r="AT151" s="227"/>
      <c r="AU151" s="225" t="str">
        <f ca="1">$F$114*AU73</f>
        <v/>
      </c>
      <c r="AW151" s="225" t="str">
        <f ca="1">$F$114*AW73</f>
        <v/>
      </c>
      <c r="AY151" s="135">
        <f t="shared" si="6"/>
        <v>0</v>
      </c>
      <c r="AZ151" s="156"/>
      <c r="BA151" s="113"/>
    </row>
    <row r="152" spans="1:53" ht="6.75" customHeight="1" x14ac:dyDescent="0.25">
      <c r="A152" s="307"/>
      <c r="B152" s="137" t="e">
        <f>B114+0.1</f>
        <v>#VALUE!</v>
      </c>
      <c r="C152" s="137" t="s">
        <v>578</v>
      </c>
      <c r="F152" s="275">
        <v>1750</v>
      </c>
      <c r="G152" s="137" t="s">
        <v>579</v>
      </c>
      <c r="I152" s="225">
        <f>$F$115*I13</f>
        <v>0</v>
      </c>
      <c r="J152" s="232"/>
      <c r="K152" s="225">
        <f>$F$115*K13</f>
        <v>0</v>
      </c>
      <c r="L152" s="226"/>
      <c r="M152" s="225">
        <f>$F$115*M13</f>
        <v>0</v>
      </c>
      <c r="O152" s="225">
        <f>$F$115*O13</f>
        <v>0</v>
      </c>
      <c r="Q152" s="225">
        <f>$F$115*Q13</f>
        <v>0</v>
      </c>
      <c r="R152" s="226"/>
      <c r="S152" s="225">
        <f>$F$115*S13</f>
        <v>0</v>
      </c>
      <c r="U152" s="310"/>
      <c r="W152" s="225">
        <f>$F$115*W13</f>
        <v>0</v>
      </c>
      <c r="Y152" s="225">
        <f>$F$115*Y13</f>
        <v>0</v>
      </c>
      <c r="Z152" s="227"/>
      <c r="AA152" s="8"/>
      <c r="AC152" s="225">
        <f>$F$115*AC13</f>
        <v>0</v>
      </c>
      <c r="AE152" s="225">
        <f>$F$115*AE13</f>
        <v>0</v>
      </c>
      <c r="AG152" s="225">
        <f>$F$115*AG13</f>
        <v>0</v>
      </c>
      <c r="AI152" s="225">
        <f>$F$115*AI13</f>
        <v>0</v>
      </c>
      <c r="AK152" s="225">
        <f>$F$115*AK13</f>
        <v>0</v>
      </c>
      <c r="AM152" s="225">
        <f>$F$115*AM13</f>
        <v>0</v>
      </c>
      <c r="AO152" s="225">
        <f>$F$115*AO13</f>
        <v>0</v>
      </c>
      <c r="AQ152" s="225">
        <f>$F$115*AQ13</f>
        <v>0</v>
      </c>
      <c r="AS152" s="225">
        <f>$F$115*AS13</f>
        <v>0</v>
      </c>
      <c r="AT152" s="227"/>
      <c r="AU152" s="225">
        <f>$F$115*AU13</f>
        <v>0</v>
      </c>
      <c r="AW152" s="225">
        <f>$F$115*AW13</f>
        <v>0</v>
      </c>
      <c r="AY152" s="135">
        <f t="shared" si="6"/>
        <v>0</v>
      </c>
      <c r="AZ152" s="156"/>
      <c r="BA152" s="113"/>
    </row>
    <row r="153" spans="1:53" s="10" customFormat="1" ht="15" customHeight="1" x14ac:dyDescent="0.25">
      <c r="A153" s="307"/>
      <c r="B153" s="137">
        <v>9.5</v>
      </c>
      <c r="C153" s="137" t="s">
        <v>580</v>
      </c>
      <c r="F153" s="275">
        <v>2000</v>
      </c>
      <c r="G153" s="137" t="s">
        <v>579</v>
      </c>
      <c r="I153" s="225">
        <f>$F$116*I13</f>
        <v>0</v>
      </c>
      <c r="J153" s="232"/>
      <c r="K153" s="225">
        <f>$F$116*K13</f>
        <v>0</v>
      </c>
      <c r="L153" s="226"/>
      <c r="M153" s="225">
        <f>$F$116*M13</f>
        <v>0</v>
      </c>
      <c r="O153" s="225">
        <f>$F$116*O13</f>
        <v>0</v>
      </c>
      <c r="Q153" s="225">
        <f>$F$116*Q13</f>
        <v>0</v>
      </c>
      <c r="R153" s="226"/>
      <c r="S153" s="225">
        <f>$F$116*S13</f>
        <v>0</v>
      </c>
      <c r="U153" s="310"/>
      <c r="W153" s="225">
        <f>$F$116*W13</f>
        <v>0</v>
      </c>
      <c r="Y153" s="225">
        <f>$F$116*Y13</f>
        <v>0</v>
      </c>
      <c r="Z153" s="227"/>
      <c r="AA153" s="8"/>
      <c r="AC153" s="225">
        <f>$F$116*AC13</f>
        <v>0</v>
      </c>
      <c r="AE153" s="225">
        <f>$F$116*AE13</f>
        <v>0</v>
      </c>
      <c r="AG153" s="225">
        <f>$F$116*AG13</f>
        <v>0</v>
      </c>
      <c r="AI153" s="225">
        <f>$F$116*AI13</f>
        <v>0</v>
      </c>
      <c r="AK153" s="225">
        <f>$F$116*AK13</f>
        <v>0</v>
      </c>
      <c r="AM153" s="225">
        <f>$F$116*AM13</f>
        <v>0</v>
      </c>
      <c r="AO153" s="225">
        <f>$F$116*AO13</f>
        <v>0</v>
      </c>
      <c r="AQ153" s="225">
        <f>$F$116*AQ13</f>
        <v>0</v>
      </c>
      <c r="AS153" s="225">
        <f>$F$116*AS13</f>
        <v>0</v>
      </c>
      <c r="AT153" s="227"/>
      <c r="AU153" s="225">
        <f>$F$116*AU13</f>
        <v>0</v>
      </c>
      <c r="AW153" s="225">
        <f>$F$116*AW13</f>
        <v>0</v>
      </c>
      <c r="AY153" s="225">
        <f t="shared" si="6"/>
        <v>0</v>
      </c>
      <c r="AZ153" s="80"/>
      <c r="BA153" s="113"/>
    </row>
    <row r="154" spans="1:53" s="10" customFormat="1" ht="15" customHeight="1" x14ac:dyDescent="0.25">
      <c r="A154" s="307"/>
      <c r="B154" s="137">
        <v>9.6</v>
      </c>
      <c r="C154" s="137" t="s">
        <v>581</v>
      </c>
      <c r="F154" s="275">
        <v>6000</v>
      </c>
      <c r="G154" s="137" t="s">
        <v>582</v>
      </c>
      <c r="I154" s="225">
        <f>$F$117*I10</f>
        <v>0</v>
      </c>
      <c r="J154" s="232"/>
      <c r="K154" s="225">
        <f>$F$117*K10</f>
        <v>0</v>
      </c>
      <c r="L154" s="226"/>
      <c r="M154" s="225">
        <f>$F$117*M10</f>
        <v>0</v>
      </c>
      <c r="O154" s="225">
        <f>$F$117*O10</f>
        <v>0</v>
      </c>
      <c r="Q154" s="225">
        <f>$F$117*Q10</f>
        <v>0</v>
      </c>
      <c r="R154" s="226"/>
      <c r="S154" s="225">
        <f>$F$117*S10</f>
        <v>0</v>
      </c>
      <c r="U154" s="225"/>
      <c r="W154" s="225">
        <f>$F$117*W10</f>
        <v>0</v>
      </c>
      <c r="Y154" s="225">
        <f>$F$117*Y10</f>
        <v>0</v>
      </c>
      <c r="Z154" s="227"/>
      <c r="AA154" s="8"/>
      <c r="AC154" s="225">
        <f>$F$117*AC10</f>
        <v>0</v>
      </c>
      <c r="AE154" s="225">
        <f>$F$117*AE10</f>
        <v>0</v>
      </c>
      <c r="AG154" s="225">
        <f>$F$117*AG10</f>
        <v>0</v>
      </c>
      <c r="AI154" s="225">
        <f>$F$117*AI10</f>
        <v>0</v>
      </c>
      <c r="AK154" s="225">
        <f>+AK10*$F117</f>
        <v>0</v>
      </c>
      <c r="AM154" s="225">
        <f>+AM10*$F117</f>
        <v>0</v>
      </c>
      <c r="AO154" s="225">
        <f>+AO10*$F117</f>
        <v>0</v>
      </c>
      <c r="AQ154" s="225">
        <f>+AQ10*$F117</f>
        <v>0</v>
      </c>
      <c r="AS154" s="225">
        <f>+AS10*$F117</f>
        <v>0</v>
      </c>
      <c r="AT154" s="227"/>
      <c r="AU154" s="225">
        <f>+AU10*$F117</f>
        <v>0</v>
      </c>
      <c r="AW154" s="225">
        <f>+AW10*$F117</f>
        <v>0</v>
      </c>
      <c r="AY154" s="225">
        <f t="shared" si="6"/>
        <v>0</v>
      </c>
      <c r="AZ154" s="80"/>
      <c r="BA154" s="113"/>
    </row>
    <row r="155" spans="1:53" s="10" customFormat="1" ht="15" customHeight="1" x14ac:dyDescent="0.25">
      <c r="A155" s="307"/>
      <c r="B155" s="137">
        <v>9.6999999999999993</v>
      </c>
      <c r="C155" s="137" t="s">
        <v>583</v>
      </c>
      <c r="F155" s="269"/>
      <c r="G155" s="137"/>
      <c r="I155" s="288"/>
      <c r="J155" s="232"/>
      <c r="K155" s="225"/>
      <c r="L155" s="226"/>
      <c r="M155" s="225"/>
      <c r="O155" s="225"/>
      <c r="Q155" s="225"/>
      <c r="R155" s="226"/>
      <c r="S155" s="225"/>
      <c r="U155" s="225"/>
      <c r="W155" s="225"/>
      <c r="Y155" s="225"/>
      <c r="Z155" s="227"/>
      <c r="AA155" s="8"/>
      <c r="AC155" s="225"/>
      <c r="AE155" s="225"/>
      <c r="AG155" s="225"/>
      <c r="AI155" s="225"/>
      <c r="AK155" s="225"/>
      <c r="AM155" s="225"/>
      <c r="AO155" s="225"/>
      <c r="AQ155" s="225"/>
      <c r="AS155" s="225"/>
      <c r="AT155" s="227"/>
      <c r="AU155" s="225"/>
      <c r="AW155" s="225"/>
      <c r="AY155" s="135">
        <f t="shared" si="6"/>
        <v>0</v>
      </c>
      <c r="AZ155" s="156"/>
      <c r="BA155" s="113"/>
    </row>
    <row r="156" spans="1:53" s="10" customFormat="1" ht="15" customHeight="1" x14ac:dyDescent="0.25">
      <c r="A156" s="307"/>
      <c r="B156" s="137">
        <v>9.8000000000000007</v>
      </c>
      <c r="C156" s="137" t="s">
        <v>584</v>
      </c>
      <c r="F156" s="311"/>
      <c r="G156" s="137"/>
      <c r="I156" s="288"/>
      <c r="J156" s="232"/>
      <c r="K156" s="225"/>
      <c r="L156" s="226"/>
      <c r="M156" s="225"/>
      <c r="O156" s="225"/>
      <c r="Q156" s="225"/>
      <c r="R156" s="226"/>
      <c r="S156" s="225"/>
      <c r="U156" s="225"/>
      <c r="W156" s="225"/>
      <c r="Y156" s="225"/>
      <c r="Z156" s="227"/>
      <c r="AA156" s="8"/>
      <c r="AC156" s="225"/>
      <c r="AE156" s="225"/>
      <c r="AG156" s="225"/>
      <c r="AI156" s="225"/>
      <c r="AK156" s="225"/>
      <c r="AM156" s="225"/>
      <c r="AO156" s="225"/>
      <c r="AQ156" s="225"/>
      <c r="AS156" s="225"/>
      <c r="AT156" s="227"/>
      <c r="AU156" s="225"/>
      <c r="AW156" s="225"/>
      <c r="AY156" s="135">
        <f t="shared" si="6"/>
        <v>0</v>
      </c>
      <c r="AZ156" s="156"/>
      <c r="BA156" s="113"/>
    </row>
    <row r="157" spans="1:53" ht="15" customHeight="1" x14ac:dyDescent="0.25">
      <c r="A157" s="644"/>
      <c r="B157" s="644"/>
      <c r="C157" s="644"/>
      <c r="D157" s="644"/>
      <c r="E157" s="644"/>
      <c r="F157" s="644"/>
      <c r="G157" s="239" t="s">
        <v>585</v>
      </c>
      <c r="I157" s="650">
        <v>0</v>
      </c>
      <c r="K157" s="646">
        <v>0</v>
      </c>
      <c r="M157" s="646">
        <v>0</v>
      </c>
      <c r="O157" s="646">
        <v>0</v>
      </c>
      <c r="Q157" s="646">
        <v>0</v>
      </c>
      <c r="S157" s="646">
        <v>0</v>
      </c>
      <c r="U157" s="644"/>
      <c r="W157" s="646">
        <v>0</v>
      </c>
      <c r="Y157" s="646">
        <v>0</v>
      </c>
      <c r="AC157" s="646">
        <v>0</v>
      </c>
      <c r="AE157" s="646">
        <v>0</v>
      </c>
      <c r="AG157" s="646">
        <v>0</v>
      </c>
      <c r="AI157" s="646">
        <v>0</v>
      </c>
      <c r="AK157" s="646">
        <v>0</v>
      </c>
      <c r="AM157" s="646">
        <v>0</v>
      </c>
      <c r="AO157" s="646">
        <v>0</v>
      </c>
      <c r="AQ157" s="646">
        <v>0</v>
      </c>
      <c r="AS157" s="646">
        <v>0</v>
      </c>
      <c r="AU157" s="646">
        <v>0</v>
      </c>
      <c r="AW157" s="646">
        <v>0</v>
      </c>
      <c r="AY157" s="646">
        <f t="shared" si="6"/>
        <v>0</v>
      </c>
      <c r="BA157" s="644"/>
    </row>
    <row r="158" spans="1:53" ht="15" customHeight="1" x14ac:dyDescent="0.25">
      <c r="A158" s="644"/>
      <c r="B158" s="644"/>
      <c r="C158" s="644"/>
      <c r="D158" s="644"/>
      <c r="E158" s="644"/>
      <c r="F158" s="644"/>
      <c r="G158" s="239" t="s">
        <v>586</v>
      </c>
      <c r="I158" s="651"/>
      <c r="K158" s="644"/>
      <c r="M158" s="644"/>
      <c r="O158" s="644"/>
      <c r="Q158" s="644"/>
      <c r="S158" s="644"/>
      <c r="U158" s="644"/>
      <c r="W158" s="644"/>
      <c r="Y158" s="644"/>
      <c r="AC158" s="644"/>
      <c r="AE158" s="644"/>
      <c r="AG158" s="644"/>
      <c r="AI158" s="644"/>
      <c r="AK158" s="644"/>
      <c r="AM158" s="644"/>
      <c r="AO158" s="644"/>
      <c r="AQ158" s="644"/>
      <c r="AS158" s="644"/>
      <c r="AU158" s="644"/>
      <c r="AW158" s="644"/>
      <c r="AY158" s="644"/>
      <c r="BA158" s="644"/>
    </row>
    <row r="159" spans="1:53" ht="6.75" customHeight="1" x14ac:dyDescent="0.25">
      <c r="B159" s="1" t="s">
        <v>587</v>
      </c>
      <c r="C159" s="238" t="s">
        <v>588</v>
      </c>
      <c r="F159" s="163">
        <v>5.0000000000000001E-3</v>
      </c>
      <c r="G159" s="239" t="s">
        <v>589</v>
      </c>
      <c r="I159" s="618" t="e">
        <f>$F$122*I87</f>
        <v>#DIV/0!</v>
      </c>
      <c r="K159" s="72" t="e">
        <f>$F$122*K87</f>
        <v>#DIV/0!</v>
      </c>
      <c r="M159" s="72" t="e">
        <f>$F$122*M87</f>
        <v>#DIV/0!</v>
      </c>
      <c r="O159" s="72" t="e">
        <f>$F$122*O87</f>
        <v>#DIV/0!</v>
      </c>
      <c r="Q159" s="72" t="e">
        <f>$F$122*Q87</f>
        <v>#DIV/0!</v>
      </c>
      <c r="S159" s="72" t="e">
        <f>$F$122*S87</f>
        <v>#DIV/0!</v>
      </c>
      <c r="W159" s="72" t="e">
        <f>$F$122*W87</f>
        <v>#DIV/0!</v>
      </c>
      <c r="Y159" s="72" t="e">
        <f>$F$122*Y87</f>
        <v>#DIV/0!</v>
      </c>
      <c r="AC159" s="72" t="e">
        <f>$F$122*AC87</f>
        <v>#DIV/0!</v>
      </c>
      <c r="AE159" s="72" t="e">
        <f>$F$122*AE87</f>
        <v>#DIV/0!</v>
      </c>
      <c r="AG159" s="72" t="e">
        <f>$F$122*AG87</f>
        <v>#DIV/0!</v>
      </c>
      <c r="AI159" s="72" t="e">
        <f>$F$122*AI87</f>
        <v>#DIV/0!</v>
      </c>
      <c r="AK159" s="72" t="e">
        <f>$F$122*AK87</f>
        <v>#DIV/0!</v>
      </c>
      <c r="AM159" s="72" t="e">
        <f>$F$122*AM87</f>
        <v>#DIV/0!</v>
      </c>
      <c r="AO159" s="72" t="e">
        <f>$F$122*AO87</f>
        <v>#DIV/0!</v>
      </c>
      <c r="AQ159" s="72" t="e">
        <f>$F$122*AQ87</f>
        <v>#DIV/0!</v>
      </c>
      <c r="AS159" s="72" t="e">
        <f>$F$122*AS87</f>
        <v>#DIV/0!</v>
      </c>
      <c r="AU159" s="72" t="e">
        <f>$F$122*AU87</f>
        <v>#DIV/0!</v>
      </c>
      <c r="AW159" s="72" t="e">
        <f>$F$122*AW87</f>
        <v>#DIV/0!</v>
      </c>
      <c r="AY159" s="72">
        <f>SUM(I122:AW122)</f>
        <v>0</v>
      </c>
    </row>
    <row r="160" spans="1:53" ht="15" customHeight="1" x14ac:dyDescent="0.25">
      <c r="A160" s="644"/>
      <c r="B160" s="644"/>
      <c r="C160" s="644"/>
      <c r="D160" s="644"/>
      <c r="E160" s="644"/>
      <c r="F160" s="644"/>
      <c r="G160" s="239" t="s">
        <v>590</v>
      </c>
      <c r="I160" s="618">
        <v>0</v>
      </c>
      <c r="K160" s="72">
        <v>0</v>
      </c>
      <c r="M160" s="72">
        <v>0</v>
      </c>
      <c r="O160" s="72">
        <v>0</v>
      </c>
      <c r="Q160" s="72">
        <v>0</v>
      </c>
      <c r="S160" s="72">
        <v>0</v>
      </c>
      <c r="W160" s="72">
        <v>0</v>
      </c>
      <c r="Y160" s="72">
        <v>0</v>
      </c>
      <c r="AC160" s="72">
        <v>0</v>
      </c>
      <c r="AE160" s="72">
        <v>0</v>
      </c>
      <c r="AG160" s="72">
        <v>0</v>
      </c>
      <c r="AI160" s="72">
        <v>0</v>
      </c>
      <c r="AK160" s="72">
        <v>0</v>
      </c>
      <c r="AM160" s="72">
        <v>0</v>
      </c>
      <c r="AO160" s="72">
        <v>0</v>
      </c>
      <c r="AQ160" s="72">
        <v>0</v>
      </c>
      <c r="AS160" s="72">
        <v>0</v>
      </c>
      <c r="AU160" s="72">
        <v>0</v>
      </c>
      <c r="AW160" s="72">
        <v>0</v>
      </c>
      <c r="AY160" s="72">
        <f>SUM(I123:AW123)</f>
        <v>0</v>
      </c>
    </row>
    <row r="161" spans="1:53" ht="15" customHeight="1" x14ac:dyDescent="0.25">
      <c r="A161" s="644"/>
      <c r="B161" s="644"/>
      <c r="C161" s="644"/>
      <c r="D161" s="644"/>
      <c r="E161" s="644"/>
      <c r="F161" s="644"/>
      <c r="G161" s="239" t="s">
        <v>591</v>
      </c>
      <c r="I161" s="618">
        <v>0</v>
      </c>
      <c r="K161" s="72">
        <v>0</v>
      </c>
      <c r="M161" s="72">
        <v>0</v>
      </c>
      <c r="O161" s="72">
        <v>0</v>
      </c>
      <c r="Q161" s="72">
        <v>0</v>
      </c>
      <c r="S161" s="72">
        <v>0</v>
      </c>
      <c r="W161" s="72">
        <v>0</v>
      </c>
      <c r="Y161" s="72">
        <v>0</v>
      </c>
      <c r="AC161" s="72">
        <v>0</v>
      </c>
      <c r="AE161" s="72">
        <v>0</v>
      </c>
      <c r="AG161" s="72">
        <v>0</v>
      </c>
      <c r="AI161" s="72">
        <v>0</v>
      </c>
      <c r="AK161" s="72">
        <v>0</v>
      </c>
      <c r="AM161" s="72">
        <v>0</v>
      </c>
      <c r="AO161" s="72">
        <v>0</v>
      </c>
      <c r="AQ161" s="72">
        <v>0</v>
      </c>
      <c r="AS161" s="72">
        <v>0</v>
      </c>
      <c r="AU161" s="72">
        <v>0</v>
      </c>
      <c r="AW161" s="72">
        <v>0</v>
      </c>
      <c r="AY161" s="72">
        <f>SUM(I124:AW124)</f>
        <v>0</v>
      </c>
    </row>
    <row r="162" spans="1:53" ht="6.75" customHeight="1" x14ac:dyDescent="0.25">
      <c r="A162" s="242"/>
      <c r="I162" s="312"/>
      <c r="J162" s="4"/>
      <c r="K162" s="312"/>
      <c r="L162" s="24"/>
      <c r="M162" s="312"/>
      <c r="O162" s="312"/>
      <c r="Q162" s="312"/>
      <c r="R162" s="24"/>
      <c r="S162" s="312"/>
      <c r="U162" s="312"/>
      <c r="W162" s="312"/>
      <c r="Y162" s="312"/>
      <c r="AA162" s="8"/>
      <c r="AC162" s="312"/>
      <c r="AE162" s="312"/>
      <c r="AG162" s="312"/>
      <c r="AI162" s="312"/>
      <c r="AK162" s="312"/>
      <c r="AM162" s="312"/>
      <c r="AO162" s="312"/>
      <c r="AQ162" s="312"/>
      <c r="AS162" s="312"/>
      <c r="AU162" s="312"/>
      <c r="AW162" s="312"/>
      <c r="AY162" s="313"/>
      <c r="AZ162" s="156"/>
      <c r="BA162" s="113"/>
    </row>
    <row r="163" spans="1:53" s="10" customFormat="1" ht="15" customHeight="1" x14ac:dyDescent="0.25">
      <c r="A163" s="246">
        <v>10</v>
      </c>
      <c r="B163" s="290" t="s">
        <v>592</v>
      </c>
      <c r="C163" s="290"/>
      <c r="D163" s="302"/>
      <c r="E163" s="302"/>
      <c r="F163" s="314"/>
      <c r="G163" s="249"/>
      <c r="H163" s="315"/>
      <c r="I163" s="295">
        <f>SUM(I122:I123)</f>
        <v>0</v>
      </c>
      <c r="K163" s="295">
        <f>SUM(K122:K123)</f>
        <v>0</v>
      </c>
      <c r="L163" s="155"/>
      <c r="M163" s="295">
        <f>SUM(M122:M123)</f>
        <v>0</v>
      </c>
      <c r="O163" s="295">
        <f>SUM(O122:O123)</f>
        <v>0</v>
      </c>
      <c r="Q163" s="295">
        <f>SUM(Q122:Q123)</f>
        <v>0</v>
      </c>
      <c r="R163" s="155"/>
      <c r="S163" s="295">
        <f>SUM(S122:S123)</f>
        <v>0</v>
      </c>
      <c r="U163" s="316"/>
      <c r="W163" s="295">
        <f>SUM(W122:W123)</f>
        <v>0</v>
      </c>
      <c r="Y163" s="295">
        <f>SUM(Y122:Y123)</f>
        <v>0</v>
      </c>
      <c r="Z163" s="156"/>
      <c r="AA163" s="8"/>
      <c r="AC163" s="295">
        <f>SUM(AC122:AC123)</f>
        <v>0</v>
      </c>
      <c r="AE163" s="295">
        <f>SUM(AE122:AE123)</f>
        <v>0</v>
      </c>
      <c r="AG163" s="295">
        <f>SUM(AG122:AG123)</f>
        <v>0</v>
      </c>
      <c r="AI163" s="295">
        <f>SUM(AI122:AI123)</f>
        <v>0</v>
      </c>
      <c r="AK163" s="295">
        <f>SUM(AK122:AK123)</f>
        <v>0</v>
      </c>
      <c r="AM163" s="295">
        <f>SUM(AM122:AM123)</f>
        <v>0</v>
      </c>
      <c r="AO163" s="295">
        <f>SUM(AO122:AO123)</f>
        <v>0</v>
      </c>
      <c r="AQ163" s="295">
        <f>SUM(AQ122:AQ123)</f>
        <v>0</v>
      </c>
      <c r="AS163" s="295">
        <f>SUM(AS122:AS123)</f>
        <v>0</v>
      </c>
      <c r="AT163" s="156"/>
      <c r="AU163" s="295">
        <f>SUM(AU122:AU123)</f>
        <v>0</v>
      </c>
      <c r="AW163" s="295">
        <f>SUM(AW122:AW123)</f>
        <v>0</v>
      </c>
      <c r="AY163" s="295" t="e">
        <f>SUM(AY122:AY123)</f>
        <v>#DIV/0!</v>
      </c>
      <c r="AZ163" s="156"/>
      <c r="BA163" s="113"/>
    </row>
    <row r="164" spans="1:53" s="10" customFormat="1" ht="15" customHeight="1" x14ac:dyDescent="0.25">
      <c r="A164" s="91"/>
      <c r="D164" s="98"/>
      <c r="E164" s="98"/>
      <c r="F164" s="317">
        <v>6.5000000000000002E-2</v>
      </c>
      <c r="G164" s="232" t="s">
        <v>574</v>
      </c>
      <c r="H164" s="318"/>
      <c r="I164" s="319" t="e">
        <f>$F$122*I87</f>
        <v>#DIV/0!</v>
      </c>
      <c r="K164" s="319" t="e">
        <f>$F$122*K87</f>
        <v>#DIV/0!</v>
      </c>
      <c r="L164" s="320"/>
      <c r="M164" s="319" t="e">
        <f>$F$122*M87</f>
        <v>#DIV/0!</v>
      </c>
      <c r="O164" s="319" t="e">
        <f>$F$122*O87</f>
        <v>#DIV/0!</v>
      </c>
      <c r="Q164" s="319" t="e">
        <f>$F$122*Q87</f>
        <v>#DIV/0!</v>
      </c>
      <c r="R164" s="320"/>
      <c r="S164" s="319" t="e">
        <f>$F$122*S87</f>
        <v>#DIV/0!</v>
      </c>
      <c r="U164" s="321"/>
      <c r="W164" s="319" t="e">
        <f>$F$122*W87</f>
        <v>#DIV/0!</v>
      </c>
      <c r="Y164" s="319" t="e">
        <f>$F$122*Y87</f>
        <v>#DIV/0!</v>
      </c>
      <c r="Z164" s="80"/>
      <c r="AA164" s="8"/>
      <c r="AC164" s="319" t="e">
        <f>$F$122*AC87</f>
        <v>#DIV/0!</v>
      </c>
      <c r="AE164" s="319" t="e">
        <f>$F$122*AE87</f>
        <v>#DIV/0!</v>
      </c>
      <c r="AG164" s="319" t="e">
        <f>$F$122*AG87</f>
        <v>#DIV/0!</v>
      </c>
      <c r="AI164" s="319" t="e">
        <f>$F$122*AI87</f>
        <v>#DIV/0!</v>
      </c>
      <c r="AK164" s="319" t="e">
        <f>$F$122*AK87</f>
        <v>#DIV/0!</v>
      </c>
      <c r="AM164" s="319" t="e">
        <f>$F$122*AM87</f>
        <v>#DIV/0!</v>
      </c>
      <c r="AO164" s="319" t="e">
        <f>$F$122*AO87</f>
        <v>#DIV/0!</v>
      </c>
      <c r="AQ164" s="319" t="e">
        <f>$F$122*AQ87</f>
        <v>#DIV/0!</v>
      </c>
      <c r="AS164" s="319" t="e">
        <f>$F$122*AS87</f>
        <v>#DIV/0!</v>
      </c>
      <c r="AT164" s="80"/>
      <c r="AU164" s="319" t="e">
        <f>$F$122*AU87</f>
        <v>#DIV/0!</v>
      </c>
      <c r="AW164" s="319" t="e">
        <f>$F$122*AW87</f>
        <v>#DIV/0!</v>
      </c>
      <c r="AY164" s="135">
        <f>SUM(I122:AW122)</f>
        <v>0</v>
      </c>
      <c r="AZ164" s="80"/>
      <c r="BA164" s="113"/>
    </row>
    <row r="165" spans="1:53" s="10" customFormat="1" ht="15" customHeight="1" x14ac:dyDescent="0.25">
      <c r="A165" s="242"/>
      <c r="H165" s="322"/>
      <c r="I165" s="323"/>
      <c r="K165" s="323"/>
      <c r="L165" s="324"/>
      <c r="M165" s="323"/>
      <c r="O165" s="323"/>
      <c r="Q165" s="319"/>
      <c r="R165" s="324"/>
      <c r="S165" s="319"/>
      <c r="U165" s="325"/>
      <c r="W165" s="319"/>
      <c r="Y165" s="319"/>
      <c r="AA165" s="8"/>
      <c r="AC165" s="319"/>
      <c r="AE165" s="319"/>
      <c r="AG165" s="319"/>
      <c r="AI165" s="319"/>
      <c r="AK165" s="319"/>
      <c r="AM165" s="319"/>
      <c r="AO165" s="319"/>
      <c r="AQ165" s="319"/>
      <c r="AS165" s="319"/>
      <c r="AU165" s="319"/>
      <c r="AW165" s="319"/>
      <c r="AY165" s="326"/>
      <c r="AZ165" s="156"/>
      <c r="BA165" s="113"/>
    </row>
    <row r="166" spans="1:53" s="10" customFormat="1" ht="15" customHeight="1" x14ac:dyDescent="0.25">
      <c r="A166" s="246">
        <v>11</v>
      </c>
      <c r="B166" s="290" t="s">
        <v>593</v>
      </c>
      <c r="C166" s="290"/>
      <c r="D166" s="301"/>
      <c r="E166" s="301"/>
      <c r="F166" s="301"/>
      <c r="G166" s="301"/>
      <c r="H166" s="301"/>
      <c r="I166" s="295">
        <f>SUM(I125:I126)</f>
        <v>0</v>
      </c>
      <c r="K166" s="295">
        <f>SUM(K125:K126)</f>
        <v>0</v>
      </c>
      <c r="L166" s="155"/>
      <c r="M166" s="295">
        <f>SUM(M125:M126)</f>
        <v>0</v>
      </c>
      <c r="O166" s="295">
        <f>SUM(O125:O126)</f>
        <v>0</v>
      </c>
      <c r="Q166" s="295">
        <f>SUM(Q125:Q126)</f>
        <v>0</v>
      </c>
      <c r="R166" s="155"/>
      <c r="S166" s="295">
        <f>SUM(S125:S126)</f>
        <v>0</v>
      </c>
      <c r="U166" s="316"/>
      <c r="W166" s="295">
        <f>SUM(W125:W126)</f>
        <v>0</v>
      </c>
      <c r="Y166" s="295">
        <f>SUM(Y125:Y126)</f>
        <v>0</v>
      </c>
      <c r="Z166" s="156"/>
      <c r="AA166" s="8"/>
      <c r="AC166" s="295">
        <f>SUM(AC125:AC126)</f>
        <v>0</v>
      </c>
      <c r="AE166" s="295">
        <f>SUM(AE125:AE126)</f>
        <v>0</v>
      </c>
      <c r="AG166" s="295">
        <f>SUM(AG125:AG126)</f>
        <v>0</v>
      </c>
      <c r="AI166" s="295">
        <f>SUM(AI125:AI126)</f>
        <v>0</v>
      </c>
      <c r="AK166" s="295">
        <f>SUM(AK125:AK126)</f>
        <v>0</v>
      </c>
      <c r="AM166" s="295">
        <f>SUM(AM125:AM126)</f>
        <v>0</v>
      </c>
      <c r="AO166" s="295">
        <f>SUM(AO125:AO126)</f>
        <v>0</v>
      </c>
      <c r="AQ166" s="295">
        <f>SUM(AQ125:AQ126)</f>
        <v>0</v>
      </c>
      <c r="AS166" s="295">
        <f>SUM(AS125:AS126)</f>
        <v>0</v>
      </c>
      <c r="AT166" s="156"/>
      <c r="AU166" s="295">
        <f>SUM(AU125:AU126)</f>
        <v>0</v>
      </c>
      <c r="AW166" s="295">
        <f>SUM(AW125:AW126)</f>
        <v>0</v>
      </c>
      <c r="AY166" s="295" t="e">
        <f>SUM(AY125:AY126)</f>
        <v>#DIV/0!</v>
      </c>
      <c r="AZ166" s="156"/>
      <c r="BA166" s="113"/>
    </row>
    <row r="167" spans="1:53" s="10" customFormat="1" ht="6.75" customHeight="1" x14ac:dyDescent="0.25">
      <c r="A167" s="307"/>
      <c r="B167" s="137">
        <v>11.1</v>
      </c>
      <c r="C167" s="137" t="s">
        <v>594</v>
      </c>
      <c r="F167" s="327"/>
      <c r="G167" s="137"/>
      <c r="H167" s="137"/>
      <c r="I167" s="225"/>
      <c r="J167" s="4"/>
      <c r="K167" s="225"/>
      <c r="L167" s="272"/>
      <c r="M167" s="225"/>
      <c r="O167" s="225"/>
      <c r="Q167" s="225"/>
      <c r="R167" s="272"/>
      <c r="S167" s="225"/>
      <c r="U167" s="225"/>
      <c r="W167" s="225"/>
      <c r="Y167" s="225"/>
      <c r="Z167" s="227"/>
      <c r="AA167" s="8"/>
      <c r="AC167" s="225"/>
      <c r="AE167" s="225"/>
      <c r="AG167" s="225"/>
      <c r="AI167" s="225"/>
      <c r="AK167" s="225"/>
      <c r="AM167" s="225"/>
      <c r="AO167" s="225"/>
      <c r="AQ167" s="225"/>
      <c r="AS167" s="225"/>
      <c r="AT167" s="227"/>
      <c r="AU167" s="225"/>
      <c r="AW167" s="225"/>
      <c r="AY167" s="135">
        <f>SUM(I125:AW125)</f>
        <v>0</v>
      </c>
      <c r="AZ167" s="156"/>
      <c r="BA167" s="113"/>
    </row>
    <row r="168" spans="1:53" s="10" customFormat="1" ht="15" customHeight="1" x14ac:dyDescent="0.25">
      <c r="B168" s="10" t="s">
        <v>595</v>
      </c>
      <c r="C168" s="238" t="s">
        <v>596</v>
      </c>
      <c r="G168" s="239" t="s">
        <v>597</v>
      </c>
      <c r="I168" s="618">
        <v>0</v>
      </c>
      <c r="K168" s="72">
        <v>0</v>
      </c>
      <c r="M168" s="72">
        <v>0</v>
      </c>
      <c r="O168" s="72">
        <v>0</v>
      </c>
      <c r="Q168" s="72">
        <v>0</v>
      </c>
      <c r="S168" s="72">
        <v>0</v>
      </c>
      <c r="W168" s="72">
        <v>0</v>
      </c>
      <c r="Y168" s="72">
        <v>0</v>
      </c>
      <c r="AC168" s="72">
        <v>0</v>
      </c>
      <c r="AE168" s="72">
        <v>0</v>
      </c>
      <c r="AG168" s="72">
        <v>0</v>
      </c>
      <c r="AI168" s="72">
        <v>0</v>
      </c>
      <c r="AK168" s="72">
        <v>0</v>
      </c>
      <c r="AM168" s="72">
        <v>0</v>
      </c>
      <c r="AO168" s="72">
        <v>0</v>
      </c>
      <c r="AQ168" s="72">
        <v>0</v>
      </c>
      <c r="AS168" s="72">
        <v>0</v>
      </c>
      <c r="AU168" s="72">
        <v>0</v>
      </c>
      <c r="AW168" s="72">
        <v>0</v>
      </c>
      <c r="AY168" s="72">
        <f>SUM(I126:AW126)</f>
        <v>0</v>
      </c>
    </row>
    <row r="169" spans="1:53" s="10" customFormat="1" ht="6.75" customHeight="1" x14ac:dyDescent="0.25">
      <c r="B169" s="10" t="s">
        <v>598</v>
      </c>
      <c r="C169" s="238" t="s">
        <v>599</v>
      </c>
      <c r="G169" s="239" t="s">
        <v>600</v>
      </c>
      <c r="I169" s="618">
        <v>0</v>
      </c>
      <c r="K169" s="72">
        <v>0</v>
      </c>
      <c r="M169" s="72">
        <v>0</v>
      </c>
      <c r="O169" s="72">
        <v>0</v>
      </c>
      <c r="Q169" s="72">
        <v>0</v>
      </c>
      <c r="S169" s="72">
        <v>0</v>
      </c>
      <c r="W169" s="72">
        <v>0</v>
      </c>
      <c r="Y169" s="72">
        <v>0</v>
      </c>
      <c r="AC169" s="72">
        <v>0</v>
      </c>
      <c r="AE169" s="72">
        <v>0</v>
      </c>
      <c r="AG169" s="72">
        <v>0</v>
      </c>
      <c r="AI169" s="72">
        <v>0</v>
      </c>
      <c r="AK169" s="72">
        <v>0</v>
      </c>
      <c r="AM169" s="72">
        <v>0</v>
      </c>
      <c r="AO169" s="72">
        <v>0</v>
      </c>
      <c r="AQ169" s="72">
        <v>0</v>
      </c>
      <c r="AS169" s="72">
        <v>0</v>
      </c>
      <c r="AU169" s="72">
        <v>0</v>
      </c>
      <c r="AW169" s="72">
        <v>0</v>
      </c>
      <c r="AY169" s="72">
        <f>SUM(I127:AW127)</f>
        <v>0</v>
      </c>
    </row>
    <row r="170" spans="1:53" ht="15" customHeight="1" x14ac:dyDescent="0.25">
      <c r="B170" s="1" t="s">
        <v>601</v>
      </c>
      <c r="C170" s="238" t="s">
        <v>602</v>
      </c>
      <c r="G170" s="239" t="s">
        <v>603</v>
      </c>
      <c r="I170" s="618">
        <v>0</v>
      </c>
      <c r="K170" s="72">
        <v>0</v>
      </c>
      <c r="M170" s="72">
        <v>0</v>
      </c>
      <c r="O170" s="72">
        <v>0</v>
      </c>
      <c r="Q170" s="72">
        <v>0</v>
      </c>
      <c r="S170" s="72">
        <v>0</v>
      </c>
      <c r="W170" s="72">
        <v>0</v>
      </c>
      <c r="Y170" s="72">
        <v>0</v>
      </c>
      <c r="AC170" s="72">
        <v>0</v>
      </c>
      <c r="AE170" s="72">
        <v>0</v>
      </c>
      <c r="AG170" s="72">
        <v>0</v>
      </c>
      <c r="AI170" s="72">
        <v>0</v>
      </c>
      <c r="AK170" s="72">
        <v>0</v>
      </c>
      <c r="AM170" s="72">
        <v>0</v>
      </c>
      <c r="AO170" s="72">
        <v>0</v>
      </c>
      <c r="AQ170" s="72">
        <v>0</v>
      </c>
      <c r="AS170" s="72">
        <v>0</v>
      </c>
      <c r="AU170" s="72">
        <v>0</v>
      </c>
      <c r="AW170" s="72">
        <v>0</v>
      </c>
      <c r="AY170" s="72">
        <f>SUM(I128:AW128)</f>
        <v>0</v>
      </c>
    </row>
    <row r="171" spans="1:53" ht="15" customHeight="1" x14ac:dyDescent="0.25">
      <c r="B171" s="1" t="s">
        <v>604</v>
      </c>
      <c r="C171" s="238" t="s">
        <v>605</v>
      </c>
      <c r="G171" s="239" t="s">
        <v>531</v>
      </c>
      <c r="I171" s="618">
        <v>0</v>
      </c>
      <c r="K171" s="72">
        <v>0</v>
      </c>
      <c r="M171" s="72">
        <v>0</v>
      </c>
      <c r="O171" s="72">
        <v>0</v>
      </c>
      <c r="Q171" s="72">
        <v>0</v>
      </c>
      <c r="S171" s="72">
        <v>0</v>
      </c>
      <c r="W171" s="72">
        <v>0</v>
      </c>
      <c r="Y171" s="72">
        <v>0</v>
      </c>
      <c r="AC171" s="72">
        <v>0</v>
      </c>
      <c r="AE171" s="72">
        <v>0</v>
      </c>
      <c r="AG171" s="72">
        <v>0</v>
      </c>
      <c r="AI171" s="72">
        <v>0</v>
      </c>
      <c r="AK171" s="72">
        <v>0</v>
      </c>
      <c r="AM171" s="72">
        <v>0</v>
      </c>
      <c r="AO171" s="72">
        <v>0</v>
      </c>
      <c r="AQ171" s="72">
        <v>0</v>
      </c>
      <c r="AS171" s="72">
        <v>0</v>
      </c>
      <c r="AU171" s="72">
        <v>0</v>
      </c>
      <c r="AW171" s="72">
        <v>0</v>
      </c>
      <c r="AY171" s="72">
        <f>SUM(I129:AW129)</f>
        <v>0</v>
      </c>
    </row>
    <row r="172" spans="1:53" ht="15" customHeight="1" x14ac:dyDescent="0.25">
      <c r="A172" s="242"/>
      <c r="I172" s="319"/>
      <c r="K172" s="319"/>
      <c r="L172" s="324"/>
      <c r="M172" s="319"/>
      <c r="O172" s="319"/>
      <c r="Q172" s="319"/>
      <c r="R172" s="324"/>
      <c r="S172" s="319"/>
      <c r="U172" s="319"/>
      <c r="W172" s="319"/>
      <c r="Y172" s="319"/>
      <c r="AA172" s="8"/>
      <c r="AC172" s="319"/>
      <c r="AE172" s="319"/>
      <c r="AG172" s="319"/>
      <c r="AI172" s="319"/>
      <c r="AK172" s="319"/>
      <c r="AM172" s="319"/>
      <c r="AO172" s="319"/>
      <c r="AQ172" s="319"/>
      <c r="AS172" s="319"/>
      <c r="AU172" s="319"/>
      <c r="AW172" s="319"/>
      <c r="AY172" s="319"/>
      <c r="AZ172" s="156"/>
      <c r="BA172" s="113"/>
    </row>
    <row r="173" spans="1:53" ht="15" customHeight="1" x14ac:dyDescent="0.25">
      <c r="A173" s="246">
        <v>12</v>
      </c>
      <c r="B173" s="290" t="s">
        <v>606</v>
      </c>
      <c r="C173" s="301"/>
      <c r="D173" s="301"/>
      <c r="E173" s="301"/>
      <c r="F173" s="314"/>
      <c r="G173" s="249"/>
      <c r="H173" s="328"/>
      <c r="I173" s="295">
        <f>SUM(I128:I129)</f>
        <v>0</v>
      </c>
      <c r="K173" s="295">
        <f>SUM(K128:K129)</f>
        <v>0</v>
      </c>
      <c r="L173" s="155"/>
      <c r="M173" s="295">
        <f>SUM(M128:M129)</f>
        <v>0</v>
      </c>
      <c r="O173" s="295">
        <f>SUM(O128:O129)</f>
        <v>0</v>
      </c>
      <c r="Q173" s="295">
        <f>SUM(Q128:Q129)</f>
        <v>0</v>
      </c>
      <c r="R173" s="155"/>
      <c r="S173" s="295">
        <f>SUM(S128:S129)</f>
        <v>0</v>
      </c>
      <c r="U173" s="316"/>
      <c r="W173" s="295">
        <f>SUM(W128:W129)</f>
        <v>0</v>
      </c>
      <c r="Y173" s="295">
        <f>SUM(Y128:Y129)</f>
        <v>0</v>
      </c>
      <c r="Z173" s="156"/>
      <c r="AA173" s="8"/>
      <c r="AC173" s="295">
        <f>SUM(AC128:AC129)</f>
        <v>0</v>
      </c>
      <c r="AE173" s="295">
        <f>SUM(AE128:AE129)</f>
        <v>0</v>
      </c>
      <c r="AG173" s="295">
        <f>SUM(AG128:AG129)</f>
        <v>0</v>
      </c>
      <c r="AI173" s="295">
        <f>SUM(AI128:AI129)</f>
        <v>0</v>
      </c>
      <c r="AK173" s="295">
        <f>SUM(AK128:AK129)</f>
        <v>0</v>
      </c>
      <c r="AM173" s="295">
        <f>SUM(AM128:AM129)</f>
        <v>0</v>
      </c>
      <c r="AO173" s="295">
        <f>SUM(AO128:AO129)</f>
        <v>0</v>
      </c>
      <c r="AQ173" s="295">
        <f>SUM(AQ128:AQ129)</f>
        <v>0</v>
      </c>
      <c r="AS173" s="295">
        <f>SUM(AS128:AS129)</f>
        <v>0</v>
      </c>
      <c r="AT173" s="156"/>
      <c r="AU173" s="295">
        <f>SUM(AU128:AU129)</f>
        <v>0</v>
      </c>
      <c r="AW173" s="295">
        <f>SUM(AW128:AW129)</f>
        <v>0</v>
      </c>
      <c r="AY173" s="295">
        <f>SUM(AY128:AY129)</f>
        <v>0</v>
      </c>
      <c r="AZ173" s="156"/>
      <c r="BA173" s="113"/>
    </row>
    <row r="174" spans="1:53" ht="15" customHeight="1" x14ac:dyDescent="0.25">
      <c r="A174" s="91"/>
      <c r="F174" s="317">
        <v>0.02</v>
      </c>
      <c r="G174" s="232" t="s">
        <v>574</v>
      </c>
      <c r="H174" s="329"/>
      <c r="I174" s="319" t="e">
        <f>$F$128*I87</f>
        <v>#DIV/0!</v>
      </c>
      <c r="K174" s="319" t="e">
        <f>$F$128*K87</f>
        <v>#DIV/0!</v>
      </c>
      <c r="L174" s="320"/>
      <c r="M174" s="319" t="e">
        <f>$F$128*M87</f>
        <v>#DIV/0!</v>
      </c>
      <c r="O174" s="319" t="e">
        <f>$F$128*O87</f>
        <v>#DIV/0!</v>
      </c>
      <c r="Q174" s="319" t="e">
        <f>$F$128*Q87</f>
        <v>#DIV/0!</v>
      </c>
      <c r="R174" s="320"/>
      <c r="S174" s="319" t="e">
        <f>$F$128*S87</f>
        <v>#DIV/0!</v>
      </c>
      <c r="U174" s="321"/>
      <c r="W174" s="319" t="e">
        <f>$F$128*W87</f>
        <v>#DIV/0!</v>
      </c>
      <c r="Y174" s="319" t="e">
        <f>$F$128*Y87</f>
        <v>#DIV/0!</v>
      </c>
      <c r="Z174" s="80"/>
      <c r="AA174" s="8"/>
      <c r="AC174" s="319" t="e">
        <f>$F$128*AC87</f>
        <v>#DIV/0!</v>
      </c>
      <c r="AE174" s="319" t="e">
        <f>$F$128*AE87</f>
        <v>#DIV/0!</v>
      </c>
      <c r="AG174" s="319" t="e">
        <f>$F$128*AG87</f>
        <v>#DIV/0!</v>
      </c>
      <c r="AI174" s="319" t="e">
        <f>$F$128*AI87</f>
        <v>#DIV/0!</v>
      </c>
      <c r="AK174" s="319" t="e">
        <f>$F$128*AK87</f>
        <v>#DIV/0!</v>
      </c>
      <c r="AM174" s="319" t="e">
        <f>$F$128*AM87</f>
        <v>#DIV/0!</v>
      </c>
      <c r="AO174" s="319" t="e">
        <f>$F$128*AO87</f>
        <v>#DIV/0!</v>
      </c>
      <c r="AQ174" s="319" t="e">
        <f>$F$128*AQ87</f>
        <v>#DIV/0!</v>
      </c>
      <c r="AS174" s="319" t="e">
        <f>$F$128*AS87</f>
        <v>#DIV/0!</v>
      </c>
      <c r="AT174" s="80"/>
      <c r="AU174" s="319" t="e">
        <f>$F$128*AU87</f>
        <v>#DIV/0!</v>
      </c>
      <c r="AW174" s="319" t="e">
        <f>$F$128*AW87</f>
        <v>#DIV/0!</v>
      </c>
      <c r="AY174" s="135">
        <f>SUM(I128:AW128)</f>
        <v>0</v>
      </c>
      <c r="AZ174" s="80"/>
      <c r="BA174" s="113"/>
    </row>
    <row r="175" spans="1:53" ht="15" customHeight="1" x14ac:dyDescent="0.25">
      <c r="A175" s="649"/>
      <c r="B175" s="644"/>
      <c r="C175" s="644"/>
      <c r="D175" s="644"/>
      <c r="E175" s="644"/>
      <c r="F175" s="644"/>
      <c r="G175" s="644"/>
      <c r="H175" s="644"/>
      <c r="I175" s="192"/>
      <c r="K175" s="161"/>
      <c r="L175" s="155"/>
      <c r="M175" s="161"/>
      <c r="O175" s="161"/>
      <c r="Q175" s="161"/>
      <c r="R175" s="155"/>
      <c r="S175" s="161"/>
      <c r="U175" s="161"/>
      <c r="W175" s="161"/>
      <c r="Y175" s="161"/>
      <c r="Z175" s="156"/>
      <c r="AA175" s="8"/>
      <c r="AC175" s="161"/>
      <c r="AE175" s="161"/>
      <c r="AG175" s="161"/>
      <c r="AI175" s="161"/>
      <c r="AK175" s="161"/>
      <c r="AM175" s="161"/>
      <c r="AO175" s="161"/>
      <c r="AQ175" s="161"/>
      <c r="AS175" s="161"/>
      <c r="AT175" s="156"/>
      <c r="AU175" s="161"/>
      <c r="AW175" s="161"/>
      <c r="AY175" s="195"/>
      <c r="AZ175" s="156"/>
      <c r="BA175" s="113"/>
    </row>
    <row r="176" spans="1:53" ht="15" customHeight="1" x14ac:dyDescent="0.25">
      <c r="A176" s="246">
        <v>13</v>
      </c>
      <c r="B176" s="290" t="s">
        <v>607</v>
      </c>
      <c r="C176" s="301"/>
      <c r="D176" s="330"/>
      <c r="E176" s="330"/>
      <c r="F176" s="331"/>
      <c r="G176" s="332"/>
      <c r="H176" s="333"/>
      <c r="I176" s="295"/>
      <c r="K176" s="295"/>
      <c r="L176" s="155"/>
      <c r="M176" s="295"/>
      <c r="O176" s="295"/>
      <c r="Q176" s="295"/>
      <c r="R176" s="155"/>
      <c r="S176" s="295"/>
      <c r="U176" s="161"/>
      <c r="W176" s="295"/>
      <c r="Y176" s="295"/>
      <c r="Z176" s="156"/>
      <c r="AA176" s="8"/>
      <c r="AC176" s="295"/>
      <c r="AE176" s="295"/>
      <c r="AG176" s="295"/>
      <c r="AI176" s="295"/>
      <c r="AK176" s="295"/>
      <c r="AM176" s="295"/>
      <c r="AO176" s="295"/>
      <c r="AQ176" s="295"/>
      <c r="AS176" s="295"/>
      <c r="AT176" s="156"/>
      <c r="AU176" s="295"/>
      <c r="AW176" s="295"/>
      <c r="AY176" s="334">
        <f>SUM(I130:AT130)-U130</f>
        <v>0</v>
      </c>
      <c r="AZ176" s="156"/>
      <c r="BA176" s="113"/>
    </row>
    <row r="177" spans="1:53" ht="15" customHeight="1" x14ac:dyDescent="0.25">
      <c r="A177" s="242"/>
      <c r="B177" s="10"/>
      <c r="C177" s="10"/>
      <c r="D177" s="10"/>
      <c r="E177" s="10"/>
      <c r="F177" s="10"/>
      <c r="G177" s="10"/>
      <c r="H177" s="10"/>
      <c r="I177" s="312"/>
      <c r="J177" s="4"/>
      <c r="K177" s="312"/>
      <c r="L177" s="24"/>
      <c r="M177" s="312"/>
      <c r="O177" s="312"/>
      <c r="Q177" s="312"/>
      <c r="R177" s="24"/>
      <c r="S177" s="312"/>
      <c r="U177" s="312"/>
      <c r="W177" s="312"/>
      <c r="Y177" s="312"/>
      <c r="AA177" s="8"/>
      <c r="AC177" s="312"/>
      <c r="AE177" s="312"/>
      <c r="AG177" s="312"/>
      <c r="AI177" s="312"/>
      <c r="AK177" s="312"/>
      <c r="AM177" s="312"/>
      <c r="AO177" s="312"/>
      <c r="AQ177" s="312"/>
      <c r="AS177" s="312"/>
      <c r="AU177" s="312"/>
      <c r="AW177" s="312"/>
      <c r="AY177" s="313"/>
      <c r="AZ177" s="156"/>
      <c r="BA177" s="113"/>
    </row>
    <row r="178" spans="1:53" ht="15" customHeight="1" x14ac:dyDescent="0.25">
      <c r="A178" s="175" t="s">
        <v>608</v>
      </c>
      <c r="B178" s="335"/>
      <c r="C178" s="335"/>
      <c r="D178" s="335"/>
      <c r="E178" s="335"/>
      <c r="F178" s="335"/>
      <c r="G178" s="336"/>
      <c r="H178" s="336"/>
      <c r="I178" s="177" t="e">
        <f>I81+I87+I105+I108+I111+I121+I124+I127+I130</f>
        <v>#DIV/0!</v>
      </c>
      <c r="J178" s="4"/>
      <c r="K178" s="177" t="e">
        <f>K81+K87+K105+K108+K111+K121+K124+K127+K130</f>
        <v>#DIV/0!</v>
      </c>
      <c r="L178" s="178"/>
      <c r="M178" s="177" t="e">
        <f>M81+M87+M105+M108+M111+M121+M124+M127+M130</f>
        <v>#DIV/0!</v>
      </c>
      <c r="O178" s="177" t="e">
        <f>O81+O87+O105+O108+O111+O121+O124+O127+O130</f>
        <v>#DIV/0!</v>
      </c>
      <c r="Q178" s="177" t="e">
        <f>Q81+Q87+Q105+Q108+Q111+Q121+Q124+Q127+Q130</f>
        <v>#DIV/0!</v>
      </c>
      <c r="R178" s="178"/>
      <c r="S178" s="177" t="e">
        <f>S81+S87+S105+S108+S111+S121+S124+S127+S130</f>
        <v>#DIV/0!</v>
      </c>
      <c r="U178" s="337"/>
      <c r="W178" s="177" t="e">
        <f>W81+W87+W105+W108+W111+W121+W124+W127+W130</f>
        <v>#DIV/0!</v>
      </c>
      <c r="Y178" s="177" t="e">
        <f>Y81+Y87+Y105+Y108+Y111+Y121+Y124+Y127+Y130</f>
        <v>#DIV/0!</v>
      </c>
      <c r="Z178" s="180"/>
      <c r="AA178" s="8"/>
      <c r="AC178" s="177" t="e">
        <f>AC81+AC87+AC105+AC108+AC111+AC121+AC124+AC127+AC130</f>
        <v>#DIV/0!</v>
      </c>
      <c r="AE178" s="177" t="e">
        <f>AE81+AE87+AE105+AE108+AE111+AE121+AE124+AE127+AE130</f>
        <v>#DIV/0!</v>
      </c>
      <c r="AG178" s="177" t="e">
        <f>AG81+AG87+AG105+AG108+AG111+AG121+AG124+AG127+AG130</f>
        <v>#DIV/0!</v>
      </c>
      <c r="AI178" s="177" t="e">
        <f>AI81+AI87+AI105+AI108+AI111+AI121+AI124+AI127+AI130</f>
        <v>#DIV/0!</v>
      </c>
      <c r="AK178" s="177" t="e">
        <f>AK81+AK87+AK105+AK108+AK111+AK121+AK124+AK127+AK130</f>
        <v>#DIV/0!</v>
      </c>
      <c r="AM178" s="177" t="e">
        <f>AM81+AM87+AM105+AM108+AM111+AM121+AM124+AM127+AM130</f>
        <v>#DIV/0!</v>
      </c>
      <c r="AO178" s="177" t="e">
        <f>AO81+AO87+AO105+AO108+AO111+AO121+AO124+AO127+AO130</f>
        <v>#DIV/0!</v>
      </c>
      <c r="AQ178" s="177" t="e">
        <f>AQ81+AQ87+AQ105+AQ108+AQ111+AQ121+AQ124+AQ127+AQ130</f>
        <v>#DIV/0!</v>
      </c>
      <c r="AS178" s="177" t="e">
        <f>AS81+AS87+AS105+AS108+AS111+AS121+AS124+AS127+AS130</f>
        <v>#DIV/0!</v>
      </c>
      <c r="AT178" s="180"/>
      <c r="AU178" s="177" t="e">
        <f>AU81+AU87+AU105+AU108+AU111+AU121+AU124+AU127+AU130</f>
        <v>#DIV/0!</v>
      </c>
      <c r="AW178" s="177" t="e">
        <f>AW81+AW87+AW105+AW108+AW111+AW121+AW124+AW127+AW130</f>
        <v>#DIV/0!</v>
      </c>
      <c r="AY178" s="177" t="str">
        <f ca="1">AY81+AY87+AY105+AY108+AY111+AY121+AY124+AY127+AY130</f>
        <v/>
      </c>
      <c r="AZ178" s="156"/>
      <c r="BA178" s="113"/>
    </row>
    <row r="179" spans="1:53" ht="15" customHeight="1" x14ac:dyDescent="0.25">
      <c r="A179" s="173"/>
      <c r="B179" s="174"/>
      <c r="C179" s="174"/>
      <c r="D179" s="174"/>
      <c r="E179" s="174"/>
      <c r="F179" s="174"/>
      <c r="G179" s="338"/>
      <c r="H179" s="338"/>
      <c r="I179" s="339"/>
      <c r="J179" s="4"/>
      <c r="K179" s="339"/>
      <c r="L179" s="178"/>
      <c r="M179" s="339"/>
      <c r="O179" s="339"/>
      <c r="Q179" s="339"/>
      <c r="R179" s="178"/>
      <c r="S179" s="339"/>
      <c r="U179" s="340"/>
      <c r="W179" s="339"/>
      <c r="Y179" s="339"/>
      <c r="Z179" s="180"/>
      <c r="AA179" s="8"/>
      <c r="AC179" s="339"/>
      <c r="AE179" s="339"/>
      <c r="AG179" s="339"/>
      <c r="AI179" s="339"/>
      <c r="AK179" s="339"/>
      <c r="AM179" s="339"/>
      <c r="AO179" s="339"/>
      <c r="AQ179" s="339"/>
      <c r="AS179" s="339"/>
      <c r="AT179" s="180"/>
      <c r="AU179" s="339"/>
      <c r="AW179" s="339"/>
      <c r="AY179" s="339"/>
      <c r="AZ179" s="156"/>
      <c r="BA179" s="113"/>
    </row>
    <row r="180" spans="1:53" ht="15" customHeight="1" x14ac:dyDescent="0.25">
      <c r="A180" s="341" t="s">
        <v>609</v>
      </c>
      <c r="B180" s="335"/>
      <c r="C180" s="335"/>
      <c r="D180" s="335"/>
      <c r="E180" s="335"/>
      <c r="F180" s="335"/>
      <c r="G180" s="335"/>
      <c r="H180" s="335"/>
      <c r="I180" s="206">
        <f>I132-I82</f>
        <v>0</v>
      </c>
      <c r="J180" s="204"/>
      <c r="K180" s="206">
        <f>K132-K82</f>
        <v>0</v>
      </c>
      <c r="L180" s="206"/>
      <c r="M180" s="206">
        <f>M132-M82</f>
        <v>0</v>
      </c>
      <c r="N180" s="206"/>
      <c r="O180" s="206">
        <f>O132-O82</f>
        <v>0</v>
      </c>
      <c r="P180" s="206"/>
      <c r="Q180" s="206">
        <f>Q132-Q82</f>
        <v>0</v>
      </c>
      <c r="R180" s="206"/>
      <c r="S180" s="206">
        <f>S132-S82</f>
        <v>0</v>
      </c>
      <c r="T180" s="206"/>
      <c r="U180" s="206">
        <f>U132-U82</f>
        <v>0</v>
      </c>
      <c r="V180" s="206"/>
      <c r="W180" s="206">
        <f>W132-W82</f>
        <v>0</v>
      </c>
      <c r="X180" s="206"/>
      <c r="Y180" s="206">
        <f>Y132-Y82</f>
        <v>0</v>
      </c>
      <c r="Z180" s="342">
        <f>Z132-Z82</f>
        <v>0</v>
      </c>
      <c r="AA180" s="8"/>
      <c r="AB180" s="204">
        <f>AB132-AB82</f>
        <v>0</v>
      </c>
      <c r="AC180" s="206">
        <f>AC132-AC82</f>
        <v>0</v>
      </c>
      <c r="AD180" s="206"/>
      <c r="AE180" s="206">
        <f>AE132-AE82</f>
        <v>0</v>
      </c>
      <c r="AF180" s="206"/>
      <c r="AG180" s="206">
        <f>AG132-AG82</f>
        <v>0</v>
      </c>
      <c r="AH180" s="206"/>
      <c r="AI180" s="206">
        <f>AI132-AI82</f>
        <v>0</v>
      </c>
      <c r="AJ180" s="206"/>
      <c r="AK180" s="206">
        <f>AK132-AK82</f>
        <v>0</v>
      </c>
      <c r="AL180" s="206"/>
      <c r="AM180" s="206">
        <f>AM132-AM82</f>
        <v>0</v>
      </c>
      <c r="AN180" s="206"/>
      <c r="AO180" s="206">
        <f>AO132-AO82</f>
        <v>0</v>
      </c>
      <c r="AP180" s="206"/>
      <c r="AQ180" s="206">
        <f>AQ132-AQ82</f>
        <v>0</v>
      </c>
      <c r="AR180" s="206"/>
      <c r="AS180" s="206">
        <f>AS132-AS82</f>
        <v>0</v>
      </c>
      <c r="AT180" s="206"/>
      <c r="AU180" s="206">
        <f>AU132-AU82</f>
        <v>0</v>
      </c>
      <c r="AV180" s="206"/>
      <c r="AW180" s="206">
        <f>AW132-AW82</f>
        <v>0</v>
      </c>
      <c r="AX180" s="206"/>
      <c r="AY180" s="206">
        <f>AY132-AY82</f>
        <v>0</v>
      </c>
      <c r="AZ180" s="156"/>
      <c r="BA180" s="113"/>
    </row>
    <row r="181" spans="1:53" ht="15" customHeight="1" x14ac:dyDescent="0.25">
      <c r="A181" s="242"/>
      <c r="I181" s="206"/>
      <c r="J181" s="65"/>
      <c r="K181" s="206"/>
      <c r="L181" s="204"/>
      <c r="M181" s="206"/>
      <c r="N181" s="65"/>
      <c r="O181" s="206"/>
      <c r="P181" s="65"/>
      <c r="Q181" s="206"/>
      <c r="R181" s="204"/>
      <c r="S181" s="206"/>
      <c r="T181" s="65"/>
      <c r="U181" s="206"/>
      <c r="V181" s="65"/>
      <c r="W181" s="206"/>
      <c r="X181" s="65"/>
      <c r="Y181" s="206"/>
      <c r="Z181" s="65"/>
      <c r="AA181" s="8"/>
      <c r="AB181" s="65"/>
      <c r="AC181" s="206"/>
      <c r="AD181" s="65"/>
      <c r="AE181" s="206"/>
      <c r="AF181" s="65"/>
      <c r="AG181" s="206"/>
      <c r="AH181" s="65"/>
      <c r="AI181" s="206"/>
      <c r="AJ181" s="65"/>
      <c r="AK181" s="206"/>
      <c r="AL181" s="65"/>
      <c r="AM181" s="206"/>
      <c r="AN181" s="65"/>
      <c r="AO181" s="206"/>
      <c r="AP181" s="65"/>
      <c r="AQ181" s="206"/>
      <c r="AR181" s="65"/>
      <c r="AS181" s="206"/>
      <c r="AT181" s="65"/>
      <c r="AU181" s="206"/>
      <c r="AV181" s="65"/>
      <c r="AW181" s="206"/>
      <c r="AX181" s="65"/>
      <c r="AY181" s="207"/>
      <c r="AZ181" s="65"/>
      <c r="BA181" s="113"/>
    </row>
    <row r="182" spans="1:53" ht="15" customHeight="1" x14ac:dyDescent="0.25">
      <c r="A182" s="343">
        <v>15</v>
      </c>
      <c r="B182" s="344" t="s">
        <v>177</v>
      </c>
      <c r="C182" s="344"/>
      <c r="D182" s="345"/>
      <c r="E182" s="345"/>
      <c r="F182" s="345"/>
      <c r="G182" s="345"/>
      <c r="H182" s="345"/>
      <c r="I182" s="346" t="str">
        <f ca="1">SUM(I183:I205)</f>
        <v/>
      </c>
      <c r="J182" s="4"/>
      <c r="K182" s="346" t="str">
        <f ca="1">SUM(K183:K205)</f>
        <v/>
      </c>
      <c r="L182" s="220"/>
      <c r="M182" s="346" t="str">
        <f ca="1">SUM(M183:M205)</f>
        <v/>
      </c>
      <c r="O182" s="346" t="str">
        <f ca="1">SUM(O183:O205)</f>
        <v/>
      </c>
      <c r="Q182" s="346" t="str">
        <f ca="1">SUM(Q183:Q205)</f>
        <v/>
      </c>
      <c r="R182" s="220"/>
      <c r="S182" s="346" t="str">
        <f ca="1">SUM(S183:S205)</f>
        <v/>
      </c>
      <c r="U182" s="221"/>
      <c r="W182" s="346" t="str">
        <f ca="1">SUM(W183:W205)</f>
        <v/>
      </c>
      <c r="Y182" s="346" t="str">
        <f ca="1">SUM(Y183:Y205)</f>
        <v/>
      </c>
      <c r="Z182" s="149"/>
      <c r="AA182" s="8"/>
      <c r="AC182" s="346" t="str">
        <f ca="1">SUM(AC183:AC205)</f>
        <v/>
      </c>
      <c r="AE182" s="346" t="str">
        <f ca="1">SUM(AE183:AE205)</f>
        <v/>
      </c>
      <c r="AG182" s="346" t="str">
        <f ca="1">SUM(AG183:AG205)</f>
        <v/>
      </c>
      <c r="AI182" s="346" t="str">
        <f ca="1">SUM(AI183:AI205)</f>
        <v/>
      </c>
      <c r="AK182" s="346" t="str">
        <f ca="1">SUM(AK183:AK205)</f>
        <v/>
      </c>
      <c r="AM182" s="346" t="str">
        <f ca="1">SUM(AM183:AM205)</f>
        <v/>
      </c>
      <c r="AO182" s="346" t="str">
        <f ca="1">SUM(AO183:AO205)</f>
        <v/>
      </c>
      <c r="AQ182" s="346" t="str">
        <f ca="1">SUM(AQ183:AQ205)</f>
        <v/>
      </c>
      <c r="AS182" s="346" t="str">
        <f ca="1">SUM(AS183:AS205)</f>
        <v/>
      </c>
      <c r="AT182" s="149"/>
      <c r="AU182" s="346" t="str">
        <f ca="1">SUM(AU183:AU205)</f>
        <v/>
      </c>
      <c r="AW182" s="346" t="str">
        <f ca="1">SUM(AW183:AW205)</f>
        <v/>
      </c>
      <c r="AY182" s="347" t="e">
        <f>SUM(AY183:AY205)</f>
        <v>#DIV/0!</v>
      </c>
      <c r="AZ182" s="65"/>
      <c r="BA182" s="113"/>
    </row>
    <row r="183" spans="1:53" ht="15" customHeight="1" x14ac:dyDescent="0.25">
      <c r="A183" s="348"/>
      <c r="B183" s="349">
        <v>15.1</v>
      </c>
      <c r="C183" s="137" t="s">
        <v>610</v>
      </c>
      <c r="I183" s="312"/>
      <c r="J183" s="4"/>
      <c r="K183" s="312"/>
      <c r="L183" s="24"/>
      <c r="M183" s="312"/>
      <c r="O183" s="312"/>
      <c r="Q183" s="312"/>
      <c r="R183" s="24"/>
      <c r="S183" s="350"/>
      <c r="U183" s="312"/>
      <c r="W183" s="312"/>
      <c r="Y183" s="312"/>
      <c r="AA183" s="8"/>
      <c r="AC183" s="312"/>
      <c r="AE183" s="312"/>
      <c r="AG183" s="312"/>
      <c r="AI183" s="312"/>
      <c r="AK183" s="312"/>
      <c r="AM183" s="312"/>
      <c r="AO183" s="312"/>
      <c r="AQ183" s="312"/>
      <c r="AS183" s="312"/>
      <c r="AU183" s="312"/>
      <c r="AW183" s="312"/>
      <c r="AY183" s="313"/>
      <c r="BA183" s="113"/>
    </row>
    <row r="184" spans="1:53" ht="15" customHeight="1" x14ac:dyDescent="0.25">
      <c r="A184" s="348"/>
      <c r="B184" s="349"/>
      <c r="C184" s="137" t="s">
        <v>611</v>
      </c>
      <c r="F184" s="311">
        <v>0.01</v>
      </c>
      <c r="G184" s="137" t="s">
        <v>353</v>
      </c>
      <c r="H184" s="137"/>
      <c r="I184" s="225" t="str">
        <f ca="1">$F$138*I73</f>
        <v/>
      </c>
      <c r="J184" s="232"/>
      <c r="K184" s="225" t="str">
        <f ca="1">$F$138*K73</f>
        <v/>
      </c>
      <c r="L184" s="226"/>
      <c r="M184" s="225" t="str">
        <f ca="1">$F$138*M73</f>
        <v/>
      </c>
      <c r="O184" s="225" t="str">
        <f ca="1">$F$138*O73</f>
        <v/>
      </c>
      <c r="Q184" s="225" t="str">
        <f ca="1">$F$138*Q73</f>
        <v/>
      </c>
      <c r="R184" s="226"/>
      <c r="S184" s="225" t="str">
        <f ca="1">$F$138*S73</f>
        <v/>
      </c>
      <c r="U184" s="225"/>
      <c r="W184" s="225" t="str">
        <f ca="1">$F$138*W73</f>
        <v/>
      </c>
      <c r="Y184" s="225" t="str">
        <f ca="1">$F$138*Y73</f>
        <v/>
      </c>
      <c r="Z184" s="227"/>
      <c r="AA184" s="8"/>
      <c r="AC184" s="225" t="str">
        <f ca="1">$F$138*AC73</f>
        <v/>
      </c>
      <c r="AE184" s="225" t="str">
        <f ca="1">$F$138*AE73</f>
        <v/>
      </c>
      <c r="AG184" s="225" t="str">
        <f ca="1">$F$138*AG73</f>
        <v/>
      </c>
      <c r="AI184" s="225" t="str">
        <f ca="1">$F$138*AI73</f>
        <v/>
      </c>
      <c r="AK184" s="225" t="str">
        <f ca="1">$F$138*AK73</f>
        <v/>
      </c>
      <c r="AM184" s="225" t="str">
        <f ca="1">$F$138*AM73</f>
        <v/>
      </c>
      <c r="AO184" s="225" t="str">
        <f ca="1">$F$138*AO73</f>
        <v/>
      </c>
      <c r="AQ184" s="225" t="str">
        <f ca="1">$F$138*AQ73</f>
        <v/>
      </c>
      <c r="AS184" s="225" t="str">
        <f ca="1">$F$138*AS73</f>
        <v/>
      </c>
      <c r="AT184" s="227"/>
      <c r="AU184" s="225" t="str">
        <f ca="1">$F$138*AU73</f>
        <v/>
      </c>
      <c r="AW184" s="225" t="str">
        <f ca="1">$F$138*AW73</f>
        <v/>
      </c>
      <c r="AY184" s="135" t="e">
        <f t="shared" ref="AY184:AY190" si="7">SUM(I138:AW138)</f>
        <v>#DIV/0!</v>
      </c>
      <c r="AZ184" s="156"/>
      <c r="BA184" s="113"/>
    </row>
    <row r="185" spans="1:53" ht="15" customHeight="1" x14ac:dyDescent="0.25">
      <c r="A185" s="348"/>
      <c r="B185" s="349"/>
      <c r="C185" s="137" t="s">
        <v>612</v>
      </c>
      <c r="F185" s="311"/>
      <c r="G185" s="137"/>
      <c r="H185" s="137"/>
      <c r="I185" s="225"/>
      <c r="J185" s="232"/>
      <c r="K185" s="225"/>
      <c r="L185" s="226"/>
      <c r="M185" s="225"/>
      <c r="N185" s="65"/>
      <c r="O185" s="225"/>
      <c r="Q185" s="225"/>
      <c r="R185" s="226"/>
      <c r="S185" s="225"/>
      <c r="T185" s="65"/>
      <c r="U185" s="225"/>
      <c r="V185" s="65"/>
      <c r="W185" s="225"/>
      <c r="Y185" s="225"/>
      <c r="Z185" s="227"/>
      <c r="AA185" s="8"/>
      <c r="AC185" s="225"/>
      <c r="AE185" s="225"/>
      <c r="AG185" s="225"/>
      <c r="AI185" s="225"/>
      <c r="AK185" s="225"/>
      <c r="AM185" s="225"/>
      <c r="AO185" s="225"/>
      <c r="AQ185" s="225"/>
      <c r="AS185" s="225"/>
      <c r="AT185" s="227"/>
      <c r="AU185" s="225"/>
      <c r="AW185" s="225"/>
      <c r="AY185" s="135" t="e">
        <f t="shared" si="7"/>
        <v>#DIV/0!</v>
      </c>
      <c r="AZ185" s="156"/>
      <c r="BA185" s="113"/>
    </row>
    <row r="186" spans="1:53" ht="15" customHeight="1" x14ac:dyDescent="0.25">
      <c r="A186" s="348"/>
      <c r="B186" s="349"/>
      <c r="C186" s="137" t="s">
        <v>613</v>
      </c>
      <c r="F186" s="311"/>
      <c r="G186" s="137"/>
      <c r="H186" s="137"/>
      <c r="I186" s="266"/>
      <c r="J186" s="232"/>
      <c r="K186" s="225"/>
      <c r="L186" s="226"/>
      <c r="M186" s="225"/>
      <c r="N186" s="65"/>
      <c r="O186" s="225"/>
      <c r="P186" s="65"/>
      <c r="Q186" s="225"/>
      <c r="R186" s="226"/>
      <c r="S186" s="225"/>
      <c r="T186" s="65"/>
      <c r="U186" s="225"/>
      <c r="V186" s="65"/>
      <c r="W186" s="225"/>
      <c r="X186" s="65"/>
      <c r="Y186" s="225"/>
      <c r="Z186" s="227"/>
      <c r="AA186" s="8"/>
      <c r="AB186" s="65"/>
      <c r="AC186" s="225"/>
      <c r="AD186" s="65"/>
      <c r="AE186" s="225"/>
      <c r="AF186" s="65"/>
      <c r="AG186" s="225"/>
      <c r="AH186" s="65"/>
      <c r="AI186" s="225"/>
      <c r="AJ186" s="65"/>
      <c r="AK186" s="225"/>
      <c r="AL186" s="65"/>
      <c r="AM186" s="225"/>
      <c r="AN186" s="65"/>
      <c r="AO186" s="225"/>
      <c r="AP186" s="65"/>
      <c r="AQ186" s="225"/>
      <c r="AR186" s="65"/>
      <c r="AS186" s="225"/>
      <c r="AT186" s="227"/>
      <c r="AU186" s="225"/>
      <c r="AV186" s="65"/>
      <c r="AW186" s="225"/>
      <c r="AX186" s="65"/>
      <c r="AY186" s="135" t="e">
        <f t="shared" si="7"/>
        <v>#DIV/0!</v>
      </c>
      <c r="AZ186" s="156"/>
      <c r="BA186" s="113"/>
    </row>
    <row r="187" spans="1:53" ht="15" customHeight="1" x14ac:dyDescent="0.25">
      <c r="A187" s="348"/>
      <c r="B187" s="349"/>
      <c r="C187" s="137" t="s">
        <v>614</v>
      </c>
      <c r="F187" s="311"/>
      <c r="G187" s="137"/>
      <c r="H187" s="137"/>
      <c r="I187" s="225"/>
      <c r="J187" s="351"/>
      <c r="K187" s="225"/>
      <c r="L187" s="226"/>
      <c r="M187" s="225"/>
      <c r="N187" s="65"/>
      <c r="O187" s="225"/>
      <c r="P187" s="65"/>
      <c r="Q187" s="225"/>
      <c r="R187" s="226"/>
      <c r="S187" s="225"/>
      <c r="T187" s="65"/>
      <c r="U187" s="225"/>
      <c r="V187" s="65"/>
      <c r="W187" s="225"/>
      <c r="X187" s="65"/>
      <c r="Y187" s="225"/>
      <c r="Z187" s="227"/>
      <c r="AA187" s="8"/>
      <c r="AB187" s="65"/>
      <c r="AC187" s="225"/>
      <c r="AD187" s="65"/>
      <c r="AE187" s="225"/>
      <c r="AF187" s="65"/>
      <c r="AG187" s="225"/>
      <c r="AH187" s="65"/>
      <c r="AI187" s="225"/>
      <c r="AJ187" s="65"/>
      <c r="AK187" s="225"/>
      <c r="AL187" s="65"/>
      <c r="AM187" s="225"/>
      <c r="AN187" s="65"/>
      <c r="AO187" s="225"/>
      <c r="AP187" s="65"/>
      <c r="AQ187" s="225"/>
      <c r="AR187" s="65"/>
      <c r="AS187" s="225"/>
      <c r="AT187" s="227"/>
      <c r="AU187" s="225"/>
      <c r="AV187" s="65"/>
      <c r="AW187" s="225"/>
      <c r="AX187" s="65"/>
      <c r="AY187" s="135" t="e">
        <f t="shared" si="7"/>
        <v>#DIV/0!</v>
      </c>
      <c r="AZ187" s="156"/>
      <c r="BA187" s="113"/>
    </row>
    <row r="188" spans="1:53" ht="15" customHeight="1" x14ac:dyDescent="0.25">
      <c r="A188" s="348"/>
      <c r="B188" s="352"/>
      <c r="C188" s="353" t="s">
        <v>615</v>
      </c>
      <c r="D188" s="354">
        <f>2400000+2600000</f>
        <v>5000000</v>
      </c>
      <c r="F188" s="311"/>
      <c r="G188" s="137"/>
      <c r="H188" s="137"/>
      <c r="I188" s="225"/>
      <c r="J188" s="351"/>
      <c r="K188" s="225"/>
      <c r="L188" s="226"/>
      <c r="M188" s="225"/>
      <c r="N188" s="65"/>
      <c r="O188" s="225"/>
      <c r="P188" s="65"/>
      <c r="Q188" s="225"/>
      <c r="R188" s="226"/>
      <c r="S188" s="225"/>
      <c r="T188" s="65"/>
      <c r="U188" s="225"/>
      <c r="V188" s="65"/>
      <c r="W188" s="225"/>
      <c r="X188" s="65"/>
      <c r="Y188" s="225"/>
      <c r="Z188" s="227"/>
      <c r="AA188" s="8"/>
      <c r="AB188" s="65"/>
      <c r="AC188" s="225"/>
      <c r="AD188" s="65"/>
      <c r="AE188" s="225"/>
      <c r="AF188" s="65"/>
      <c r="AG188" s="225"/>
      <c r="AH188" s="65"/>
      <c r="AI188" s="225"/>
      <c r="AJ188" s="65"/>
      <c r="AK188" s="225"/>
      <c r="AL188" s="65"/>
      <c r="AM188" s="225"/>
      <c r="AN188" s="65"/>
      <c r="AO188" s="225"/>
      <c r="AP188" s="65"/>
      <c r="AQ188" s="225"/>
      <c r="AR188" s="65"/>
      <c r="AS188" s="225"/>
      <c r="AT188" s="227"/>
      <c r="AU188" s="225"/>
      <c r="AV188" s="65"/>
      <c r="AW188" s="225"/>
      <c r="AX188" s="65"/>
      <c r="AY188" s="135">
        <f t="shared" si="7"/>
        <v>0</v>
      </c>
      <c r="AZ188" s="156"/>
      <c r="BA188" s="113"/>
    </row>
    <row r="189" spans="1:53" ht="15" customHeight="1" x14ac:dyDescent="0.25">
      <c r="A189" s="348"/>
      <c r="B189" s="349"/>
      <c r="C189" s="137" t="s">
        <v>616</v>
      </c>
      <c r="F189" s="311"/>
      <c r="G189" s="137"/>
      <c r="H189" s="137"/>
      <c r="I189" s="225"/>
      <c r="J189" s="351"/>
      <c r="K189" s="225"/>
      <c r="L189" s="226"/>
      <c r="M189" s="225"/>
      <c r="N189" s="65"/>
      <c r="O189" s="225"/>
      <c r="P189" s="65"/>
      <c r="Q189" s="225"/>
      <c r="R189" s="226"/>
      <c r="S189" s="225"/>
      <c r="T189" s="65"/>
      <c r="U189" s="225"/>
      <c r="V189" s="65"/>
      <c r="W189" s="225"/>
      <c r="X189" s="65"/>
      <c r="Y189" s="225"/>
      <c r="Z189" s="227"/>
      <c r="AA189" s="8"/>
      <c r="AB189" s="65"/>
      <c r="AC189" s="225"/>
      <c r="AD189" s="65"/>
      <c r="AE189" s="225"/>
      <c r="AF189" s="65"/>
      <c r="AG189" s="225"/>
      <c r="AH189" s="65"/>
      <c r="AI189" s="225"/>
      <c r="AJ189" s="65"/>
      <c r="AK189" s="225"/>
      <c r="AL189" s="65"/>
      <c r="AM189" s="225"/>
      <c r="AN189" s="65"/>
      <c r="AO189" s="225"/>
      <c r="AP189" s="65"/>
      <c r="AQ189" s="225"/>
      <c r="AR189" s="65"/>
      <c r="AS189" s="225"/>
      <c r="AT189" s="227"/>
      <c r="AU189" s="225"/>
      <c r="AV189" s="65"/>
      <c r="AW189" s="225"/>
      <c r="AX189" s="65"/>
      <c r="AY189" s="135">
        <f t="shared" si="7"/>
        <v>0</v>
      </c>
      <c r="AZ189" s="156"/>
      <c r="BA189" s="113"/>
    </row>
    <row r="190" spans="1:53" ht="15" customHeight="1" x14ac:dyDescent="0.25">
      <c r="A190" s="260"/>
      <c r="B190" s="349"/>
      <c r="C190" s="137"/>
      <c r="D190" s="261"/>
      <c r="E190" s="261"/>
      <c r="G190" s="137"/>
      <c r="H190" s="137"/>
      <c r="I190" s="277"/>
      <c r="J190" s="80"/>
      <c r="K190" s="277"/>
      <c r="L190" s="226"/>
      <c r="M190" s="277"/>
      <c r="N190" s="65"/>
      <c r="O190" s="277"/>
      <c r="P190" s="65"/>
      <c r="Q190" s="277"/>
      <c r="R190" s="226"/>
      <c r="S190" s="277"/>
      <c r="T190" s="65"/>
      <c r="U190" s="277"/>
      <c r="V190" s="65"/>
      <c r="W190" s="277"/>
      <c r="X190" s="65"/>
      <c r="Y190" s="277"/>
      <c r="Z190" s="227"/>
      <c r="AA190" s="8"/>
      <c r="AB190" s="65"/>
      <c r="AC190" s="277"/>
      <c r="AD190" s="65"/>
      <c r="AE190" s="277"/>
      <c r="AF190" s="65"/>
      <c r="AG190" s="277"/>
      <c r="AH190" s="65"/>
      <c r="AI190" s="277"/>
      <c r="AJ190" s="65"/>
      <c r="AK190" s="277"/>
      <c r="AL190" s="65"/>
      <c r="AM190" s="277"/>
      <c r="AN190" s="65"/>
      <c r="AO190" s="277"/>
      <c r="AP190" s="65"/>
      <c r="AQ190" s="277"/>
      <c r="AR190" s="65"/>
      <c r="AS190" s="277"/>
      <c r="AT190" s="227"/>
      <c r="AU190" s="277"/>
      <c r="AV190" s="65"/>
      <c r="AW190" s="277"/>
      <c r="AX190" s="65"/>
      <c r="AY190" s="278">
        <f t="shared" si="7"/>
        <v>0</v>
      </c>
      <c r="AZ190" s="156"/>
      <c r="BA190" s="113"/>
    </row>
    <row r="191" spans="1:53" ht="15" customHeight="1" x14ac:dyDescent="0.25">
      <c r="A191" s="260"/>
      <c r="B191" s="349"/>
      <c r="C191" s="137"/>
      <c r="F191" s="227"/>
      <c r="G191" s="137"/>
      <c r="H191" s="137"/>
      <c r="I191" s="225" t="e">
        <f>SUM(I138:I144)</f>
        <v>#DIV/0!</v>
      </c>
      <c r="J191" s="4"/>
      <c r="K191" s="225" t="e">
        <f>SUM(K138:K144)</f>
        <v>#DIV/0!</v>
      </c>
      <c r="L191" s="226"/>
      <c r="M191" s="225" t="e">
        <f>SUM(M138:M144)</f>
        <v>#DIV/0!</v>
      </c>
      <c r="O191" s="225" t="e">
        <f>SUM(O138:O144)</f>
        <v>#DIV/0!</v>
      </c>
      <c r="Q191" s="225" t="e">
        <f>SUM(Q138:Q144)</f>
        <v>#DIV/0!</v>
      </c>
      <c r="R191" s="226"/>
      <c r="S191" s="225" t="e">
        <f>SUM(S138:S144)</f>
        <v>#DIV/0!</v>
      </c>
      <c r="U191" s="225"/>
      <c r="W191" s="225" t="e">
        <f>SUM(W138:W144)</f>
        <v>#DIV/0!</v>
      </c>
      <c r="Y191" s="225" t="e">
        <f>SUM(Y138:Y144)</f>
        <v>#DIV/0!</v>
      </c>
      <c r="Z191" s="227"/>
      <c r="AA191" s="8"/>
      <c r="AC191" s="225" t="e">
        <f>SUM(AC138:AC144)</f>
        <v>#DIV/0!</v>
      </c>
      <c r="AE191" s="225" t="e">
        <f>SUM(AE138:AE144)</f>
        <v>#DIV/0!</v>
      </c>
      <c r="AG191" s="225" t="e">
        <f>SUM(AG138:AG144)</f>
        <v>#DIV/0!</v>
      </c>
      <c r="AI191" s="225" t="e">
        <f>SUM(AI138:AI144)</f>
        <v>#DIV/0!</v>
      </c>
      <c r="AK191" s="225" t="e">
        <f>SUM(AK138:AK144)</f>
        <v>#DIV/0!</v>
      </c>
      <c r="AM191" s="225" t="e">
        <f>SUM(AM138:AM144)</f>
        <v>#DIV/0!</v>
      </c>
      <c r="AO191" s="225" t="e">
        <f>SUM(AO138:AO144)</f>
        <v>#DIV/0!</v>
      </c>
      <c r="AQ191" s="225" t="e">
        <f>SUM(AQ138:AQ144)</f>
        <v>#DIV/0!</v>
      </c>
      <c r="AS191" s="225" t="e">
        <f>SUM(AS138:AS144)</f>
        <v>#DIV/0!</v>
      </c>
      <c r="AT191" s="227"/>
      <c r="AU191" s="225" t="e">
        <f>SUM(AU138:AU144)</f>
        <v>#DIV/0!</v>
      </c>
      <c r="AW191" s="225" t="e">
        <f>SUM(AW138:AW144)</f>
        <v>#DIV/0!</v>
      </c>
      <c r="AY191" s="135">
        <f>SUM(AY138:AY144)</f>
        <v>0</v>
      </c>
      <c r="AZ191" s="156"/>
      <c r="BA191" s="113"/>
    </row>
    <row r="192" spans="1:53" ht="15" customHeight="1" x14ac:dyDescent="0.25">
      <c r="B192" s="238" t="s">
        <v>617</v>
      </c>
      <c r="C192" s="157" t="s">
        <v>618</v>
      </c>
      <c r="I192" s="618">
        <v>0</v>
      </c>
      <c r="K192" s="72">
        <v>0</v>
      </c>
      <c r="M192" s="72">
        <v>0</v>
      </c>
      <c r="O192" s="72">
        <v>0</v>
      </c>
      <c r="Q192" s="72">
        <v>0</v>
      </c>
      <c r="S192" s="72">
        <v>0</v>
      </c>
      <c r="W192" s="72">
        <v>0</v>
      </c>
      <c r="Y192" s="72">
        <v>0</v>
      </c>
      <c r="AC192" s="72">
        <v>0</v>
      </c>
      <c r="AE192" s="72">
        <v>0</v>
      </c>
      <c r="AG192" s="72">
        <v>0</v>
      </c>
      <c r="AI192" s="72">
        <v>0</v>
      </c>
      <c r="AK192" s="72">
        <v>0</v>
      </c>
      <c r="AM192" s="72">
        <v>0</v>
      </c>
      <c r="AO192" s="72">
        <v>0</v>
      </c>
      <c r="AQ192" s="72">
        <v>0</v>
      </c>
      <c r="AS192" s="72">
        <v>0</v>
      </c>
      <c r="AU192" s="72">
        <v>0</v>
      </c>
      <c r="AW192" s="72">
        <v>0</v>
      </c>
      <c r="AY192" s="72" t="e">
        <f t="shared" ref="AY192:AY200" si="8">SUM(I146:AW146)</f>
        <v>#VALUE!</v>
      </c>
    </row>
    <row r="193" spans="1:53" ht="15" customHeight="1" x14ac:dyDescent="0.25">
      <c r="C193" s="238" t="s">
        <v>619</v>
      </c>
      <c r="F193" s="163">
        <v>0.09</v>
      </c>
      <c r="G193" s="239" t="s">
        <v>620</v>
      </c>
      <c r="I193" s="618" t="str">
        <f ca="1">$F$147*I65</f>
        <v/>
      </c>
      <c r="K193" s="72" t="str">
        <f ca="1">$F$147*K65</f>
        <v/>
      </c>
      <c r="M193" s="72" t="str">
        <f ca="1">$F$147*M65</f>
        <v/>
      </c>
      <c r="O193" s="72" t="str">
        <f ca="1">$F$147*O65</f>
        <v/>
      </c>
      <c r="Q193" s="72" t="str">
        <f ca="1">$F$147*Q65</f>
        <v/>
      </c>
      <c r="S193" s="72" t="str">
        <f ca="1">$F$147*S65</f>
        <v/>
      </c>
      <c r="W193" s="72" t="str">
        <f ca="1">$F$147*W65</f>
        <v/>
      </c>
      <c r="Y193" s="72" t="str">
        <f ca="1">$F$147*Y65</f>
        <v/>
      </c>
      <c r="AC193" s="72" t="str">
        <f ca="1">$F$147*AC65</f>
        <v/>
      </c>
      <c r="AE193" s="72" t="str">
        <f ca="1">$F$147*AE65</f>
        <v/>
      </c>
      <c r="AG193" s="72" t="str">
        <f ca="1">$F$147*AG65</f>
        <v/>
      </c>
      <c r="AI193" s="72" t="str">
        <f ca="1">$F$147*AI65</f>
        <v/>
      </c>
      <c r="AK193" s="72" t="str">
        <f ca="1">$F$147*AK65</f>
        <v/>
      </c>
      <c r="AM193" s="72" t="str">
        <f ca="1">$F$147*AM65</f>
        <v/>
      </c>
      <c r="AO193" s="72" t="str">
        <f ca="1">$F$147*AO65</f>
        <v/>
      </c>
      <c r="AQ193" s="72" t="str">
        <f ca="1">$F$147*AQ65</f>
        <v/>
      </c>
      <c r="AS193" s="72" t="str">
        <f ca="1">$F$147*AS65</f>
        <v/>
      </c>
      <c r="AU193" s="72" t="str">
        <f ca="1">$F$147*AU65</f>
        <v/>
      </c>
      <c r="AW193" s="72" t="str">
        <f ca="1">$F$147*AW65</f>
        <v/>
      </c>
      <c r="AY193" s="72">
        <f t="shared" si="8"/>
        <v>0</v>
      </c>
    </row>
    <row r="194" spans="1:53" ht="15" customHeight="1" x14ac:dyDescent="0.25">
      <c r="C194" s="238" t="s">
        <v>621</v>
      </c>
      <c r="F194" s="163">
        <v>3.2000000000000001E-2</v>
      </c>
      <c r="G194" s="239" t="s">
        <v>622</v>
      </c>
      <c r="I194" s="618" t="str">
        <f ca="1">$F$148*I73</f>
        <v/>
      </c>
      <c r="K194" s="72" t="str">
        <f ca="1">$F$148*K73</f>
        <v/>
      </c>
      <c r="M194" s="72" t="str">
        <f ca="1">$F$148*M73</f>
        <v/>
      </c>
      <c r="O194" s="72" t="str">
        <f ca="1">$F$148*O73</f>
        <v/>
      </c>
      <c r="Q194" s="72" t="str">
        <f ca="1">$F$148*Q73</f>
        <v/>
      </c>
      <c r="S194" s="72" t="str">
        <f ca="1">$F$148*S73</f>
        <v/>
      </c>
      <c r="W194" s="72" t="str">
        <f ca="1">$F$148*W73</f>
        <v/>
      </c>
      <c r="Y194" s="72" t="str">
        <f ca="1">$F$148*Y73</f>
        <v/>
      </c>
      <c r="AC194" s="72" t="str">
        <f ca="1">$F$148*AC73</f>
        <v/>
      </c>
      <c r="AE194" s="72" t="str">
        <f ca="1">$F$148*AE73</f>
        <v/>
      </c>
      <c r="AG194" s="72" t="str">
        <f ca="1">$F$148*AG73</f>
        <v/>
      </c>
      <c r="AI194" s="72" t="str">
        <f ca="1">$F$148*AI73</f>
        <v/>
      </c>
      <c r="AK194" s="72" t="str">
        <f ca="1">$F$148*AK73</f>
        <v/>
      </c>
      <c r="AM194" s="72" t="str">
        <f ca="1">$F$148*AM73</f>
        <v/>
      </c>
      <c r="AO194" s="72" t="str">
        <f ca="1">$F$148*AO73</f>
        <v/>
      </c>
      <c r="AQ194" s="72" t="str">
        <f ca="1">$F$148*AQ73</f>
        <v/>
      </c>
      <c r="AS194" s="72" t="str">
        <f ca="1">$F$148*AS73</f>
        <v/>
      </c>
      <c r="AU194" s="72" t="str">
        <f ca="1">$F$148*AU73</f>
        <v/>
      </c>
      <c r="AW194" s="72" t="str">
        <f ca="1">$F$148*AW73</f>
        <v/>
      </c>
      <c r="AY194" s="72">
        <f t="shared" si="8"/>
        <v>0</v>
      </c>
    </row>
    <row r="195" spans="1:53" ht="15" customHeight="1" x14ac:dyDescent="0.25">
      <c r="C195" s="238" t="s">
        <v>623</v>
      </c>
      <c r="F195" s="163">
        <v>0.01</v>
      </c>
      <c r="G195" s="239" t="s">
        <v>624</v>
      </c>
      <c r="I195" s="618" t="str">
        <f ca="1">$F$149*I73</f>
        <v/>
      </c>
      <c r="K195" s="72" t="str">
        <f ca="1">$F$149*K73</f>
        <v/>
      </c>
      <c r="M195" s="72" t="str">
        <f ca="1">$F$149*M73</f>
        <v/>
      </c>
      <c r="O195" s="72" t="str">
        <f ca="1">$F$149*O73</f>
        <v/>
      </c>
      <c r="Q195" s="72" t="str">
        <f ca="1">$F$149*Q73</f>
        <v/>
      </c>
      <c r="S195" s="72" t="str">
        <f ca="1">$F$149*S73</f>
        <v/>
      </c>
      <c r="W195" s="72" t="str">
        <f ca="1">$F$149*W73</f>
        <v/>
      </c>
      <c r="Y195" s="72" t="str">
        <f ca="1">$F$149*Y73</f>
        <v/>
      </c>
      <c r="AC195" s="72" t="str">
        <f ca="1">$F$149*AC73</f>
        <v/>
      </c>
      <c r="AE195" s="72" t="str">
        <f ca="1">$F$149*AE73</f>
        <v/>
      </c>
      <c r="AG195" s="72" t="str">
        <f ca="1">$F$149*AG73</f>
        <v/>
      </c>
      <c r="AI195" s="72" t="str">
        <f ca="1">$F$149*AI73</f>
        <v/>
      </c>
      <c r="AK195" s="72" t="str">
        <f ca="1">$F$149*AK73</f>
        <v/>
      </c>
      <c r="AM195" s="72" t="str">
        <f ca="1">$F$149*AM73</f>
        <v/>
      </c>
      <c r="AO195" s="72" t="str">
        <f ca="1">$F$149*AO73</f>
        <v/>
      </c>
      <c r="AQ195" s="72" t="str">
        <f ca="1">$F$149*AQ73</f>
        <v/>
      </c>
      <c r="AS195" s="72" t="str">
        <f ca="1">$F$149*AS73</f>
        <v/>
      </c>
      <c r="AU195" s="72" t="str">
        <f ca="1">$F$149*AU73</f>
        <v/>
      </c>
      <c r="AW195" s="72" t="str">
        <f ca="1">$F$149*AW73</f>
        <v/>
      </c>
      <c r="AY195" s="72" t="str">
        <f t="shared" ca="1" si="8"/>
        <v/>
      </c>
    </row>
    <row r="196" spans="1:53" ht="13.5" customHeight="1" x14ac:dyDescent="0.25">
      <c r="C196" s="238" t="s">
        <v>625</v>
      </c>
      <c r="F196" s="163">
        <v>5.9999999999999995E-4</v>
      </c>
      <c r="G196" s="239" t="s">
        <v>353</v>
      </c>
      <c r="I196" s="618" t="str">
        <f ca="1">$F$150*I73</f>
        <v/>
      </c>
      <c r="K196" s="72" t="str">
        <f ca="1">$F$150*K73</f>
        <v/>
      </c>
      <c r="M196" s="72" t="str">
        <f ca="1">$F$150*M73</f>
        <v/>
      </c>
      <c r="O196" s="72" t="str">
        <f ca="1">$F$150*O73</f>
        <v/>
      </c>
      <c r="Q196" s="72" t="str">
        <f ca="1">$F$150*Q73</f>
        <v/>
      </c>
      <c r="S196" s="72" t="str">
        <f ca="1">$F$150*S73</f>
        <v/>
      </c>
      <c r="W196" s="72" t="str">
        <f ca="1">$F$150*W73</f>
        <v/>
      </c>
      <c r="Y196" s="72" t="str">
        <f ca="1">$F$150*Y73</f>
        <v/>
      </c>
      <c r="AC196" s="72" t="str">
        <f ca="1">$F$150*AC73</f>
        <v/>
      </c>
      <c r="AE196" s="72" t="str">
        <f ca="1">$F$150*AE73</f>
        <v/>
      </c>
      <c r="AG196" s="72" t="str">
        <f ca="1">$F$150*AG73</f>
        <v/>
      </c>
      <c r="AI196" s="72" t="str">
        <f ca="1">$F$150*AI73</f>
        <v/>
      </c>
      <c r="AK196" s="72" t="str">
        <f ca="1">$F$150*AK73</f>
        <v/>
      </c>
      <c r="AM196" s="72" t="str">
        <f ca="1">$F$150*AM73</f>
        <v/>
      </c>
      <c r="AO196" s="72" t="str">
        <f ca="1">$F$150*AO73</f>
        <v/>
      </c>
      <c r="AQ196" s="72" t="str">
        <f ca="1">$F$150*AQ73</f>
        <v/>
      </c>
      <c r="AS196" s="72" t="str">
        <f ca="1">$F$150*AS73</f>
        <v/>
      </c>
      <c r="AU196" s="72" t="str">
        <f ca="1">$F$150*AU73</f>
        <v/>
      </c>
      <c r="AW196" s="72" t="str">
        <f ca="1">$F$150*AW73</f>
        <v/>
      </c>
      <c r="AY196" s="72" t="str">
        <f t="shared" ca="1" si="8"/>
        <v/>
      </c>
    </row>
    <row r="197" spans="1:53" ht="13.5" customHeight="1" x14ac:dyDescent="0.25">
      <c r="C197" s="238" t="s">
        <v>626</v>
      </c>
      <c r="F197" s="355">
        <v>5500</v>
      </c>
      <c r="G197" s="239" t="s">
        <v>627</v>
      </c>
      <c r="I197" s="618">
        <f>$F$151*I13</f>
        <v>0</v>
      </c>
      <c r="K197" s="72">
        <f>$F$151*K13</f>
        <v>0</v>
      </c>
      <c r="M197" s="72">
        <f>$F$151*M13</f>
        <v>0</v>
      </c>
      <c r="O197" s="72">
        <f>$F$151*O13</f>
        <v>0</v>
      </c>
      <c r="Q197" s="72">
        <f>$F$151*Q13</f>
        <v>0</v>
      </c>
      <c r="S197" s="72">
        <f>$F$151*S13</f>
        <v>0</v>
      </c>
      <c r="W197" s="72">
        <f>$F$151*W13</f>
        <v>0</v>
      </c>
      <c r="Y197" s="72">
        <f>$F$151*Y13</f>
        <v>0</v>
      </c>
      <c r="AC197" s="72">
        <f>$F$151*AC13</f>
        <v>0</v>
      </c>
      <c r="AE197" s="72">
        <f>$F$151*AE13</f>
        <v>0</v>
      </c>
      <c r="AG197" s="72">
        <f>$F$151*AG13</f>
        <v>0</v>
      </c>
      <c r="AI197" s="72">
        <f>$F$151*AI13</f>
        <v>0</v>
      </c>
      <c r="AK197" s="72">
        <f>$F$151*AK13</f>
        <v>0</v>
      </c>
      <c r="AM197" s="72">
        <f>$F$151*AM13</f>
        <v>0</v>
      </c>
      <c r="AO197" s="72">
        <f>$F$151*AO13</f>
        <v>0</v>
      </c>
      <c r="AQ197" s="72">
        <f>$F$151*AQ13</f>
        <v>0</v>
      </c>
      <c r="AS197" s="72">
        <f>$F$151*AS13</f>
        <v>0</v>
      </c>
      <c r="AU197" s="72">
        <f>$F$151*AU13</f>
        <v>0</v>
      </c>
      <c r="AW197" s="72">
        <f>$F$151*AW13</f>
        <v>0</v>
      </c>
      <c r="AY197" s="72" t="str">
        <f t="shared" ca="1" si="8"/>
        <v/>
      </c>
    </row>
    <row r="198" spans="1:53" ht="13.5" customHeight="1" x14ac:dyDescent="0.25">
      <c r="C198" s="238" t="s">
        <v>628</v>
      </c>
      <c r="F198" s="163">
        <v>5.0000000000000001E-3</v>
      </c>
      <c r="G198" s="239" t="s">
        <v>353</v>
      </c>
      <c r="I198" s="618" t="str">
        <f ca="1">$F$152*I73</f>
        <v/>
      </c>
      <c r="K198" s="72" t="str">
        <f ca="1">$F$152*K73</f>
        <v/>
      </c>
      <c r="M198" s="72" t="str">
        <f ca="1">$F$152*M73</f>
        <v/>
      </c>
      <c r="O198" s="72" t="str">
        <f ca="1">$F$152*O73</f>
        <v/>
      </c>
      <c r="Q198" s="72" t="str">
        <f ca="1">$F$152*Q73</f>
        <v/>
      </c>
      <c r="S198" s="72" t="str">
        <f ca="1">$F$152*S73</f>
        <v/>
      </c>
      <c r="W198" s="72" t="str">
        <f ca="1">$F$152*W73</f>
        <v/>
      </c>
      <c r="Y198" s="72" t="str">
        <f ca="1">$F$152*Y73</f>
        <v/>
      </c>
      <c r="AC198" s="72" t="str">
        <f ca="1">$F$152*AC73</f>
        <v/>
      </c>
      <c r="AE198" s="72" t="str">
        <f ca="1">$F$152*AE73</f>
        <v/>
      </c>
      <c r="AG198" s="72" t="str">
        <f ca="1">$F$152*AG73</f>
        <v/>
      </c>
      <c r="AI198" s="72" t="str">
        <f ca="1">$F$152*AI73</f>
        <v/>
      </c>
      <c r="AK198" s="72" t="str">
        <f ca="1">$F$152*AK73</f>
        <v/>
      </c>
      <c r="AM198" s="72" t="str">
        <f ca="1">$F$152*AM73</f>
        <v/>
      </c>
      <c r="AO198" s="72" t="str">
        <f ca="1">$F$152*AO73</f>
        <v/>
      </c>
      <c r="AQ198" s="72" t="str">
        <f ca="1">$F$152*AQ73</f>
        <v/>
      </c>
      <c r="AS198" s="72" t="str">
        <f ca="1">$F$152*AS73</f>
        <v/>
      </c>
      <c r="AU198" s="72" t="str">
        <f ca="1">$F$152*AU73</f>
        <v/>
      </c>
      <c r="AW198" s="72" t="str">
        <f ca="1">$F$152*AW73</f>
        <v/>
      </c>
      <c r="AY198" s="72">
        <f t="shared" si="8"/>
        <v>0</v>
      </c>
    </row>
    <row r="199" spans="1:53" ht="13.5" customHeight="1" x14ac:dyDescent="0.25">
      <c r="C199" s="238" t="s">
        <v>629</v>
      </c>
      <c r="F199" s="163">
        <v>1.5E-3</v>
      </c>
      <c r="G199" s="239" t="s">
        <v>353</v>
      </c>
      <c r="I199" s="618" t="str">
        <f ca="1">$F$153*I73</f>
        <v/>
      </c>
      <c r="K199" s="72" t="str">
        <f ca="1">$F$153*K73</f>
        <v/>
      </c>
      <c r="M199" s="72" t="str">
        <f ca="1">$F$153*M73</f>
        <v/>
      </c>
      <c r="O199" s="72" t="str">
        <f ca="1">$F$153*O73</f>
        <v/>
      </c>
      <c r="Q199" s="72" t="str">
        <f ca="1">$F$153*Q73</f>
        <v/>
      </c>
      <c r="S199" s="72" t="str">
        <f ca="1">$F$153*S73</f>
        <v/>
      </c>
      <c r="W199" s="72" t="str">
        <f ca="1">$F$153*W73</f>
        <v/>
      </c>
      <c r="Y199" s="72" t="str">
        <f ca="1">$F$153*Y73</f>
        <v/>
      </c>
      <c r="AC199" s="72" t="str">
        <f ca="1">$F$153*AC73</f>
        <v/>
      </c>
      <c r="AE199" s="72" t="str">
        <f ca="1">$F$153*AE73</f>
        <v/>
      </c>
      <c r="AG199" s="72" t="str">
        <f ca="1">$F$153*AG73</f>
        <v/>
      </c>
      <c r="AI199" s="72" t="str">
        <f ca="1">$F$153*AI73</f>
        <v/>
      </c>
      <c r="AK199" s="72" t="str">
        <f ca="1">$F$153*AK73</f>
        <v/>
      </c>
      <c r="AM199" s="72" t="str">
        <f ca="1">$F$153*AM73</f>
        <v/>
      </c>
      <c r="AO199" s="72" t="str">
        <f ca="1">$F$153*AO73</f>
        <v/>
      </c>
      <c r="AQ199" s="72" t="str">
        <f ca="1">$F$153*AQ73</f>
        <v/>
      </c>
      <c r="AS199" s="72" t="str">
        <f ca="1">$F$153*AS73</f>
        <v/>
      </c>
      <c r="AU199" s="72" t="str">
        <f ca="1">$F$153*AU73</f>
        <v/>
      </c>
      <c r="AW199" s="72" t="str">
        <f ca="1">$F$153*AW73</f>
        <v/>
      </c>
      <c r="AY199" s="72">
        <f t="shared" si="8"/>
        <v>0</v>
      </c>
    </row>
    <row r="200" spans="1:53" ht="13.5" customHeight="1" x14ac:dyDescent="0.25">
      <c r="C200" s="238" t="s">
        <v>630</v>
      </c>
      <c r="F200" s="356">
        <v>7.0000000000000001E-3</v>
      </c>
      <c r="G200" s="239" t="s">
        <v>631</v>
      </c>
      <c r="I200" s="618">
        <f>$F$154*I17</f>
        <v>0</v>
      </c>
      <c r="K200" s="72">
        <f>$F$154*K17</f>
        <v>0</v>
      </c>
      <c r="M200" s="72">
        <f>$F$154*M17</f>
        <v>0</v>
      </c>
      <c r="O200" s="72">
        <f>$F$154*O17</f>
        <v>0</v>
      </c>
      <c r="Q200" s="72">
        <f>$F$154*Q17</f>
        <v>0</v>
      </c>
      <c r="S200" s="72">
        <f>$F$154*S17</f>
        <v>0</v>
      </c>
      <c r="W200" s="72">
        <f>$F$154*W17</f>
        <v>0</v>
      </c>
      <c r="Y200" s="72">
        <f>$F$154*Y17</f>
        <v>0</v>
      </c>
      <c r="AC200" s="72">
        <f>$F$154*AC17</f>
        <v>0</v>
      </c>
      <c r="AE200" s="72">
        <f>$F$154*AE17</f>
        <v>0</v>
      </c>
      <c r="AG200" s="72">
        <f>$F$154*AG17</f>
        <v>0</v>
      </c>
      <c r="AI200" s="72">
        <f>$F$154*AI17</f>
        <v>0</v>
      </c>
      <c r="AK200" s="72">
        <f>$F$154*AK17</f>
        <v>0</v>
      </c>
      <c r="AM200" s="72">
        <f>$F$154*AM17</f>
        <v>0</v>
      </c>
      <c r="AO200" s="72">
        <f>$F$154*AO17</f>
        <v>0</v>
      </c>
      <c r="AQ200" s="72">
        <f>$F$154*AQ17</f>
        <v>0</v>
      </c>
      <c r="AS200" s="72">
        <f>$F$154*AS17</f>
        <v>0</v>
      </c>
      <c r="AU200" s="72">
        <f>$F$154*AU17</f>
        <v>0</v>
      </c>
      <c r="AW200" s="72">
        <f>$F$154*AW17</f>
        <v>0</v>
      </c>
      <c r="AY200" s="72">
        <f t="shared" si="8"/>
        <v>0</v>
      </c>
    </row>
    <row r="201" spans="1:53" ht="12.75" customHeight="1" x14ac:dyDescent="0.25">
      <c r="A201" s="91"/>
      <c r="H201" s="65"/>
      <c r="I201" s="312"/>
      <c r="J201" s="4"/>
      <c r="K201" s="312"/>
      <c r="L201" s="24"/>
      <c r="M201" s="312"/>
      <c r="O201" s="312"/>
      <c r="Q201" s="312"/>
      <c r="R201" s="24"/>
      <c r="S201" s="312"/>
      <c r="U201" s="312"/>
      <c r="W201" s="312"/>
      <c r="Y201" s="312"/>
      <c r="AA201" s="8"/>
      <c r="AC201" s="312"/>
      <c r="AE201" s="312"/>
      <c r="AG201" s="312"/>
      <c r="AI201" s="312"/>
      <c r="AK201" s="312"/>
      <c r="AM201" s="312"/>
      <c r="AO201" s="312"/>
      <c r="AQ201" s="312"/>
      <c r="AS201" s="312"/>
      <c r="AU201" s="312"/>
      <c r="AW201" s="312"/>
      <c r="AY201" s="313"/>
      <c r="BA201" s="113"/>
    </row>
    <row r="202" spans="1:53" ht="12.75" customHeight="1" x14ac:dyDescent="0.25">
      <c r="A202" s="175" t="s">
        <v>632</v>
      </c>
      <c r="B202" s="335"/>
      <c r="C202" s="335"/>
      <c r="D202" s="335"/>
      <c r="E202" s="335"/>
      <c r="F202" s="335"/>
      <c r="G202" s="335"/>
      <c r="H202" s="336"/>
      <c r="I202" s="177">
        <f>I132+I136</f>
        <v>0</v>
      </c>
      <c r="J202" s="4"/>
      <c r="K202" s="177">
        <f>K132+K136</f>
        <v>0</v>
      </c>
      <c r="L202" s="178"/>
      <c r="M202" s="177">
        <f>M132+M136</f>
        <v>0</v>
      </c>
      <c r="O202" s="177">
        <f>O132+O136</f>
        <v>0</v>
      </c>
      <c r="Q202" s="177">
        <f>Q132+Q136</f>
        <v>0</v>
      </c>
      <c r="R202" s="178"/>
      <c r="S202" s="177">
        <f>S132+S136</f>
        <v>0</v>
      </c>
      <c r="U202" s="179"/>
      <c r="W202" s="177">
        <f>W132+W136</f>
        <v>0</v>
      </c>
      <c r="Y202" s="177">
        <f>Y132+Y136</f>
        <v>0</v>
      </c>
      <c r="Z202" s="180"/>
      <c r="AA202" s="8"/>
      <c r="AC202" s="177">
        <f>AC132+AC136</f>
        <v>0</v>
      </c>
      <c r="AE202" s="177">
        <f>AE132+AE136</f>
        <v>0</v>
      </c>
      <c r="AG202" s="357">
        <f>AG132+AG136</f>
        <v>0</v>
      </c>
      <c r="AI202" s="177">
        <f>AI132+AI136</f>
        <v>0</v>
      </c>
      <c r="AK202" s="177">
        <f>AK132+AK136</f>
        <v>0</v>
      </c>
      <c r="AM202" s="177">
        <f>AM132+AM136</f>
        <v>0</v>
      </c>
      <c r="AO202" s="177">
        <f>AO132+AO136</f>
        <v>0</v>
      </c>
      <c r="AQ202" s="177">
        <f>AQ132+AQ136</f>
        <v>0</v>
      </c>
      <c r="AS202" s="177">
        <f>AS132+AS136</f>
        <v>0</v>
      </c>
      <c r="AT202" s="180"/>
      <c r="AU202" s="177">
        <f>AU132+AU136</f>
        <v>0</v>
      </c>
      <c r="AW202" s="177">
        <f>AW132+AW136</f>
        <v>0</v>
      </c>
      <c r="AY202" s="358">
        <f>AY132+AY136</f>
        <v>0</v>
      </c>
      <c r="AZ202" s="65"/>
      <c r="BA202" s="113"/>
    </row>
    <row r="203" spans="1:53" ht="12.75" customHeight="1" x14ac:dyDescent="0.25">
      <c r="A203" s="173"/>
      <c r="B203" s="174"/>
      <c r="C203" s="174"/>
      <c r="D203" s="174"/>
      <c r="E203" s="174"/>
      <c r="F203" s="174"/>
      <c r="G203" s="174"/>
      <c r="H203" s="338"/>
      <c r="I203" s="339"/>
      <c r="J203" s="4"/>
      <c r="K203" s="339"/>
      <c r="L203" s="359"/>
      <c r="M203" s="339"/>
      <c r="O203" s="339"/>
      <c r="Q203" s="339"/>
      <c r="R203" s="359"/>
      <c r="S203" s="339"/>
      <c r="U203" s="339"/>
      <c r="W203" s="339"/>
      <c r="Y203" s="339"/>
      <c r="Z203" s="360"/>
      <c r="AA203" s="8"/>
      <c r="AC203" s="339"/>
      <c r="AE203" s="339"/>
      <c r="AG203" s="339"/>
      <c r="AI203" s="339"/>
      <c r="AK203" s="339"/>
      <c r="AM203" s="339"/>
      <c r="AO203" s="339"/>
      <c r="AQ203" s="339"/>
      <c r="AS203" s="339"/>
      <c r="AT203" s="360"/>
      <c r="AU203" s="339"/>
      <c r="AW203" s="339"/>
      <c r="AY203" s="339"/>
      <c r="AZ203" s="360"/>
    </row>
    <row r="204" spans="1:53" ht="12.75" customHeight="1" x14ac:dyDescent="0.25">
      <c r="A204" s="45"/>
      <c r="I204" s="312"/>
      <c r="J204" s="4"/>
      <c r="K204" s="312"/>
      <c r="L204" s="24"/>
      <c r="M204" s="312"/>
      <c r="O204" s="312"/>
      <c r="Q204" s="312"/>
      <c r="R204" s="24"/>
      <c r="S204" s="312"/>
      <c r="U204" s="312"/>
      <c r="W204" s="312"/>
      <c r="Y204" s="312"/>
      <c r="AA204" s="8"/>
      <c r="AC204" s="312"/>
      <c r="AE204" s="312"/>
      <c r="AG204" s="312"/>
      <c r="AI204" s="312"/>
      <c r="AK204" s="312"/>
      <c r="AM204" s="312"/>
      <c r="AO204" s="312"/>
      <c r="AQ204" s="312"/>
      <c r="AS204" s="312"/>
      <c r="AU204" s="312"/>
      <c r="AW204" s="312"/>
      <c r="AY204" s="313"/>
      <c r="BA204" s="113"/>
    </row>
    <row r="205" spans="1:53" ht="12.75" customHeight="1" x14ac:dyDescent="0.25">
      <c r="A205" s="361" t="s">
        <v>633</v>
      </c>
      <c r="B205" s="335"/>
      <c r="C205" s="335"/>
      <c r="D205" s="335"/>
      <c r="E205" s="335"/>
      <c r="F205" s="335"/>
      <c r="G205" s="362"/>
      <c r="H205" s="362"/>
      <c r="I205" s="363" t="str">
        <f ca="1">I73-I147</f>
        <v/>
      </c>
      <c r="J205" s="4"/>
      <c r="K205" s="363" t="str">
        <f ca="1">K73-K147</f>
        <v/>
      </c>
      <c r="L205" s="364"/>
      <c r="M205" s="363" t="str">
        <f ca="1">M73-M147</f>
        <v/>
      </c>
      <c r="O205" s="363" t="str">
        <f ca="1">O73-O147</f>
        <v/>
      </c>
      <c r="Q205" s="363" t="str">
        <f ca="1">Q73-Q147</f>
        <v/>
      </c>
      <c r="R205" s="364"/>
      <c r="S205" s="363" t="str">
        <f ca="1">S73-S147</f>
        <v/>
      </c>
      <c r="U205" s="365"/>
      <c r="W205" s="363" t="str">
        <f ca="1">W73-W147</f>
        <v/>
      </c>
      <c r="Y205" s="363" t="str">
        <f ca="1">Y73-Y147</f>
        <v/>
      </c>
      <c r="Z205" s="366"/>
      <c r="AA205" s="8"/>
      <c r="AC205" s="363" t="str">
        <f ca="1">AC73-AC147</f>
        <v/>
      </c>
      <c r="AE205" s="363" t="str">
        <f ca="1">AE73-AE147</f>
        <v/>
      </c>
      <c r="AG205" s="363" t="str">
        <f ca="1">AG73-AG147</f>
        <v/>
      </c>
      <c r="AI205" s="363" t="str">
        <f ca="1">AI73-AI147</f>
        <v/>
      </c>
      <c r="AK205" s="363" t="str">
        <f ca="1">AK73-AK147</f>
        <v/>
      </c>
      <c r="AM205" s="363" t="str">
        <f ca="1">AM73-AM147</f>
        <v/>
      </c>
      <c r="AO205" s="363" t="str">
        <f ca="1">AO73-AO147</f>
        <v/>
      </c>
      <c r="AQ205" s="363" t="str">
        <f ca="1">AQ73-AQ147</f>
        <v/>
      </c>
      <c r="AS205" s="363" t="str">
        <f ca="1">AS73-AS147</f>
        <v/>
      </c>
      <c r="AT205" s="366"/>
      <c r="AU205" s="363" t="str">
        <f ca="1">AU73-AU147</f>
        <v/>
      </c>
      <c r="AW205" s="363" t="str">
        <f ca="1">AW73-AW147</f>
        <v/>
      </c>
      <c r="AY205" s="367">
        <f>AY73-AY147</f>
        <v>0</v>
      </c>
      <c r="AZ205" s="156"/>
      <c r="BA205" s="113"/>
    </row>
    <row r="206" spans="1:53" ht="12.75" customHeight="1" x14ac:dyDescent="0.25">
      <c r="A206" s="173"/>
      <c r="B206" s="174"/>
      <c r="C206" s="174"/>
      <c r="D206" s="174"/>
      <c r="E206" s="174"/>
      <c r="F206" s="174"/>
      <c r="G206" s="199"/>
      <c r="H206" s="199"/>
      <c r="I206" s="368" t="str">
        <f ca="1">I150/I73</f>
        <v/>
      </c>
      <c r="J206" s="4"/>
      <c r="K206" s="368" t="str">
        <f ca="1">K150/K73</f>
        <v/>
      </c>
      <c r="L206" s="252"/>
      <c r="M206" s="368" t="str">
        <f ca="1">M150/M73</f>
        <v/>
      </c>
      <c r="O206" s="368" t="str">
        <f ca="1">O150/O73</f>
        <v/>
      </c>
      <c r="Q206" s="368" t="str">
        <f ca="1">Q150/Q73</f>
        <v/>
      </c>
      <c r="R206" s="252"/>
      <c r="S206" s="368" t="str">
        <f ca="1">S150/S73</f>
        <v/>
      </c>
      <c r="U206" s="369"/>
      <c r="W206" s="368" t="str">
        <f ca="1">W150/W73</f>
        <v/>
      </c>
      <c r="Y206" s="368" t="str">
        <f ca="1">Y150/Y73</f>
        <v/>
      </c>
      <c r="Z206" s="254"/>
      <c r="AA206" s="8"/>
      <c r="AC206" s="368" t="str">
        <f ca="1">AC150/AC73</f>
        <v/>
      </c>
      <c r="AE206" s="368" t="str">
        <f ca="1">AE150/AE73</f>
        <v/>
      </c>
      <c r="AG206" s="368" t="str">
        <f ca="1">AG150/AG73</f>
        <v/>
      </c>
      <c r="AI206" s="368" t="str">
        <f ca="1">AI150/AI73</f>
        <v/>
      </c>
      <c r="AK206" s="368" t="str">
        <f ca="1">AK150/AK73</f>
        <v/>
      </c>
      <c r="AM206" s="368" t="str">
        <f ca="1">AM150/AM73</f>
        <v/>
      </c>
      <c r="AO206" s="368" t="str">
        <f ca="1">AO150/AO73</f>
        <v/>
      </c>
      <c r="AQ206" s="368" t="str">
        <f ca="1">AQ150/AQ73</f>
        <v/>
      </c>
      <c r="AS206" s="368" t="str">
        <f ca="1">AS150/AS73</f>
        <v/>
      </c>
      <c r="AT206" s="254"/>
      <c r="AU206" s="368" t="str">
        <f ca="1">AU150/AU73</f>
        <v/>
      </c>
      <c r="AW206" s="368" t="str">
        <f ca="1">AW150/AW73</f>
        <v/>
      </c>
      <c r="AY206" s="370" t="e">
        <f>AY150/AY73</f>
        <v>#DIV/0!</v>
      </c>
      <c r="AZ206" s="254"/>
      <c r="BA206" s="256"/>
    </row>
    <row r="207" spans="1:53" ht="12.75" customHeight="1" x14ac:dyDescent="0.25">
      <c r="A207" s="91"/>
      <c r="I207" s="312"/>
      <c r="J207" s="4"/>
      <c r="K207" s="312"/>
      <c r="L207" s="24"/>
      <c r="M207" s="312"/>
      <c r="O207" s="312"/>
      <c r="Q207" s="312"/>
      <c r="R207" s="24"/>
      <c r="S207" s="312"/>
      <c r="U207" s="312"/>
      <c r="W207" s="312"/>
      <c r="Y207" s="312"/>
      <c r="AA207" s="8"/>
      <c r="AC207" s="312"/>
      <c r="AE207" s="312"/>
      <c r="AG207" s="312"/>
      <c r="AI207" s="312"/>
      <c r="AK207" s="312"/>
      <c r="AM207" s="312"/>
      <c r="AO207" s="312"/>
      <c r="AQ207" s="312"/>
      <c r="AS207" s="312"/>
      <c r="AU207" s="312"/>
      <c r="AW207" s="312"/>
      <c r="AY207" s="313"/>
      <c r="BA207" s="113"/>
    </row>
    <row r="208" spans="1:53" ht="12.75" customHeight="1" x14ac:dyDescent="0.25">
      <c r="A208" s="371">
        <v>16</v>
      </c>
      <c r="B208" s="372" t="s">
        <v>634</v>
      </c>
      <c r="C208" s="372"/>
      <c r="D208" s="372"/>
      <c r="E208" s="372"/>
      <c r="F208" s="372"/>
      <c r="G208" s="372"/>
      <c r="H208" s="372"/>
      <c r="I208" s="373">
        <f>SUM(I154:I155)</f>
        <v>0</v>
      </c>
      <c r="J208" s="4"/>
      <c r="K208" s="373">
        <f>SUM(K154:K155)</f>
        <v>0</v>
      </c>
      <c r="L208" s="281"/>
      <c r="M208" s="373">
        <f>SUM(M154:M155)</f>
        <v>0</v>
      </c>
      <c r="O208" s="373">
        <f>SUM(O154:O155)</f>
        <v>0</v>
      </c>
      <c r="Q208" s="373">
        <f>SUM(Q154:Q155)</f>
        <v>0</v>
      </c>
      <c r="R208" s="374"/>
      <c r="S208" s="373">
        <f>SUM(S154:S155)</f>
        <v>0</v>
      </c>
      <c r="U208" s="280"/>
      <c r="W208" s="373">
        <f>SUM(W154:W155)</f>
        <v>0</v>
      </c>
      <c r="Y208" s="373">
        <f>SUM(Y154:Y155)</f>
        <v>0</v>
      </c>
      <c r="Z208" s="261"/>
      <c r="AA208" s="8"/>
      <c r="AC208" s="373">
        <f>SUM(AC154:AC155)</f>
        <v>0</v>
      </c>
      <c r="AE208" s="373">
        <f>SUM(AE154:AE155)</f>
        <v>0</v>
      </c>
      <c r="AG208" s="373">
        <f>SUM(AG154:AG155)</f>
        <v>0</v>
      </c>
      <c r="AI208" s="373">
        <f>SUM(AI154:AI155)</f>
        <v>0</v>
      </c>
      <c r="AK208" s="373">
        <f>SUM(AK154:AK155)</f>
        <v>0</v>
      </c>
      <c r="AM208" s="373">
        <f>SUM(AM154:AM155)</f>
        <v>0</v>
      </c>
      <c r="AO208" s="373">
        <f>SUM(AO154:AO155)</f>
        <v>0</v>
      </c>
      <c r="AQ208" s="373">
        <f>SUM(AQ154:AQ155)</f>
        <v>0</v>
      </c>
      <c r="AS208" s="373">
        <f>SUM(AS154:AS155)</f>
        <v>0</v>
      </c>
      <c r="AT208" s="149"/>
      <c r="AU208" s="373">
        <f>SUM(AU154:AU155)</f>
        <v>0</v>
      </c>
      <c r="AW208" s="373">
        <f>SUM(AW154:AW155)</f>
        <v>0</v>
      </c>
      <c r="AY208" s="375">
        <f>SUM(I153:AW153)</f>
        <v>0</v>
      </c>
      <c r="AZ208" s="65"/>
      <c r="BA208" s="113"/>
    </row>
    <row r="209" spans="1:53" ht="12.75" customHeight="1" x14ac:dyDescent="0.25">
      <c r="A209" s="376"/>
      <c r="B209" s="1" t="s">
        <v>635</v>
      </c>
      <c r="E209" s="377">
        <v>4.5499999999999999E-2</v>
      </c>
      <c r="F209" s="256">
        <v>0.7</v>
      </c>
      <c r="G209" s="378" t="s">
        <v>636</v>
      </c>
      <c r="H209" s="379">
        <v>4</v>
      </c>
      <c r="I209" s="225">
        <f>$E$154*$F$154*I82*$H$154</f>
        <v>0</v>
      </c>
      <c r="J209" s="4"/>
      <c r="K209" s="225">
        <f>$E$154*$F$154*K82*$H$154</f>
        <v>0</v>
      </c>
      <c r="L209" s="281"/>
      <c r="M209" s="225">
        <f>$E$154*$F$154*M82*$H$154</f>
        <v>0</v>
      </c>
      <c r="O209" s="225">
        <f>$E$154*$F$154*O82*$H$154</f>
        <v>0</v>
      </c>
      <c r="Q209" s="225">
        <f>$E$154*$F$154*Q82*$H$154</f>
        <v>0</v>
      </c>
      <c r="R209" s="374"/>
      <c r="S209" s="225">
        <f>$E$154*$F$154*S82*$H$154</f>
        <v>0</v>
      </c>
      <c r="U209" s="280"/>
      <c r="W209" s="225">
        <f>$E$154*$F$154*W82*$H$154</f>
        <v>0</v>
      </c>
      <c r="Y209" s="225">
        <f>$E$154*$F$154*Y82*$H$154</f>
        <v>0</v>
      </c>
      <c r="Z209" s="261"/>
      <c r="AA209" s="4"/>
      <c r="AC209" s="225">
        <f>$E$154*$F$154*AC82*$H$154</f>
        <v>0</v>
      </c>
      <c r="AE209" s="225">
        <f>$E$154*$F$154*AE82*$H$154</f>
        <v>0</v>
      </c>
      <c r="AG209" s="225">
        <f>$E$154*$F$154*AG82*$H$154</f>
        <v>0</v>
      </c>
      <c r="AI209" s="225">
        <f>$E$154*$F$154*AI82*$H$154</f>
        <v>0</v>
      </c>
      <c r="AK209" s="225">
        <f>$E$154*$F$154*AK82*$H$154</f>
        <v>0</v>
      </c>
      <c r="AM209" s="225">
        <f>$E$154*$F$154*AM82*$H$154</f>
        <v>0</v>
      </c>
      <c r="AO209" s="225">
        <f>$E$154*$F$154*AO82*$H$154</f>
        <v>0</v>
      </c>
      <c r="AQ209" s="225">
        <f>$E$154*$F$154*AQ82*$H$154</f>
        <v>0</v>
      </c>
      <c r="AS209" s="225">
        <f>$E$154*$F$154*AS82*$H$154</f>
        <v>0</v>
      </c>
      <c r="AT209" s="149"/>
      <c r="AU209" s="225">
        <f>$E$154*$F$154*AU82*$H$154</f>
        <v>0</v>
      </c>
      <c r="AW209" s="225">
        <f>$E$154*$F$154*AW82*$H$154</f>
        <v>0</v>
      </c>
      <c r="AY209" s="135">
        <f>SUM(I154:AW154)</f>
        <v>0</v>
      </c>
      <c r="AZ209" s="65"/>
      <c r="BA209" s="113"/>
    </row>
    <row r="210" spans="1:53" ht="12.75" customHeight="1" x14ac:dyDescent="0.25">
      <c r="A210" s="376"/>
      <c r="B210" s="1" t="s">
        <v>637</v>
      </c>
      <c r="E210" s="377">
        <v>4.5499999999999999E-2</v>
      </c>
      <c r="F210" s="256">
        <v>0.2</v>
      </c>
      <c r="G210" s="378" t="s">
        <v>574</v>
      </c>
      <c r="H210" s="379">
        <v>4</v>
      </c>
      <c r="I210" s="236" t="e">
        <f>$E$155*$F$155*I87*$H$155</f>
        <v>#DIV/0!</v>
      </c>
      <c r="J210" s="4"/>
      <c r="K210" s="236" t="e">
        <f>$E$155*$F$155*K87*$H$155</f>
        <v>#DIV/0!</v>
      </c>
      <c r="L210" s="281"/>
      <c r="M210" s="236" t="e">
        <f>$E$155*$F$155*M87*$H$155</f>
        <v>#DIV/0!</v>
      </c>
      <c r="O210" s="236" t="e">
        <f>$E$155*$F$155*O87*$H$155</f>
        <v>#DIV/0!</v>
      </c>
      <c r="Q210" s="236" t="e">
        <f>$E$155*$F$155*Q87*$H$155</f>
        <v>#DIV/0!</v>
      </c>
      <c r="R210" s="374"/>
      <c r="S210" s="236" t="e">
        <f>$E$155*$F$155*S87*$H$155</f>
        <v>#DIV/0!</v>
      </c>
      <c r="U210" s="280"/>
      <c r="W210" s="236" t="e">
        <f>$E$155*$F$155*W87*$H$155</f>
        <v>#DIV/0!</v>
      </c>
      <c r="Y210" s="236" t="e">
        <f>$E$155*$F$155*Y87*$H$155</f>
        <v>#DIV/0!</v>
      </c>
      <c r="Z210" s="261"/>
      <c r="AA210" s="4"/>
      <c r="AC210" s="236" t="e">
        <f>$E$155*$F$155*AC87*$H$155</f>
        <v>#DIV/0!</v>
      </c>
      <c r="AE210" s="236" t="e">
        <f>$E$155*$F$155*AE87*$H$155</f>
        <v>#DIV/0!</v>
      </c>
      <c r="AG210" s="236" t="e">
        <f>$E$155*$F$155*AG87*$H$155</f>
        <v>#DIV/0!</v>
      </c>
      <c r="AI210" s="236" t="e">
        <f>$E$155*$F$155*AI87*$H$155</f>
        <v>#DIV/0!</v>
      </c>
      <c r="AK210" s="236" t="e">
        <f>$E$155*$F$155*AK87*$H$155</f>
        <v>#DIV/0!</v>
      </c>
      <c r="AM210" s="236" t="e">
        <f>$E$155*$F$155*AM87*$H$155</f>
        <v>#DIV/0!</v>
      </c>
      <c r="AO210" s="236" t="e">
        <f>$E$155*$F$155*AO87*$H$155</f>
        <v>#DIV/0!</v>
      </c>
      <c r="AQ210" s="236" t="e">
        <f>$E$155*$F$155*AQ87*$H$155</f>
        <v>#DIV/0!</v>
      </c>
      <c r="AS210" s="236" t="e">
        <f>$E$155*$F$155*AS87*$H$155</f>
        <v>#DIV/0!</v>
      </c>
      <c r="AT210" s="149"/>
      <c r="AU210" s="236" t="e">
        <f>$E$155*$F$155*AU87*$H$155</f>
        <v>#DIV/0!</v>
      </c>
      <c r="AW210" s="236" t="e">
        <f>$E$155*$F$155*AW87*$H$155</f>
        <v>#DIV/0!</v>
      </c>
      <c r="AY210" s="135">
        <f>SUM(I155:AW155)</f>
        <v>0</v>
      </c>
      <c r="AZ210" s="65"/>
      <c r="BA210" s="113"/>
    </row>
    <row r="211" spans="1:53" ht="12.75" customHeight="1" x14ac:dyDescent="0.25">
      <c r="A211" s="376"/>
      <c r="G211" s="380"/>
      <c r="H211" s="381"/>
      <c r="I211" s="382"/>
      <c r="J211" s="4"/>
      <c r="K211" s="382"/>
      <c r="L211" s="220"/>
      <c r="M211" s="382"/>
      <c r="O211" s="382"/>
      <c r="Q211" s="382"/>
      <c r="R211" s="220"/>
      <c r="S211" s="382"/>
      <c r="U211" s="382"/>
      <c r="W211" s="382"/>
      <c r="Y211" s="382"/>
      <c r="Z211" s="383"/>
      <c r="AA211" s="8"/>
      <c r="AC211" s="382"/>
      <c r="AE211" s="382"/>
      <c r="AG211" s="382"/>
      <c r="AI211" s="382"/>
      <c r="AK211" s="382"/>
      <c r="AM211" s="382"/>
      <c r="AO211" s="382"/>
      <c r="AQ211" s="382"/>
      <c r="AS211" s="382"/>
      <c r="AT211" s="149"/>
      <c r="AU211" s="382"/>
      <c r="AW211" s="382"/>
      <c r="AY211" s="245"/>
      <c r="AZ211" s="149"/>
      <c r="BA211" s="113"/>
    </row>
    <row r="212" spans="1:53" ht="12.75" customHeight="1" x14ac:dyDescent="0.25">
      <c r="A212" s="175" t="s">
        <v>638</v>
      </c>
      <c r="B212" s="335"/>
      <c r="C212" s="335"/>
      <c r="D212" s="335"/>
      <c r="E212" s="335"/>
      <c r="F212" s="335"/>
      <c r="G212" s="336"/>
      <c r="H212" s="336"/>
      <c r="I212" s="177">
        <f>I147+I153</f>
        <v>0</v>
      </c>
      <c r="J212" s="4"/>
      <c r="K212" s="177">
        <f>K147+K153</f>
        <v>0</v>
      </c>
      <c r="L212" s="178"/>
      <c r="M212" s="177">
        <f>M147+M153</f>
        <v>0</v>
      </c>
      <c r="O212" s="177">
        <f>O147+O153</f>
        <v>0</v>
      </c>
      <c r="Q212" s="177">
        <f>Q147+Q153</f>
        <v>0</v>
      </c>
      <c r="R212" s="178"/>
      <c r="S212" s="177">
        <f>S147+S153</f>
        <v>0</v>
      </c>
      <c r="U212" s="179"/>
      <c r="W212" s="177">
        <f>W147+W153</f>
        <v>0</v>
      </c>
      <c r="Y212" s="177">
        <f>Y147+Y153</f>
        <v>0</v>
      </c>
      <c r="Z212" s="180"/>
      <c r="AA212" s="8"/>
      <c r="AC212" s="177">
        <f>AC147+AC153</f>
        <v>0</v>
      </c>
      <c r="AE212" s="177">
        <f>AE147+AE153</f>
        <v>0</v>
      </c>
      <c r="AG212" s="177">
        <f>AG147+AG153</f>
        <v>0</v>
      </c>
      <c r="AI212" s="177">
        <f>AI147+AI153</f>
        <v>0</v>
      </c>
      <c r="AK212" s="177">
        <f>AK147+AK153</f>
        <v>0</v>
      </c>
      <c r="AM212" s="177">
        <f>AM147+AM153</f>
        <v>0</v>
      </c>
      <c r="AO212" s="177">
        <f>AO147+AO153</f>
        <v>0</v>
      </c>
      <c r="AQ212" s="177">
        <f>AQ147+AQ153</f>
        <v>0</v>
      </c>
      <c r="AS212" s="177">
        <f>AS147+AS153</f>
        <v>0</v>
      </c>
      <c r="AT212" s="180"/>
      <c r="AU212" s="177">
        <f>AU147+AU153</f>
        <v>0</v>
      </c>
      <c r="AW212" s="177">
        <f>AW147+AW153</f>
        <v>0</v>
      </c>
      <c r="AY212" s="358">
        <f>AY147+AY153</f>
        <v>0</v>
      </c>
      <c r="AZ212" s="65"/>
      <c r="BA212" s="113"/>
    </row>
    <row r="213" spans="1:53" ht="12.75" customHeight="1" x14ac:dyDescent="0.25">
      <c r="A213" s="173"/>
      <c r="B213" s="174"/>
      <c r="C213" s="174"/>
      <c r="D213" s="174"/>
      <c r="E213" s="174"/>
      <c r="F213" s="174"/>
      <c r="G213" s="338"/>
      <c r="H213" s="338"/>
      <c r="I213" s="339"/>
      <c r="J213" s="4"/>
      <c r="K213" s="339"/>
      <c r="L213" s="359"/>
      <c r="M213" s="339"/>
      <c r="O213" s="339"/>
      <c r="Q213" s="339"/>
      <c r="R213" s="359"/>
      <c r="S213" s="339"/>
      <c r="U213" s="339"/>
      <c r="W213" s="339"/>
      <c r="Y213" s="339"/>
      <c r="Z213" s="360"/>
      <c r="AA213" s="8"/>
      <c r="AC213" s="339"/>
      <c r="AE213" s="339"/>
      <c r="AG213" s="339"/>
      <c r="AI213" s="339"/>
      <c r="AK213" s="339"/>
      <c r="AM213" s="339"/>
      <c r="AO213" s="339"/>
      <c r="AQ213" s="339"/>
      <c r="AS213" s="339"/>
      <c r="AT213" s="360"/>
      <c r="AU213" s="339"/>
      <c r="AW213" s="339"/>
      <c r="AY213" s="339"/>
      <c r="AZ213" s="384"/>
    </row>
    <row r="214" spans="1:53" ht="12.75" customHeight="1" x14ac:dyDescent="0.25">
      <c r="A214" s="45"/>
      <c r="I214" s="312"/>
      <c r="J214" s="4"/>
      <c r="K214" s="312"/>
      <c r="L214" s="24"/>
      <c r="M214" s="312"/>
      <c r="O214" s="312"/>
      <c r="Q214" s="312"/>
      <c r="R214" s="24"/>
      <c r="S214" s="312"/>
      <c r="U214" s="312"/>
      <c r="W214" s="312"/>
      <c r="Y214" s="312"/>
      <c r="AA214" s="8"/>
      <c r="AC214" s="312"/>
      <c r="AE214" s="312"/>
      <c r="AG214" s="312"/>
      <c r="AI214" s="312"/>
      <c r="AK214" s="312"/>
      <c r="AM214" s="312"/>
      <c r="AO214" s="312"/>
      <c r="AQ214" s="312"/>
      <c r="AS214" s="312"/>
      <c r="AU214" s="312"/>
      <c r="AW214" s="312"/>
      <c r="AY214" s="313"/>
      <c r="BA214" s="113"/>
    </row>
    <row r="215" spans="1:53" ht="12.75" customHeight="1" x14ac:dyDescent="0.25">
      <c r="A215" s="361" t="s">
        <v>639</v>
      </c>
      <c r="B215" s="335"/>
      <c r="C215" s="335"/>
      <c r="D215" s="335"/>
      <c r="E215" s="335"/>
      <c r="F215" s="335"/>
      <c r="G215" s="385"/>
      <c r="H215" s="385"/>
      <c r="I215" s="363" t="str">
        <f ca="1">I150-I153</f>
        <v/>
      </c>
      <c r="J215" s="4"/>
      <c r="K215" s="363" t="str">
        <f ca="1">K150-K153</f>
        <v/>
      </c>
      <c r="L215" s="364"/>
      <c r="M215" s="363" t="str">
        <f ca="1">M150-M153</f>
        <v/>
      </c>
      <c r="O215" s="363" t="str">
        <f ca="1">O150-O153</f>
        <v/>
      </c>
      <c r="Q215" s="363" t="str">
        <f ca="1">Q150-Q153</f>
        <v/>
      </c>
      <c r="R215" s="364"/>
      <c r="S215" s="363" t="str">
        <f ca="1">S150-S153</f>
        <v/>
      </c>
      <c r="U215" s="365"/>
      <c r="W215" s="363" t="str">
        <f ca="1">W150-W153</f>
        <v/>
      </c>
      <c r="Y215" s="363" t="str">
        <f ca="1">Y150-Y153</f>
        <v/>
      </c>
      <c r="Z215" s="366"/>
      <c r="AA215" s="8"/>
      <c r="AC215" s="363" t="str">
        <f ca="1">AC150-AC153</f>
        <v/>
      </c>
      <c r="AE215" s="363" t="str">
        <f ca="1">AE150-AE153</f>
        <v/>
      </c>
      <c r="AG215" s="363" t="str">
        <f ca="1">AG150-AG153</f>
        <v/>
      </c>
      <c r="AI215" s="363" t="str">
        <f ca="1">AI150-AI153</f>
        <v/>
      </c>
      <c r="AK215" s="363" t="str">
        <f ca="1">AK150-AK153</f>
        <v/>
      </c>
      <c r="AM215" s="363" t="str">
        <f ca="1">AM150-AM153</f>
        <v/>
      </c>
      <c r="AO215" s="363" t="str">
        <f ca="1">AO150-AO153</f>
        <v/>
      </c>
      <c r="AQ215" s="363" t="str">
        <f ca="1">AQ150-AQ153</f>
        <v/>
      </c>
      <c r="AS215" s="363" t="str">
        <f ca="1">AS150-AS153</f>
        <v/>
      </c>
      <c r="AT215" s="366"/>
      <c r="AU215" s="363" t="str">
        <f ca="1">AU150-AU153</f>
        <v/>
      </c>
      <c r="AW215" s="363" t="str">
        <f ca="1">AW150-AW153</f>
        <v/>
      </c>
      <c r="AY215" s="367">
        <f>AY150-AY153</f>
        <v>0</v>
      </c>
      <c r="AZ215" s="156"/>
      <c r="BA215" s="113"/>
    </row>
    <row r="216" spans="1:53" ht="12.75" customHeight="1" x14ac:dyDescent="0.25">
      <c r="A216" s="173"/>
      <c r="B216" s="174"/>
      <c r="C216" s="174"/>
      <c r="D216" s="174"/>
      <c r="E216" s="174"/>
      <c r="F216" s="174"/>
      <c r="G216" s="386"/>
      <c r="H216" s="386"/>
      <c r="I216" s="368" t="str">
        <f ca="1">I160/I73</f>
        <v/>
      </c>
      <c r="J216" s="4"/>
      <c r="K216" s="368" t="str">
        <f ca="1">K160/K73</f>
        <v/>
      </c>
      <c r="L216" s="252"/>
      <c r="M216" s="368" t="str">
        <f ca="1">M160/M73</f>
        <v/>
      </c>
      <c r="O216" s="368" t="str">
        <f ca="1">O160/O73</f>
        <v/>
      </c>
      <c r="Q216" s="368" t="str">
        <f ca="1">Q160/Q73</f>
        <v/>
      </c>
      <c r="R216" s="252"/>
      <c r="S216" s="368" t="str">
        <f ca="1">S160/S73</f>
        <v/>
      </c>
      <c r="U216" s="369"/>
      <c r="W216" s="368" t="str">
        <f ca="1">W160/W73</f>
        <v/>
      </c>
      <c r="Y216" s="368" t="str">
        <f ca="1">Y160/Y73</f>
        <v/>
      </c>
      <c r="Z216" s="254"/>
      <c r="AA216" s="8"/>
      <c r="AC216" s="368" t="str">
        <f ca="1">AC160/AC73</f>
        <v/>
      </c>
      <c r="AE216" s="368" t="str">
        <f ca="1">AE160/AE73</f>
        <v/>
      </c>
      <c r="AG216" s="368" t="str">
        <f ca="1">AG160/AG73</f>
        <v/>
      </c>
      <c r="AI216" s="368" t="str">
        <f ca="1">AI160/AI73</f>
        <v/>
      </c>
      <c r="AK216" s="368" t="str">
        <f ca="1">AK160/AK73</f>
        <v/>
      </c>
      <c r="AM216" s="368" t="str">
        <f ca="1">AM160/AM73</f>
        <v/>
      </c>
      <c r="AO216" s="368" t="str">
        <f ca="1">AO160/AO73</f>
        <v/>
      </c>
      <c r="AQ216" s="368" t="str">
        <f ca="1">AQ160/AQ73</f>
        <v/>
      </c>
      <c r="AS216" s="368" t="str">
        <f ca="1">AS160/AS73</f>
        <v/>
      </c>
      <c r="AT216" s="254"/>
      <c r="AU216" s="368" t="str">
        <f ca="1">AU160/AU73</f>
        <v/>
      </c>
      <c r="AW216" s="368" t="str">
        <f ca="1">AW160/AW73</f>
        <v/>
      </c>
      <c r="AY216" s="370" t="e">
        <f>AY160/AY73</f>
        <v>#DIV/0!</v>
      </c>
      <c r="AZ216" s="254"/>
      <c r="BA216" s="256"/>
    </row>
    <row r="217" spans="1:53" ht="12.75" customHeight="1" x14ac:dyDescent="0.25">
      <c r="A217" s="91"/>
      <c r="I217" s="312"/>
      <c r="J217" s="232"/>
      <c r="K217" s="312"/>
      <c r="L217" s="24"/>
      <c r="M217" s="312"/>
      <c r="O217" s="312"/>
      <c r="Q217" s="312"/>
      <c r="R217" s="24"/>
      <c r="S217" s="312"/>
      <c r="U217" s="312"/>
      <c r="W217" s="312"/>
      <c r="Y217" s="312"/>
      <c r="AA217" s="8"/>
      <c r="AC217" s="312"/>
      <c r="AE217" s="312"/>
      <c r="AG217" s="312"/>
      <c r="AI217" s="312"/>
      <c r="AK217" s="312"/>
      <c r="AM217" s="312"/>
      <c r="AO217" s="312"/>
      <c r="AQ217" s="312"/>
      <c r="AS217" s="312"/>
      <c r="AU217" s="312"/>
      <c r="AW217" s="312"/>
      <c r="AY217" s="313"/>
      <c r="BA217" s="113"/>
    </row>
    <row r="218" spans="1:53" ht="12.75" customHeight="1" x14ac:dyDescent="0.25">
      <c r="A218" s="215">
        <v>17</v>
      </c>
      <c r="B218" s="216" t="s">
        <v>640</v>
      </c>
      <c r="C218" s="216"/>
      <c r="D218" s="216"/>
      <c r="E218" s="216"/>
      <c r="F218" s="308">
        <v>1.4E-2</v>
      </c>
      <c r="G218" s="387" t="s">
        <v>353</v>
      </c>
      <c r="H218" s="388"/>
      <c r="I218" s="389" t="str">
        <f ca="1">$F$163*I73</f>
        <v/>
      </c>
      <c r="J218" s="4"/>
      <c r="K218" s="389" t="str">
        <f ca="1">$F$163*K73</f>
        <v/>
      </c>
      <c r="L218" s="226"/>
      <c r="M218" s="389" t="str">
        <f ca="1">$F$163*M73</f>
        <v/>
      </c>
      <c r="O218" s="389" t="str">
        <f ca="1">$F$163*O73</f>
        <v/>
      </c>
      <c r="Q218" s="389" t="str">
        <f ca="1">$F$163*Q73</f>
        <v/>
      </c>
      <c r="R218" s="226"/>
      <c r="S218" s="389" t="str">
        <f ca="1">$F$163*S73</f>
        <v/>
      </c>
      <c r="U218" s="225"/>
      <c r="W218" s="389" t="str">
        <f ca="1">$F$163*W73</f>
        <v/>
      </c>
      <c r="Y218" s="389" t="str">
        <f ca="1">$F$163*Y73</f>
        <v/>
      </c>
      <c r="Z218" s="227"/>
      <c r="AA218" s="8"/>
      <c r="AC218" s="389" t="str">
        <f ca="1">$F$163*AC73</f>
        <v/>
      </c>
      <c r="AE218" s="389" t="str">
        <f ca="1">$F$163*AE73</f>
        <v/>
      </c>
      <c r="AG218" s="389" t="str">
        <f ca="1">$F$163*AG73</f>
        <v/>
      </c>
      <c r="AI218" s="389" t="str">
        <f ca="1">$F$163*AI73</f>
        <v/>
      </c>
      <c r="AK218" s="389" t="str">
        <f ca="1">$F$163*AK73</f>
        <v/>
      </c>
      <c r="AM218" s="389" t="str">
        <f ca="1">$F$163*AM73</f>
        <v/>
      </c>
      <c r="AO218" s="389" t="str">
        <f ca="1">$F$163*AO73</f>
        <v/>
      </c>
      <c r="AQ218" s="389" t="str">
        <f ca="1">$F$163*AQ73</f>
        <v/>
      </c>
      <c r="AS218" s="389" t="str">
        <f ca="1">$F$163*AS73</f>
        <v/>
      </c>
      <c r="AT218" s="149"/>
      <c r="AU218" s="389" t="str">
        <f ca="1">$F$163*AU73</f>
        <v/>
      </c>
      <c r="AW218" s="389" t="str">
        <f ca="1">$F$163*AW73</f>
        <v/>
      </c>
      <c r="AY218" s="222">
        <f>SUM(I163:AW163)</f>
        <v>0</v>
      </c>
      <c r="AZ218" s="149"/>
      <c r="BA218" s="113"/>
    </row>
    <row r="219" spans="1:53" ht="12.75" customHeight="1" x14ac:dyDescent="0.25">
      <c r="A219" s="376">
        <v>18</v>
      </c>
      <c r="B219" s="10" t="s">
        <v>641</v>
      </c>
      <c r="F219" s="308">
        <v>0.03</v>
      </c>
      <c r="G219" s="137" t="s">
        <v>353</v>
      </c>
      <c r="H219" s="390"/>
      <c r="I219" s="391" t="str">
        <f ca="1">$F$164*I73</f>
        <v/>
      </c>
      <c r="J219" s="4"/>
      <c r="K219" s="391" t="str">
        <f ca="1">$F$164*K73</f>
        <v/>
      </c>
      <c r="L219" s="226"/>
      <c r="M219" s="391" t="str">
        <f ca="1">$F$164*M73</f>
        <v/>
      </c>
      <c r="O219" s="391" t="str">
        <f ca="1">$F$164*O73</f>
        <v/>
      </c>
      <c r="Q219" s="391" t="str">
        <f ca="1">$F$164*Q73</f>
        <v/>
      </c>
      <c r="R219" s="226"/>
      <c r="S219" s="391" t="str">
        <f ca="1">$F$164*S73</f>
        <v/>
      </c>
      <c r="U219" s="225"/>
      <c r="W219" s="391" t="str">
        <f ca="1">$F$164*W73</f>
        <v/>
      </c>
      <c r="Y219" s="391" t="str">
        <f ca="1">$F$164*Y73</f>
        <v/>
      </c>
      <c r="Z219" s="227"/>
      <c r="AA219" s="8"/>
      <c r="AC219" s="391" t="str">
        <f ca="1">$F$164*AC73</f>
        <v/>
      </c>
      <c r="AE219" s="391" t="str">
        <f ca="1">$F$164*AE73</f>
        <v/>
      </c>
      <c r="AG219" s="391" t="str">
        <f ca="1">$F$164*AG73</f>
        <v/>
      </c>
      <c r="AI219" s="391" t="str">
        <f ca="1">$F$164*AI73</f>
        <v/>
      </c>
      <c r="AK219" s="391" t="str">
        <f ca="1">$F$164*AK73</f>
        <v/>
      </c>
      <c r="AM219" s="391" t="str">
        <f ca="1">$F$164*AM73</f>
        <v/>
      </c>
      <c r="AO219" s="391" t="str">
        <f ca="1">$F$164*AO73</f>
        <v/>
      </c>
      <c r="AQ219" s="391" t="str">
        <f ca="1">$F$164*AQ73</f>
        <v/>
      </c>
      <c r="AS219" s="391" t="str">
        <f ca="1">$F$164*AS73</f>
        <v/>
      </c>
      <c r="AT219" s="149"/>
      <c r="AU219" s="391" t="str">
        <f ca="1">$F$164*AU73</f>
        <v/>
      </c>
      <c r="AW219" s="391" t="str">
        <f ca="1">$F$164*AW73</f>
        <v/>
      </c>
      <c r="AY219" s="135" t="e">
        <f>SUM(I164:AW164)</f>
        <v>#DIV/0!</v>
      </c>
      <c r="AZ219" s="227"/>
      <c r="BA219" s="113"/>
    </row>
    <row r="220" spans="1:53" ht="12.75" customHeight="1" x14ac:dyDescent="0.25">
      <c r="A220" s="392">
        <v>19</v>
      </c>
      <c r="B220" s="393" t="s">
        <v>642</v>
      </c>
      <c r="C220" s="393"/>
      <c r="D220" s="393"/>
      <c r="E220" s="393"/>
      <c r="F220" s="308">
        <v>5.0000000000000001E-3</v>
      </c>
      <c r="G220" s="394" t="s">
        <v>353</v>
      </c>
      <c r="H220" s="395"/>
      <c r="I220" s="396" t="str">
        <f ca="1">$F$165*I73</f>
        <v/>
      </c>
      <c r="J220" s="4"/>
      <c r="K220" s="396" t="str">
        <f ca="1">$F$165*K73</f>
        <v/>
      </c>
      <c r="L220" s="226"/>
      <c r="M220" s="396" t="str">
        <f ca="1">$F$165*M73</f>
        <v/>
      </c>
      <c r="O220" s="396" t="str">
        <f ca="1">$F$165*O73</f>
        <v/>
      </c>
      <c r="Q220" s="396" t="str">
        <f ca="1">$F$165*Q73</f>
        <v/>
      </c>
      <c r="R220" s="226"/>
      <c r="S220" s="396" t="str">
        <f ca="1">$F$165*S73</f>
        <v/>
      </c>
      <c r="U220" s="225"/>
      <c r="W220" s="396" t="str">
        <f ca="1">$F$165*W73</f>
        <v/>
      </c>
      <c r="Y220" s="396" t="str">
        <f ca="1">$F$165*Y73</f>
        <v/>
      </c>
      <c r="Z220" s="227"/>
      <c r="AA220" s="8"/>
      <c r="AC220" s="396" t="str">
        <f ca="1">$F$165*AC73</f>
        <v/>
      </c>
      <c r="AE220" s="396" t="str">
        <f ca="1">$F$165*AE73</f>
        <v/>
      </c>
      <c r="AG220" s="396" t="str">
        <f ca="1">$F$165*AG73</f>
        <v/>
      </c>
      <c r="AI220" s="396" t="str">
        <f ca="1">$F$165*AI73</f>
        <v/>
      </c>
      <c r="AK220" s="396" t="str">
        <f ca="1">$F$165*AK73</f>
        <v/>
      </c>
      <c r="AM220" s="396" t="str">
        <f ca="1">$F$165*AM73</f>
        <v/>
      </c>
      <c r="AO220" s="396" t="str">
        <f ca="1">$F$165*AO73</f>
        <v/>
      </c>
      <c r="AQ220" s="396" t="str">
        <f ca="1">$F$165*AQ73</f>
        <v/>
      </c>
      <c r="AS220" s="396" t="str">
        <f ca="1">$F$165*AS73</f>
        <v/>
      </c>
      <c r="AT220" s="149"/>
      <c r="AU220" s="396" t="str">
        <f ca="1">$F$165*AU73</f>
        <v/>
      </c>
      <c r="AW220" s="396" t="str">
        <f ca="1">$F$165*AW73</f>
        <v/>
      </c>
      <c r="AY220" s="347">
        <f>SUM(I165:AW165)</f>
        <v>0</v>
      </c>
      <c r="AZ220" s="149"/>
      <c r="BA220" s="113"/>
    </row>
    <row r="221" spans="1:53" ht="12.75" customHeight="1" x14ac:dyDescent="0.25">
      <c r="A221" s="371">
        <v>20</v>
      </c>
      <c r="B221" s="372" t="s">
        <v>643</v>
      </c>
      <c r="C221" s="372"/>
      <c r="D221" s="372"/>
      <c r="E221" s="372"/>
      <c r="F221" s="308">
        <v>0.01</v>
      </c>
      <c r="G221" s="397" t="s">
        <v>353</v>
      </c>
      <c r="H221" s="398"/>
      <c r="I221" s="399" t="str">
        <f ca="1">$F$166*I73</f>
        <v/>
      </c>
      <c r="J221" s="4"/>
      <c r="K221" s="399" t="str">
        <f ca="1">$F$166*K73</f>
        <v/>
      </c>
      <c r="L221" s="226"/>
      <c r="M221" s="399" t="str">
        <f ca="1">$F$166*M73</f>
        <v/>
      </c>
      <c r="O221" s="399" t="str">
        <f ca="1">$F$166*O73</f>
        <v/>
      </c>
      <c r="Q221" s="399" t="str">
        <f ca="1">$F$166*Q73</f>
        <v/>
      </c>
      <c r="R221" s="226"/>
      <c r="S221" s="399" t="str">
        <f ca="1">$F$166*S73</f>
        <v/>
      </c>
      <c r="U221" s="225"/>
      <c r="W221" s="399" t="str">
        <f ca="1">$F$166*W73</f>
        <v/>
      </c>
      <c r="Y221" s="399" t="str">
        <f ca="1">$F$166*Y73</f>
        <v/>
      </c>
      <c r="Z221" s="227"/>
      <c r="AA221" s="8"/>
      <c r="AC221" s="399" t="str">
        <f ca="1">$F$166*AC73</f>
        <v/>
      </c>
      <c r="AE221" s="399" t="str">
        <f ca="1">$F$166*AE73</f>
        <v/>
      </c>
      <c r="AG221" s="399" t="str">
        <f ca="1">$F$166*AG73</f>
        <v/>
      </c>
      <c r="AI221" s="399" t="str">
        <f ca="1">$F$166*AI73</f>
        <v/>
      </c>
      <c r="AK221" s="399" t="str">
        <f ca="1">$F$166*AK73</f>
        <v/>
      </c>
      <c r="AM221" s="399" t="str">
        <f ca="1">$F$166*AM73</f>
        <v/>
      </c>
      <c r="AO221" s="399" t="str">
        <f ca="1">$F$166*AO73</f>
        <v/>
      </c>
      <c r="AQ221" s="399" t="str">
        <f ca="1">$F$166*AQ73</f>
        <v/>
      </c>
      <c r="AS221" s="399" t="str">
        <f ca="1">$F$166*AS73</f>
        <v/>
      </c>
      <c r="AT221" s="149"/>
      <c r="AU221" s="399" t="str">
        <f ca="1">$F$166*AU73</f>
        <v/>
      </c>
      <c r="AW221" s="399" t="str">
        <f ca="1">$F$166*AW73</f>
        <v/>
      </c>
      <c r="AY221" s="375">
        <f>SUM(I166:AW166)</f>
        <v>0</v>
      </c>
      <c r="AZ221" s="149"/>
      <c r="BA221" s="113"/>
    </row>
    <row r="222" spans="1:53" ht="12.75" customHeight="1" x14ac:dyDescent="0.25">
      <c r="A222" s="376"/>
      <c r="D222" s="400"/>
      <c r="E222" s="400"/>
      <c r="H222" s="390"/>
      <c r="I222" s="244"/>
      <c r="J222" s="4"/>
      <c r="K222" s="244"/>
      <c r="L222" s="220"/>
      <c r="M222" s="244"/>
      <c r="O222" s="244"/>
      <c r="Q222" s="244"/>
      <c r="R222" s="220"/>
      <c r="S222" s="244"/>
      <c r="U222" s="244"/>
      <c r="W222" s="244"/>
      <c r="Y222" s="244"/>
      <c r="Z222" s="149"/>
      <c r="AA222" s="8"/>
      <c r="AC222" s="244"/>
      <c r="AE222" s="244"/>
      <c r="AG222" s="244"/>
      <c r="AI222" s="244"/>
      <c r="AK222" s="244"/>
      <c r="AM222" s="244"/>
      <c r="AO222" s="244"/>
      <c r="AQ222" s="244"/>
      <c r="AS222" s="244"/>
      <c r="AT222" s="149"/>
      <c r="AU222" s="244"/>
      <c r="AW222" s="244"/>
      <c r="AY222" s="245"/>
      <c r="AZ222" s="149"/>
      <c r="BA222" s="113"/>
    </row>
    <row r="223" spans="1:53" ht="12.75" customHeight="1" x14ac:dyDescent="0.25">
      <c r="A223" s="376"/>
      <c r="D223" s="400"/>
      <c r="E223" s="400"/>
      <c r="H223" s="390"/>
      <c r="I223" s="401" t="e">
        <f>SUM(I163:I166)</f>
        <v>#DIV/0!</v>
      </c>
      <c r="J223" s="4"/>
      <c r="K223" s="401" t="e">
        <f>SUM(K163:K166)</f>
        <v>#DIV/0!</v>
      </c>
      <c r="L223" s="220"/>
      <c r="M223" s="401" t="e">
        <f>SUM(M163:M166)</f>
        <v>#DIV/0!</v>
      </c>
      <c r="O223" s="401" t="e">
        <f>SUM(O163:O166)</f>
        <v>#DIV/0!</v>
      </c>
      <c r="Q223" s="401" t="e">
        <f>SUM(Q163:Q166)</f>
        <v>#DIV/0!</v>
      </c>
      <c r="R223" s="220"/>
      <c r="S223" s="401" t="e">
        <f>SUM(S163:S166)</f>
        <v>#DIV/0!</v>
      </c>
      <c r="U223" s="401"/>
      <c r="W223" s="401" t="e">
        <f>SUM(W163:W166)</f>
        <v>#DIV/0!</v>
      </c>
      <c r="Y223" s="401" t="e">
        <f>SUM(Y163:Y166)</f>
        <v>#DIV/0!</v>
      </c>
      <c r="Z223" s="149"/>
      <c r="AA223" s="8"/>
      <c r="AC223" s="401" t="e">
        <f>SUM(AC163:AC166)</f>
        <v>#DIV/0!</v>
      </c>
      <c r="AE223" s="401" t="e">
        <f>SUM(AE163:AE166)</f>
        <v>#DIV/0!</v>
      </c>
      <c r="AG223" s="401" t="e">
        <f>SUM(AG163:AG166)</f>
        <v>#DIV/0!</v>
      </c>
      <c r="AI223" s="401" t="e">
        <f>SUM(AI163:AI166)</f>
        <v>#DIV/0!</v>
      </c>
      <c r="AK223" s="401" t="e">
        <f>SUM(AK163:AK166)</f>
        <v>#DIV/0!</v>
      </c>
      <c r="AM223" s="401" t="e">
        <f>SUM(AM163:AM166)</f>
        <v>#DIV/0!</v>
      </c>
      <c r="AO223" s="401" t="e">
        <f>SUM(AO163:AO166)</f>
        <v>#DIV/0!</v>
      </c>
      <c r="AQ223" s="401" t="e">
        <f>SUM(AQ163:AQ166)</f>
        <v>#DIV/0!</v>
      </c>
      <c r="AS223" s="401" t="e">
        <f>SUM(AS163:AS166)</f>
        <v>#DIV/0!</v>
      </c>
      <c r="AT223" s="149"/>
      <c r="AU223" s="401" t="e">
        <f>SUM(AU163:AU166)</f>
        <v>#DIV/0!</v>
      </c>
      <c r="AW223" s="401" t="e">
        <f>SUM(AW163:AW166)</f>
        <v>#DIV/0!</v>
      </c>
      <c r="AY223" s="402" t="e">
        <f>SUM(AY163:AY166)</f>
        <v>#DIV/0!</v>
      </c>
      <c r="AZ223" s="149"/>
      <c r="BA223" s="113"/>
    </row>
    <row r="224" spans="1:53" ht="12.75" customHeight="1" x14ac:dyDescent="0.25">
      <c r="A224" s="376"/>
      <c r="D224" s="400"/>
      <c r="E224" s="400"/>
      <c r="H224" s="390"/>
      <c r="I224" s="244"/>
      <c r="J224" s="232"/>
      <c r="K224" s="244"/>
      <c r="L224" s="220"/>
      <c r="M224" s="244"/>
      <c r="O224" s="244"/>
      <c r="Q224" s="244"/>
      <c r="R224" s="220"/>
      <c r="S224" s="244"/>
      <c r="U224" s="244"/>
      <c r="W224" s="244"/>
      <c r="Y224" s="244"/>
      <c r="Z224" s="149"/>
      <c r="AA224" s="8"/>
      <c r="AC224" s="244"/>
      <c r="AE224" s="244"/>
      <c r="AG224" s="244"/>
      <c r="AI224" s="244"/>
      <c r="AK224" s="244"/>
      <c r="AM224" s="244"/>
      <c r="AO224" s="244"/>
      <c r="AQ224" s="244"/>
      <c r="AS224" s="244"/>
      <c r="AT224" s="149"/>
      <c r="AU224" s="244"/>
      <c r="AW224" s="244"/>
      <c r="AY224" s="245"/>
      <c r="AZ224" s="149"/>
      <c r="BA224" s="113"/>
    </row>
    <row r="225" spans="1:53" ht="12.75" customHeight="1" x14ac:dyDescent="0.25">
      <c r="A225" s="403" t="s">
        <v>644</v>
      </c>
      <c r="B225" s="404"/>
      <c r="C225" s="404"/>
      <c r="D225" s="404"/>
      <c r="E225" s="404"/>
      <c r="F225" s="404"/>
      <c r="G225" s="385"/>
      <c r="H225" s="385"/>
      <c r="I225" s="363">
        <f>I160-I168</f>
        <v>0</v>
      </c>
      <c r="J225" s="4"/>
      <c r="K225" s="363">
        <f>K160-K168</f>
        <v>0</v>
      </c>
      <c r="L225" s="364"/>
      <c r="M225" s="363">
        <f>M160-M168</f>
        <v>0</v>
      </c>
      <c r="O225" s="363">
        <f>O160-O168</f>
        <v>0</v>
      </c>
      <c r="Q225" s="363">
        <f>Q160-Q168</f>
        <v>0</v>
      </c>
      <c r="R225" s="364"/>
      <c r="S225" s="363">
        <f>S160-S168</f>
        <v>0</v>
      </c>
      <c r="U225" s="365"/>
      <c r="W225" s="363">
        <f>W160-W168</f>
        <v>0</v>
      </c>
      <c r="Y225" s="363">
        <f>Y160-Y168</f>
        <v>0</v>
      </c>
      <c r="Z225" s="366"/>
      <c r="AA225" s="8"/>
      <c r="AC225" s="363">
        <f>AC160-AC168</f>
        <v>0</v>
      </c>
      <c r="AE225" s="363">
        <f>AE160-AE168</f>
        <v>0</v>
      </c>
      <c r="AG225" s="363">
        <f>AG160-AG168</f>
        <v>0</v>
      </c>
      <c r="AI225" s="363">
        <f>AI160-AI168</f>
        <v>0</v>
      </c>
      <c r="AK225" s="363">
        <f>AK160-AK168</f>
        <v>0</v>
      </c>
      <c r="AM225" s="363">
        <f>AM160-AM168</f>
        <v>0</v>
      </c>
      <c r="AO225" s="363">
        <f>AO160-AO168</f>
        <v>0</v>
      </c>
      <c r="AQ225" s="363">
        <f>AQ160-AQ168</f>
        <v>0</v>
      </c>
      <c r="AS225" s="363">
        <f>AS160-AS168</f>
        <v>0</v>
      </c>
      <c r="AT225" s="366"/>
      <c r="AU225" s="363">
        <f>AU160-AU168</f>
        <v>0</v>
      </c>
      <c r="AW225" s="363">
        <f>AW160-AW168</f>
        <v>0</v>
      </c>
      <c r="AY225" s="367">
        <f>AY160-AY168</f>
        <v>0</v>
      </c>
      <c r="AZ225" s="65"/>
      <c r="BA225" s="113"/>
    </row>
    <row r="226" spans="1:53" ht="12.75" customHeight="1" x14ac:dyDescent="0.25">
      <c r="A226" s="405" t="s">
        <v>645</v>
      </c>
      <c r="B226" s="406"/>
      <c r="C226" s="406"/>
      <c r="D226" s="406"/>
      <c r="E226" s="406"/>
      <c r="F226" s="406"/>
      <c r="G226" s="407"/>
      <c r="H226" s="407"/>
      <c r="I226" s="408" t="str">
        <f ca="1">I170/I73</f>
        <v/>
      </c>
      <c r="J226" s="4"/>
      <c r="K226" s="408" t="str">
        <f ca="1">K170/K73</f>
        <v/>
      </c>
      <c r="L226" s="252"/>
      <c r="M226" s="408" t="str">
        <f ca="1">M170/M73</f>
        <v/>
      </c>
      <c r="O226" s="408" t="str">
        <f ca="1">O170/O73</f>
        <v/>
      </c>
      <c r="Q226" s="408" t="str">
        <f ca="1">Q170/Q73</f>
        <v/>
      </c>
      <c r="R226" s="252"/>
      <c r="S226" s="408" t="str">
        <f ca="1">S170/S73</f>
        <v/>
      </c>
      <c r="U226" s="409"/>
      <c r="W226" s="408" t="str">
        <f ca="1">W170/W73</f>
        <v/>
      </c>
      <c r="Y226" s="408" t="str">
        <f ca="1">Y170/Y73</f>
        <v/>
      </c>
      <c r="Z226" s="254"/>
      <c r="AA226" s="8"/>
      <c r="AC226" s="408" t="str">
        <f ca="1">AC170/AC73</f>
        <v/>
      </c>
      <c r="AE226" s="408" t="str">
        <f ca="1">AE170/AE73</f>
        <v/>
      </c>
      <c r="AG226" s="408" t="str">
        <f ca="1">AG170/AG73</f>
        <v/>
      </c>
      <c r="AI226" s="408" t="str">
        <f ca="1">AI170/AI73</f>
        <v/>
      </c>
      <c r="AK226" s="408" t="str">
        <f ca="1">AK170/AK73</f>
        <v/>
      </c>
      <c r="AM226" s="408" t="str">
        <f ca="1">AM170/AM73</f>
        <v/>
      </c>
      <c r="AO226" s="408" t="str">
        <f ca="1">AO170/AO73</f>
        <v/>
      </c>
      <c r="AQ226" s="408" t="str">
        <f ca="1">AQ170/AQ73</f>
        <v/>
      </c>
      <c r="AS226" s="408" t="str">
        <f ca="1">AS170/AS73</f>
        <v/>
      </c>
      <c r="AT226" s="254"/>
      <c r="AU226" s="408" t="str">
        <f ca="1">AU170/AU73</f>
        <v/>
      </c>
      <c r="AW226" s="408" t="str">
        <f ca="1">AW170/AW73</f>
        <v/>
      </c>
      <c r="AY226" s="410" t="e">
        <f>AY170/AY73</f>
        <v>#DIV/0!</v>
      </c>
      <c r="AZ226" s="254"/>
      <c r="BA226" s="256"/>
    </row>
    <row r="227" spans="1:53" ht="34.5" customHeight="1" x14ac:dyDescent="0.25">
      <c r="A227" s="411" t="s">
        <v>646</v>
      </c>
      <c r="I227" s="412" t="str">
        <f ca="1">IFERROR(I170/I65,0)</f>
        <v/>
      </c>
      <c r="K227" s="412" t="str">
        <f ca="1">IFERROR(K170/K65,0)</f>
        <v/>
      </c>
      <c r="M227" s="412" t="str">
        <f ca="1">IFERROR(M170/M65,0)</f>
        <v/>
      </c>
      <c r="O227" s="412" t="str">
        <f ca="1">IFERROR(O170/O65,0)</f>
        <v/>
      </c>
      <c r="Q227" s="412" t="str">
        <f ca="1">IFERROR(Q170/Q65,0)</f>
        <v/>
      </c>
      <c r="S227" s="412" t="str">
        <f ca="1">IFERROR(S170/S65,0)</f>
        <v/>
      </c>
      <c r="W227" s="412" t="str">
        <f ca="1">IFERROR(W170/W65,0)</f>
        <v/>
      </c>
      <c r="Y227" s="412" t="str">
        <f ca="1">IFERROR(Y170/Y65,0)</f>
        <v/>
      </c>
      <c r="AC227" s="412" t="str">
        <f ca="1">IFERROR(AC170/AC65,0)</f>
        <v/>
      </c>
      <c r="AE227" s="412" t="str">
        <f ca="1">IFERROR(AE170/AE65,0)</f>
        <v/>
      </c>
      <c r="AG227" s="412" t="str">
        <f ca="1">IFERROR(AG170/AG65,0)</f>
        <v/>
      </c>
      <c r="AI227" s="412" t="str">
        <f ca="1">IFERROR(AI170/AI65,0)</f>
        <v/>
      </c>
      <c r="AK227" s="412" t="str">
        <f ca="1">IFERROR(AK170/AK65,0)</f>
        <v/>
      </c>
      <c r="AM227" s="412" t="str">
        <f ca="1">IFERROR(AM170/AM65,0)</f>
        <v/>
      </c>
      <c r="AO227" s="412" t="str">
        <f ca="1">IFERROR(AO170/AO65,0)</f>
        <v/>
      </c>
      <c r="AQ227" s="412" t="str">
        <f ca="1">IFERROR(AQ170/AQ65,0)</f>
        <v/>
      </c>
      <c r="AS227" s="412" t="str">
        <f ca="1">IFERROR(AS170/AS65,0)</f>
        <v/>
      </c>
      <c r="AU227" s="412" t="str">
        <f ca="1">IFERROR(AU170/AU65,0)</f>
        <v/>
      </c>
      <c r="AW227" s="412" t="str">
        <f ca="1">IFERROR(AW170/AW65,0)</f>
        <v/>
      </c>
      <c r="AY227" s="413" t="str">
        <f ca="1">IFERROR(AY170/AY65,0)</f>
        <v/>
      </c>
    </row>
    <row r="228" spans="1:53" ht="68.25" customHeight="1" x14ac:dyDescent="0.25">
      <c r="A228" s="411" t="s">
        <v>647</v>
      </c>
      <c r="I228" s="414">
        <f>IFERROR(I170/I4,0)</f>
        <v>0</v>
      </c>
      <c r="K228" s="414">
        <f>IFERROR(K170/K4,0)</f>
        <v>0</v>
      </c>
      <c r="M228" s="414">
        <f>IFERROR(M170/M4,0)</f>
        <v>0</v>
      </c>
      <c r="O228" s="414">
        <f>IFERROR(O170/O4,0)</f>
        <v>0</v>
      </c>
      <c r="Q228" s="414">
        <f>IFERROR(Q170/Q4,0)</f>
        <v>0</v>
      </c>
      <c r="S228" s="414">
        <f>IFERROR(S170/S4,0)</f>
        <v>0</v>
      </c>
      <c r="W228" s="414">
        <f>IFERROR(W170/W4,0)</f>
        <v>0</v>
      </c>
      <c r="Y228" s="414">
        <f>IFERROR(Y170/Y4,0)</f>
        <v>0</v>
      </c>
      <c r="AC228" s="414">
        <f>IFERROR(AC170/AC4,0)</f>
        <v>0</v>
      </c>
      <c r="AE228" s="414">
        <f>IFERROR(AE170/AE4,0)</f>
        <v>0</v>
      </c>
      <c r="AG228" s="414">
        <f>IFERROR(AG170/AG4,0)</f>
        <v>0</v>
      </c>
      <c r="AI228" s="414">
        <f>IFERROR(AI170/AI4,0)</f>
        <v>0</v>
      </c>
      <c r="AK228" s="414">
        <f>IFERROR(AK170/AK4,0)</f>
        <v>0</v>
      </c>
      <c r="AM228" s="414">
        <f>IFERROR(AM170/AM4,0)</f>
        <v>0</v>
      </c>
      <c r="AO228" s="414">
        <f>IFERROR(AO170/AO4,0)</f>
        <v>0</v>
      </c>
      <c r="AQ228" s="414">
        <f>IFERROR(AQ170/AQ4,0)</f>
        <v>0</v>
      </c>
      <c r="AS228" s="414">
        <f>IFERROR(AS170/AS4,0)</f>
        <v>0</v>
      </c>
      <c r="AU228" s="414">
        <f>IFERROR(AU170/AU4,0)</f>
        <v>0</v>
      </c>
      <c r="AW228" s="414">
        <f>IFERROR(AW170/AW4,0)</f>
        <v>0</v>
      </c>
      <c r="AY228" s="415">
        <f>IFERROR(AY170/AY4,0)</f>
        <v>0</v>
      </c>
    </row>
    <row r="230" spans="1:53" ht="12.75" customHeight="1" x14ac:dyDescent="0.25">
      <c r="A230" s="416" t="s">
        <v>648</v>
      </c>
    </row>
    <row r="231" spans="1:53" ht="79.5" customHeight="1" x14ac:dyDescent="0.25">
      <c r="A231" s="417" t="s">
        <v>649</v>
      </c>
      <c r="F231" s="164">
        <v>0.5</v>
      </c>
      <c r="G231" s="239" t="s">
        <v>650</v>
      </c>
      <c r="I231" s="72">
        <v>0</v>
      </c>
      <c r="K231" s="72">
        <v>0</v>
      </c>
      <c r="M231" s="72">
        <v>0</v>
      </c>
      <c r="O231" s="72">
        <v>0</v>
      </c>
      <c r="Q231" s="72">
        <v>0</v>
      </c>
      <c r="S231" s="72">
        <v>0</v>
      </c>
      <c r="W231" s="72">
        <v>0</v>
      </c>
      <c r="Y231" s="72">
        <v>0</v>
      </c>
      <c r="AC231" s="72">
        <v>0</v>
      </c>
      <c r="AE231" s="72">
        <v>0</v>
      </c>
      <c r="AG231" s="72">
        <v>0</v>
      </c>
      <c r="AI231" s="72">
        <v>0</v>
      </c>
      <c r="AK231" s="72">
        <v>0</v>
      </c>
      <c r="AM231" s="72">
        <v>0</v>
      </c>
      <c r="AO231" s="72">
        <v>0</v>
      </c>
      <c r="AQ231" s="72">
        <v>0</v>
      </c>
      <c r="AS231" s="72">
        <v>0</v>
      </c>
      <c r="AU231" s="72">
        <v>0</v>
      </c>
      <c r="AW231" s="72">
        <v>0</v>
      </c>
      <c r="AY231" s="72">
        <f>SUM(I176:AW176)</f>
        <v>0</v>
      </c>
    </row>
    <row r="232" spans="1:53" ht="79.5" customHeight="1" x14ac:dyDescent="0.25">
      <c r="A232" s="418" t="s">
        <v>651</v>
      </c>
      <c r="I232" s="419">
        <f>$F$176*I170</f>
        <v>0</v>
      </c>
      <c r="K232" s="419">
        <f>$F$176*K170</f>
        <v>0</v>
      </c>
      <c r="M232" s="419">
        <f>$F$176*M170</f>
        <v>0</v>
      </c>
      <c r="O232" s="419">
        <f>$F$176*O170</f>
        <v>0</v>
      </c>
      <c r="Q232" s="419">
        <f>$F$176*Q170</f>
        <v>0</v>
      </c>
      <c r="S232" s="419">
        <f>$F$176*S170</f>
        <v>0</v>
      </c>
      <c r="W232" s="419">
        <f>$F$176*W170</f>
        <v>0</v>
      </c>
      <c r="Y232" s="419">
        <f>$F$176*Y170</f>
        <v>0</v>
      </c>
      <c r="AC232" s="419">
        <f>$F$176*AC170</f>
        <v>0</v>
      </c>
      <c r="AE232" s="419">
        <f>$F$176*AE170</f>
        <v>0</v>
      </c>
      <c r="AG232" s="419">
        <f>$F$176*AG170</f>
        <v>0</v>
      </c>
      <c r="AI232" s="419">
        <f>$F$176*AI170</f>
        <v>0</v>
      </c>
      <c r="AK232" s="419">
        <f>$F$176*AK170</f>
        <v>0</v>
      </c>
      <c r="AM232" s="419">
        <f>$F$176*AM170</f>
        <v>0</v>
      </c>
      <c r="AO232" s="419">
        <f>$F$176*AO170</f>
        <v>0</v>
      </c>
      <c r="AQ232" s="419">
        <f>$F$176*AQ170</f>
        <v>0</v>
      </c>
      <c r="AS232" s="419">
        <f>$F$176*AS170</f>
        <v>0</v>
      </c>
      <c r="AU232" s="419">
        <f>$F$176*AU170</f>
        <v>0</v>
      </c>
      <c r="AW232" s="419">
        <f>$F$176*AW170</f>
        <v>0</v>
      </c>
      <c r="AY232" s="420">
        <f>$F$176*AY170</f>
        <v>0</v>
      </c>
    </row>
    <row r="233" spans="1:53" ht="90.75" customHeight="1" x14ac:dyDescent="0.25">
      <c r="A233" s="417" t="s">
        <v>652</v>
      </c>
      <c r="G233" s="239" t="s">
        <v>653</v>
      </c>
      <c r="I233" s="72">
        <v>0</v>
      </c>
      <c r="K233" s="72">
        <v>0</v>
      </c>
      <c r="M233" s="72">
        <v>0</v>
      </c>
      <c r="O233" s="72">
        <v>0</v>
      </c>
      <c r="Q233" s="72">
        <v>0</v>
      </c>
      <c r="S233" s="72">
        <v>0</v>
      </c>
      <c r="W233" s="72">
        <v>0</v>
      </c>
      <c r="Y233" s="72">
        <v>0</v>
      </c>
      <c r="AC233" s="72">
        <v>0</v>
      </c>
      <c r="AE233" s="72">
        <v>0</v>
      </c>
      <c r="AG233" s="72">
        <v>0</v>
      </c>
      <c r="AI233" s="72">
        <v>0</v>
      </c>
      <c r="AK233" s="72">
        <v>0</v>
      </c>
      <c r="AM233" s="72">
        <v>0</v>
      </c>
      <c r="AO233" s="72">
        <v>0</v>
      </c>
      <c r="AQ233" s="72">
        <v>0</v>
      </c>
      <c r="AS233" s="72">
        <v>0</v>
      </c>
      <c r="AU233" s="72">
        <v>0</v>
      </c>
      <c r="AW233" s="72">
        <v>0</v>
      </c>
      <c r="AY233" s="72" t="e">
        <f>SUM(I178:AW178)</f>
        <v>#DIV/0!</v>
      </c>
    </row>
    <row r="234" spans="1:53" ht="113.25" customHeight="1" x14ac:dyDescent="0.25">
      <c r="A234" s="418" t="s">
        <v>654</v>
      </c>
      <c r="I234" s="421">
        <f>IFERROR(I177/I178,0)</f>
        <v>0</v>
      </c>
      <c r="K234" s="421">
        <f>IFERROR(K177/K178,0)</f>
        <v>0</v>
      </c>
      <c r="M234" s="421">
        <f>IFERROR(M177/M178,0)</f>
        <v>0</v>
      </c>
      <c r="O234" s="421">
        <f>IFERROR(O177/O178,0)</f>
        <v>0</v>
      </c>
      <c r="Q234" s="421">
        <f>IFERROR(Q177/Q178,0)</f>
        <v>0</v>
      </c>
      <c r="S234" s="421">
        <f>IFERROR(S177/S178,0)</f>
        <v>0</v>
      </c>
      <c r="W234" s="421">
        <f>IFERROR(W177/W178,0)</f>
        <v>0</v>
      </c>
      <c r="Y234" s="421">
        <f>IFERROR(Y177/Y178,0)</f>
        <v>0</v>
      </c>
      <c r="AC234" s="421">
        <f>IFERROR(AC177/AC178,0)</f>
        <v>0</v>
      </c>
      <c r="AE234" s="421">
        <f>IFERROR(AE177/AE178,0)</f>
        <v>0</v>
      </c>
      <c r="AG234" s="421">
        <f>IFERROR(AG177/AG178,0)</f>
        <v>0</v>
      </c>
      <c r="AI234" s="421">
        <f>IFERROR(AI177/AI178,0)</f>
        <v>0</v>
      </c>
      <c r="AK234" s="421">
        <f>IFERROR(AK177/AK178,0)</f>
        <v>0</v>
      </c>
      <c r="AM234" s="421">
        <f>IFERROR(AM177/AM178,0)</f>
        <v>0</v>
      </c>
      <c r="AO234" s="421">
        <f>IFERROR(AO177/AO178,0)</f>
        <v>0</v>
      </c>
      <c r="AQ234" s="421">
        <f>IFERROR(AQ177/AQ178,0)</f>
        <v>0</v>
      </c>
      <c r="AS234" s="421">
        <f>IFERROR(AS177/AS178,0)</f>
        <v>0</v>
      </c>
      <c r="AU234" s="421">
        <f>IFERROR(AU177/AU178,0)</f>
        <v>0</v>
      </c>
      <c r="AW234" s="421">
        <f>IFERROR(AW177/AW178,0)</f>
        <v>0</v>
      </c>
      <c r="AY234" s="422" t="str">
        <f ca="1">IFERROR(AY177/AY178,0)</f>
        <v/>
      </c>
    </row>
    <row r="235" spans="1:53" ht="90.75" customHeight="1" x14ac:dyDescent="0.25">
      <c r="A235" s="418" t="s">
        <v>655</v>
      </c>
      <c r="I235" s="421" t="str">
        <f ca="1">IFERROR(I177/I73,0)</f>
        <v/>
      </c>
      <c r="K235" s="421" t="str">
        <f ca="1">IFERROR(K177/K73,0)</f>
        <v/>
      </c>
      <c r="M235" s="421" t="str">
        <f ca="1">IFERROR(M177/M73,0)</f>
        <v/>
      </c>
      <c r="O235" s="421" t="str">
        <f ca="1">IFERROR(O177/O73,0)</f>
        <v/>
      </c>
      <c r="Q235" s="421" t="str">
        <f ca="1">IFERROR(Q177/Q73,0)</f>
        <v/>
      </c>
      <c r="S235" s="421" t="str">
        <f ca="1">IFERROR(S177/S73,0)</f>
        <v/>
      </c>
      <c r="W235" s="421" t="str">
        <f ca="1">IFERROR(W177/W73,0)</f>
        <v/>
      </c>
      <c r="Y235" s="421" t="str">
        <f ca="1">IFERROR(Y177/Y73,0)</f>
        <v/>
      </c>
      <c r="AC235" s="421" t="str">
        <f ca="1">IFERROR(AC177/AC73,0)</f>
        <v/>
      </c>
      <c r="AE235" s="421" t="str">
        <f ca="1">IFERROR(AE177/AE73,0)</f>
        <v/>
      </c>
      <c r="AG235" s="421" t="str">
        <f ca="1">IFERROR(AG177/AG73,0)</f>
        <v/>
      </c>
      <c r="AI235" s="421" t="str">
        <f ca="1">IFERROR(AI177/AI73,0)</f>
        <v/>
      </c>
      <c r="AK235" s="421" t="str">
        <f ca="1">IFERROR(AK177/AK73,0)</f>
        <v/>
      </c>
      <c r="AM235" s="421" t="str">
        <f ca="1">IFERROR(AM177/AM73,0)</f>
        <v/>
      </c>
      <c r="AO235" s="421" t="str">
        <f ca="1">IFERROR(AO177/AO73,0)</f>
        <v/>
      </c>
      <c r="AQ235" s="421" t="str">
        <f ca="1">IFERROR(AQ177/AQ73,0)</f>
        <v/>
      </c>
      <c r="AS235" s="421" t="str">
        <f ca="1">IFERROR(AS177/AS73,0)</f>
        <v/>
      </c>
      <c r="AU235" s="421" t="str">
        <f ca="1">IFERROR(AU177/AU73,0)</f>
        <v/>
      </c>
      <c r="AW235" s="421" t="str">
        <f ca="1">IFERROR(AW177/AW73,0)</f>
        <v/>
      </c>
      <c r="AY235" s="422">
        <f>IFERROR(AY177/AY73,0)</f>
        <v>0</v>
      </c>
    </row>
    <row r="238" spans="1:53" ht="12.75" customHeight="1" x14ac:dyDescent="0.3">
      <c r="A238" s="423"/>
      <c r="B238" s="424"/>
      <c r="D238" s="360"/>
      <c r="E238" s="360"/>
      <c r="F238" s="360"/>
      <c r="G238" s="425"/>
      <c r="H238" s="425"/>
      <c r="I238" s="426"/>
      <c r="J238" s="4"/>
      <c r="K238" s="254"/>
      <c r="L238" s="254"/>
      <c r="M238" s="254"/>
      <c r="O238" s="254"/>
      <c r="Q238" s="254"/>
      <c r="R238" s="254"/>
      <c r="S238" s="254"/>
      <c r="U238" s="254"/>
      <c r="W238" s="254"/>
      <c r="Y238" s="254"/>
      <c r="Z238" s="254"/>
      <c r="AA238" s="8"/>
      <c r="AC238" s="254"/>
      <c r="AE238" s="254"/>
      <c r="AF238" s="427"/>
      <c r="AG238" s="254"/>
      <c r="AI238" s="254"/>
      <c r="AK238" s="254"/>
      <c r="AM238" s="254"/>
      <c r="AO238" s="254"/>
      <c r="AQ238" s="254"/>
      <c r="AS238" s="254"/>
      <c r="AT238" s="254"/>
      <c r="AU238" s="254"/>
      <c r="AW238" s="254"/>
      <c r="AY238" s="254"/>
      <c r="AZ238" s="254"/>
      <c r="BA238" s="256"/>
    </row>
    <row r="239" spans="1:53" ht="12.75" customHeight="1" x14ac:dyDescent="0.3">
      <c r="B239" s="423"/>
      <c r="D239" s="360"/>
      <c r="E239" s="360"/>
      <c r="F239" s="360"/>
      <c r="G239" s="425"/>
      <c r="H239" s="425"/>
      <c r="I239" s="428"/>
      <c r="J239" s="4"/>
      <c r="K239" s="254"/>
      <c r="L239" s="254"/>
      <c r="M239" s="254"/>
      <c r="O239" s="254"/>
      <c r="Q239" s="254"/>
      <c r="R239" s="254"/>
      <c r="S239" s="254"/>
      <c r="U239" s="254"/>
      <c r="W239" s="254"/>
      <c r="Y239" s="254"/>
      <c r="Z239" s="254"/>
      <c r="AA239" s="8"/>
      <c r="AC239" s="254"/>
      <c r="AE239" s="254"/>
      <c r="AF239" s="427"/>
      <c r="AG239" s="254"/>
      <c r="AI239" s="254"/>
      <c r="AK239" s="254"/>
      <c r="AM239" s="254"/>
      <c r="AO239" s="254"/>
      <c r="AQ239" s="254"/>
      <c r="AS239" s="254"/>
      <c r="AT239" s="254"/>
      <c r="AU239" s="254"/>
      <c r="AW239" s="254"/>
      <c r="AY239" s="254"/>
      <c r="AZ239" s="254"/>
      <c r="BA239" s="256"/>
    </row>
    <row r="240" spans="1:53" ht="12.75" customHeight="1" x14ac:dyDescent="0.25">
      <c r="I240" s="429"/>
      <c r="J240" s="4"/>
      <c r="AA240" s="8"/>
    </row>
    <row r="241" spans="7:27" ht="12.75" customHeight="1" x14ac:dyDescent="0.25">
      <c r="J241" s="4"/>
      <c r="AA241" s="8"/>
    </row>
    <row r="242" spans="7:27" ht="12.75" customHeight="1" x14ac:dyDescent="0.25">
      <c r="J242" s="4"/>
      <c r="AA242" s="8"/>
    </row>
    <row r="243" spans="7:27" ht="12.75" customHeight="1" x14ac:dyDescent="0.25">
      <c r="J243" s="4"/>
      <c r="AA243" s="8"/>
    </row>
    <row r="244" spans="7:27" ht="12.75" customHeight="1" x14ac:dyDescent="0.25">
      <c r="I244" s="429"/>
      <c r="J244" s="4"/>
      <c r="AA244" s="8"/>
    </row>
    <row r="245" spans="7:27" ht="12.75" customHeight="1" x14ac:dyDescent="0.25">
      <c r="I245" s="429"/>
      <c r="J245" s="4"/>
      <c r="AA245" s="8"/>
    </row>
    <row r="246" spans="7:27" ht="12.75" customHeight="1" x14ac:dyDescent="0.25">
      <c r="G246" s="65"/>
      <c r="I246" s="429"/>
      <c r="J246" s="4"/>
      <c r="AA246" s="8"/>
    </row>
    <row r="247" spans="7:27" ht="12.75" customHeight="1" x14ac:dyDescent="0.25">
      <c r="I247" s="429"/>
      <c r="J247" s="4"/>
      <c r="AA247" s="8"/>
    </row>
    <row r="248" spans="7:27" ht="12.75" customHeight="1" x14ac:dyDescent="0.25">
      <c r="I248" s="429"/>
      <c r="J248" s="4"/>
    </row>
    <row r="253" spans="7:27" ht="12.75" customHeight="1" x14ac:dyDescent="0.25">
      <c r="I253" s="429"/>
      <c r="J253" s="4"/>
    </row>
    <row r="254" spans="7:27" ht="12.75" customHeight="1" x14ac:dyDescent="0.25">
      <c r="I254" s="429"/>
      <c r="J254" s="4"/>
    </row>
    <row r="255" spans="7:27" ht="12.75" customHeight="1" x14ac:dyDescent="0.25">
      <c r="I255" s="429"/>
      <c r="J255" s="4"/>
    </row>
    <row r="256" spans="7:27" ht="12.75" customHeight="1" x14ac:dyDescent="0.25">
      <c r="I256" s="429"/>
      <c r="J256" s="4"/>
    </row>
    <row r="257" spans="9:10" ht="12.75" customHeight="1" x14ac:dyDescent="0.25">
      <c r="J257" s="4"/>
    </row>
    <row r="258" spans="9:10" ht="12.75" customHeight="1" x14ac:dyDescent="0.25">
      <c r="I258" s="429"/>
      <c r="J258" s="4"/>
    </row>
    <row r="259" spans="9:10" ht="12.75" customHeight="1" x14ac:dyDescent="0.25">
      <c r="I259" s="429"/>
      <c r="J259" s="4"/>
    </row>
    <row r="260" spans="9:10" ht="12.75" customHeight="1" x14ac:dyDescent="0.25">
      <c r="I260" s="232"/>
      <c r="J260" s="232"/>
    </row>
    <row r="261" spans="9:10" ht="12.75" customHeight="1" x14ac:dyDescent="0.25">
      <c r="I261" s="232"/>
      <c r="J261" s="232"/>
    </row>
  </sheetData>
  <mergeCells count="76">
    <mergeCell ref="A71:H72"/>
    <mergeCell ref="A160:F161"/>
    <mergeCell ref="A150:F151"/>
    <mergeCell ref="K157:K158"/>
    <mergeCell ref="I132:I133"/>
    <mergeCell ref="K132:K133"/>
    <mergeCell ref="A134:H134"/>
    <mergeCell ref="I147:I148"/>
    <mergeCell ref="B87:C89"/>
    <mergeCell ref="A132:F133"/>
    <mergeCell ref="A157:F158"/>
    <mergeCell ref="Q157:Q158"/>
    <mergeCell ref="O132:O133"/>
    <mergeCell ref="AK157:AK158"/>
    <mergeCell ref="A175:H175"/>
    <mergeCell ref="Q132:Q133"/>
    <mergeCell ref="S132:S133"/>
    <mergeCell ref="U157:U158"/>
    <mergeCell ref="Q147:Q148"/>
    <mergeCell ref="I157:I158"/>
    <mergeCell ref="BA147:BA148"/>
    <mergeCell ref="W157:W158"/>
    <mergeCell ref="AS147:AS148"/>
    <mergeCell ref="K147:K148"/>
    <mergeCell ref="Y157:Y158"/>
    <mergeCell ref="AE157:AE158"/>
    <mergeCell ref="M147:M148"/>
    <mergeCell ref="AY147:AY148"/>
    <mergeCell ref="O147:O148"/>
    <mergeCell ref="AU157:AU158"/>
    <mergeCell ref="AW157:AW158"/>
    <mergeCell ref="AI157:AI158"/>
    <mergeCell ref="W147:W148"/>
    <mergeCell ref="M157:M158"/>
    <mergeCell ref="O157:O158"/>
    <mergeCell ref="S157:S158"/>
    <mergeCell ref="AC147:AC148"/>
    <mergeCell ref="BA157:BA158"/>
    <mergeCell ref="AI147:AI148"/>
    <mergeCell ref="AU147:AU148"/>
    <mergeCell ref="AQ147:AQ148"/>
    <mergeCell ref="AS157:AS158"/>
    <mergeCell ref="AY157:AY158"/>
    <mergeCell ref="AG147:AG148"/>
    <mergeCell ref="AM157:AM158"/>
    <mergeCell ref="U2:U3"/>
    <mergeCell ref="AS132:AS133"/>
    <mergeCell ref="AY132:AY133"/>
    <mergeCell ref="AQ157:AQ158"/>
    <mergeCell ref="AW4:AW6"/>
    <mergeCell ref="AU132:AU133"/>
    <mergeCell ref="AW132:AW133"/>
    <mergeCell ref="AM132:AM133"/>
    <mergeCell ref="AE132:AE133"/>
    <mergeCell ref="AO132:AO133"/>
    <mergeCell ref="AQ132:AQ133"/>
    <mergeCell ref="AC157:AC158"/>
    <mergeCell ref="AW147:AW148"/>
    <mergeCell ref="U147:U148"/>
    <mergeCell ref="AG157:AG158"/>
    <mergeCell ref="AO157:AO158"/>
    <mergeCell ref="AO147:AO148"/>
    <mergeCell ref="AK132:AK133"/>
    <mergeCell ref="A87:A89"/>
    <mergeCell ref="AE147:AE148"/>
    <mergeCell ref="AC132:AC133"/>
    <mergeCell ref="W132:W133"/>
    <mergeCell ref="AM147:AM148"/>
    <mergeCell ref="Y147:Y148"/>
    <mergeCell ref="AK147:AK148"/>
    <mergeCell ref="S147:S148"/>
    <mergeCell ref="A147:G148"/>
    <mergeCell ref="M132:M133"/>
    <mergeCell ref="Y132:Y133"/>
    <mergeCell ref="AI132:AI133"/>
    <mergeCell ref="AG132:AG133"/>
  </mergeCells>
  <pageMargins left="0.23611111111111099" right="0.23611111111111099" top="0.23611111111111099" bottom="0.51180555555555596" header="0.511811023622047" footer="0.511811023622047"/>
  <pageSetup paperSize="8" scale="44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843C0C"/>
  </sheetPr>
  <dimension ref="A1:BK9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D1"/>
    </sheetView>
  </sheetViews>
  <sheetFormatPr defaultColWidth="8.6640625" defaultRowHeight="13.2" x14ac:dyDescent="0.25"/>
  <cols>
    <col min="1" max="1" width="42" customWidth="1"/>
    <col min="2" max="2" width="18" customWidth="1"/>
    <col min="3" max="62" width="9" customWidth="1"/>
    <col min="63" max="63" width="14" customWidth="1"/>
  </cols>
  <sheetData>
    <row r="1" spans="1:63" ht="27.75" customHeight="1" x14ac:dyDescent="0.25">
      <c r="A1" s="659" t="s">
        <v>656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7"/>
      <c r="AA1" s="627"/>
      <c r="AB1" s="627"/>
      <c r="AC1" s="627"/>
      <c r="AD1" s="627"/>
    </row>
    <row r="2" spans="1:63" ht="15" customHeight="1" x14ac:dyDescent="0.25">
      <c r="A2" s="664" t="s">
        <v>657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7"/>
      <c r="AA2" s="627"/>
      <c r="AB2" s="627"/>
      <c r="AC2" s="627"/>
      <c r="AD2" s="627"/>
    </row>
    <row r="3" spans="1:63" ht="15.75" customHeight="1" x14ac:dyDescent="0.25">
      <c r="A3" s="430"/>
      <c r="B3" s="430"/>
      <c r="C3" s="665" t="s">
        <v>658</v>
      </c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65" t="s">
        <v>659</v>
      </c>
      <c r="P3" s="627"/>
      <c r="Q3" s="627"/>
      <c r="R3" s="627"/>
      <c r="S3" s="627"/>
      <c r="T3" s="627"/>
      <c r="U3" s="627"/>
      <c r="V3" s="627"/>
      <c r="W3" s="627"/>
      <c r="X3" s="627"/>
      <c r="Y3" s="627"/>
      <c r="Z3" s="627"/>
      <c r="AA3" s="665" t="s">
        <v>660</v>
      </c>
      <c r="AB3" s="627"/>
      <c r="AC3" s="627"/>
      <c r="AD3" s="627"/>
      <c r="AE3" s="627"/>
      <c r="AF3" s="627"/>
      <c r="AG3" s="627"/>
      <c r="AH3" s="627"/>
      <c r="AI3" s="627"/>
      <c r="AJ3" s="627"/>
      <c r="AK3" s="627"/>
      <c r="AL3" s="627"/>
      <c r="AM3" s="665" t="s">
        <v>661</v>
      </c>
      <c r="AN3" s="627"/>
      <c r="AO3" s="627"/>
      <c r="AP3" s="627"/>
      <c r="AQ3" s="627"/>
      <c r="AR3" s="627"/>
      <c r="AS3" s="627"/>
      <c r="AT3" s="627"/>
      <c r="AU3" s="627"/>
      <c r="AV3" s="627"/>
      <c r="AW3" s="627"/>
      <c r="AX3" s="627"/>
      <c r="AY3" s="665" t="s">
        <v>662</v>
      </c>
      <c r="AZ3" s="627"/>
      <c r="BA3" s="627"/>
      <c r="BB3" s="627"/>
      <c r="BC3" s="627"/>
      <c r="BD3" s="627"/>
      <c r="BE3" s="627"/>
      <c r="BF3" s="627"/>
      <c r="BG3" s="627"/>
      <c r="BH3" s="627"/>
      <c r="BI3" s="627"/>
      <c r="BJ3" s="627"/>
    </row>
    <row r="4" spans="1:63" ht="27.75" customHeight="1" x14ac:dyDescent="0.25">
      <c r="A4" s="431" t="s">
        <v>663</v>
      </c>
      <c r="B4" s="432" t="s">
        <v>664</v>
      </c>
      <c r="C4" s="433" t="s">
        <v>665</v>
      </c>
      <c r="D4" s="433" t="s">
        <v>666</v>
      </c>
      <c r="E4" s="433" t="s">
        <v>667</v>
      </c>
      <c r="F4" s="433" t="s">
        <v>668</v>
      </c>
      <c r="G4" s="433" t="s">
        <v>669</v>
      </c>
      <c r="H4" s="433" t="s">
        <v>670</v>
      </c>
      <c r="I4" s="433" t="s">
        <v>671</v>
      </c>
      <c r="J4" s="433" t="s">
        <v>672</v>
      </c>
      <c r="K4" s="433" t="s">
        <v>673</v>
      </c>
      <c r="L4" s="433" t="s">
        <v>674</v>
      </c>
      <c r="M4" s="433" t="s">
        <v>675</v>
      </c>
      <c r="N4" s="433" t="s">
        <v>676</v>
      </c>
      <c r="O4" s="434" t="s">
        <v>677</v>
      </c>
      <c r="P4" s="434" t="s">
        <v>678</v>
      </c>
      <c r="Q4" s="434" t="s">
        <v>679</v>
      </c>
      <c r="R4" s="434" t="s">
        <v>680</v>
      </c>
      <c r="S4" s="434" t="s">
        <v>681</v>
      </c>
      <c r="T4" s="434" t="s">
        <v>682</v>
      </c>
      <c r="U4" s="434" t="s">
        <v>683</v>
      </c>
      <c r="V4" s="434" t="s">
        <v>684</v>
      </c>
      <c r="W4" s="434" t="s">
        <v>685</v>
      </c>
      <c r="X4" s="434" t="s">
        <v>686</v>
      </c>
      <c r="Y4" s="434" t="s">
        <v>687</v>
      </c>
      <c r="Z4" s="434" t="s">
        <v>688</v>
      </c>
      <c r="AA4" s="433" t="s">
        <v>689</v>
      </c>
      <c r="AB4" s="433" t="s">
        <v>690</v>
      </c>
      <c r="AC4" s="433" t="s">
        <v>691</v>
      </c>
      <c r="AD4" s="433" t="s">
        <v>692</v>
      </c>
      <c r="AE4" s="433" t="s">
        <v>693</v>
      </c>
      <c r="AF4" s="433" t="s">
        <v>694</v>
      </c>
      <c r="AG4" s="433" t="s">
        <v>695</v>
      </c>
      <c r="AH4" s="433" t="s">
        <v>696</v>
      </c>
      <c r="AI4" s="433" t="s">
        <v>697</v>
      </c>
      <c r="AJ4" s="433" t="s">
        <v>698</v>
      </c>
      <c r="AK4" s="433" t="s">
        <v>699</v>
      </c>
      <c r="AL4" s="433" t="s">
        <v>700</v>
      </c>
      <c r="AM4" s="434" t="s">
        <v>701</v>
      </c>
      <c r="AN4" s="434" t="s">
        <v>702</v>
      </c>
      <c r="AO4" s="434" t="s">
        <v>703</v>
      </c>
      <c r="AP4" s="434" t="s">
        <v>704</v>
      </c>
      <c r="AQ4" s="434" t="s">
        <v>705</v>
      </c>
      <c r="AR4" s="434" t="s">
        <v>706</v>
      </c>
      <c r="AS4" s="434" t="s">
        <v>707</v>
      </c>
      <c r="AT4" s="434" t="s">
        <v>708</v>
      </c>
      <c r="AU4" s="434" t="s">
        <v>709</v>
      </c>
      <c r="AV4" s="434" t="s">
        <v>710</v>
      </c>
      <c r="AW4" s="434" t="s">
        <v>711</v>
      </c>
      <c r="AX4" s="434" t="s">
        <v>712</v>
      </c>
      <c r="AY4" s="433" t="s">
        <v>713</v>
      </c>
      <c r="AZ4" s="433" t="s">
        <v>714</v>
      </c>
      <c r="BA4" s="433" t="s">
        <v>715</v>
      </c>
      <c r="BB4" s="433" t="s">
        <v>716</v>
      </c>
      <c r="BC4" s="433" t="s">
        <v>717</v>
      </c>
      <c r="BD4" s="433" t="s">
        <v>718</v>
      </c>
      <c r="BE4" s="433" t="s">
        <v>719</v>
      </c>
      <c r="BF4" s="433" t="s">
        <v>720</v>
      </c>
      <c r="BG4" s="433" t="s">
        <v>721</v>
      </c>
      <c r="BH4" s="433" t="s">
        <v>722</v>
      </c>
      <c r="BI4" s="433" t="s">
        <v>723</v>
      </c>
      <c r="BJ4" s="433" t="s">
        <v>724</v>
      </c>
      <c r="BK4" s="435" t="s">
        <v>279</v>
      </c>
    </row>
    <row r="5" spans="1:63" ht="13.5" customHeight="1" x14ac:dyDescent="0.25">
      <c r="A5" s="239" t="s">
        <v>725</v>
      </c>
      <c r="C5" s="436">
        <v>46023</v>
      </c>
      <c r="D5" s="436">
        <v>46054</v>
      </c>
      <c r="E5" s="436">
        <v>46082</v>
      </c>
      <c r="F5" s="436">
        <v>46113</v>
      </c>
      <c r="G5" s="436">
        <v>46143</v>
      </c>
      <c r="H5" s="436">
        <v>46174</v>
      </c>
      <c r="I5" s="436">
        <v>46204</v>
      </c>
      <c r="J5" s="436">
        <v>46235</v>
      </c>
      <c r="K5" s="436">
        <v>46266</v>
      </c>
      <c r="L5" s="436">
        <v>46296</v>
      </c>
      <c r="M5" s="436">
        <v>46327</v>
      </c>
      <c r="N5" s="436">
        <v>46357</v>
      </c>
      <c r="O5" s="436">
        <v>46388</v>
      </c>
      <c r="P5" s="436">
        <v>46419</v>
      </c>
      <c r="Q5" s="436">
        <v>46447</v>
      </c>
      <c r="R5" s="436">
        <v>46478</v>
      </c>
      <c r="S5" s="436">
        <v>46508</v>
      </c>
      <c r="T5" s="436">
        <v>46539</v>
      </c>
      <c r="U5" s="436">
        <v>46569</v>
      </c>
      <c r="V5" s="436">
        <v>46600</v>
      </c>
      <c r="W5" s="436">
        <v>46631</v>
      </c>
      <c r="X5" s="436">
        <v>46661</v>
      </c>
      <c r="Y5" s="436">
        <v>46692</v>
      </c>
      <c r="Z5" s="436">
        <v>46722</v>
      </c>
      <c r="AA5" s="436">
        <v>46753</v>
      </c>
      <c r="AB5" s="436">
        <v>46784</v>
      </c>
      <c r="AC5" s="436">
        <v>46813</v>
      </c>
      <c r="AD5" s="436">
        <v>46844</v>
      </c>
      <c r="AE5" s="436">
        <v>46874</v>
      </c>
      <c r="AF5" s="436">
        <v>46905</v>
      </c>
      <c r="AG5" s="436">
        <v>46935</v>
      </c>
      <c r="AH5" s="436">
        <v>46966</v>
      </c>
      <c r="AI5" s="436">
        <v>46997</v>
      </c>
      <c r="AJ5" s="436">
        <v>47027</v>
      </c>
      <c r="AK5" s="436">
        <v>47058</v>
      </c>
      <c r="AL5" s="436">
        <v>47088</v>
      </c>
      <c r="AM5" s="436">
        <v>47119</v>
      </c>
      <c r="AN5" s="436">
        <v>47150</v>
      </c>
      <c r="AO5" s="436">
        <v>47178</v>
      </c>
      <c r="AP5" s="436">
        <v>47209</v>
      </c>
      <c r="AQ5" s="436">
        <v>47239</v>
      </c>
      <c r="AR5" s="436">
        <v>47270</v>
      </c>
      <c r="AS5" s="436">
        <v>47300</v>
      </c>
      <c r="AT5" s="436">
        <v>47331</v>
      </c>
      <c r="AU5" s="436">
        <v>47362</v>
      </c>
      <c r="AV5" s="436">
        <v>47392</v>
      </c>
      <c r="AW5" s="436">
        <v>47423</v>
      </c>
      <c r="AX5" s="436">
        <v>47453</v>
      </c>
      <c r="AY5" s="436">
        <v>47484</v>
      </c>
      <c r="AZ5" s="436">
        <v>47515</v>
      </c>
      <c r="BA5" s="436">
        <v>47543</v>
      </c>
      <c r="BB5" s="436">
        <v>47574</v>
      </c>
      <c r="BC5" s="436">
        <v>47604</v>
      </c>
      <c r="BD5" s="436">
        <v>47635</v>
      </c>
      <c r="BE5" s="436">
        <v>47665</v>
      </c>
      <c r="BF5" s="436">
        <v>47696</v>
      </c>
      <c r="BG5" s="436">
        <v>47727</v>
      </c>
      <c r="BH5" s="436">
        <v>47757</v>
      </c>
      <c r="BI5" s="436">
        <v>47788</v>
      </c>
      <c r="BJ5" s="436">
        <v>47818</v>
      </c>
    </row>
    <row r="7" spans="1:63" ht="15" customHeight="1" x14ac:dyDescent="0.25">
      <c r="A7" s="663" t="s">
        <v>726</v>
      </c>
      <c r="B7" s="627"/>
      <c r="C7" s="627"/>
      <c r="D7" s="627"/>
      <c r="E7" s="627"/>
      <c r="F7" s="627"/>
      <c r="G7" s="627"/>
      <c r="H7" s="627"/>
      <c r="I7" s="627"/>
      <c r="J7" s="627"/>
      <c r="K7" s="627"/>
      <c r="L7" s="627"/>
      <c r="M7" s="627"/>
      <c r="N7" s="627"/>
      <c r="O7" s="627"/>
      <c r="P7" s="627"/>
      <c r="Q7" s="627"/>
      <c r="R7" s="627"/>
      <c r="S7" s="627"/>
      <c r="T7" s="627"/>
      <c r="U7" s="627"/>
      <c r="V7" s="627"/>
      <c r="W7" s="627"/>
      <c r="X7" s="627"/>
      <c r="Y7" s="627"/>
      <c r="Z7" s="627"/>
      <c r="AA7" s="627"/>
      <c r="AB7" s="627"/>
      <c r="AC7" s="627"/>
      <c r="AD7" s="627"/>
      <c r="AE7" s="627"/>
      <c r="AF7" s="627"/>
      <c r="AG7" s="627"/>
      <c r="AH7" s="627"/>
      <c r="AI7" s="627"/>
      <c r="AJ7" s="627"/>
      <c r="AK7" s="627"/>
      <c r="AL7" s="627"/>
      <c r="AM7" s="627"/>
      <c r="AN7" s="627"/>
      <c r="AO7" s="627"/>
      <c r="AP7" s="627"/>
      <c r="AQ7" s="627"/>
      <c r="AR7" s="627"/>
      <c r="AS7" s="627"/>
      <c r="AT7" s="627"/>
      <c r="AU7" s="627"/>
      <c r="AV7" s="627"/>
      <c r="AW7" s="627"/>
      <c r="AX7" s="627"/>
      <c r="AY7" s="627"/>
      <c r="AZ7" s="627"/>
      <c r="BA7" s="627"/>
      <c r="BB7" s="627"/>
      <c r="BC7" s="627"/>
      <c r="BD7" s="627"/>
      <c r="BE7" s="627"/>
      <c r="BF7" s="627"/>
      <c r="BG7" s="627"/>
      <c r="BH7" s="627"/>
      <c r="BI7" s="627"/>
      <c r="BJ7" s="627"/>
      <c r="BK7" s="627"/>
    </row>
    <row r="8" spans="1:63" ht="15" customHeight="1" x14ac:dyDescent="0.25">
      <c r="A8" s="437" t="s">
        <v>727</v>
      </c>
      <c r="B8" s="438" t="s">
        <v>728</v>
      </c>
    </row>
    <row r="9" spans="1:63" ht="15" customHeight="1" x14ac:dyDescent="0.25">
      <c r="A9" s="437" t="s">
        <v>729</v>
      </c>
      <c r="B9" s="439">
        <v>5</v>
      </c>
    </row>
    <row r="10" spans="1:63" ht="15" customHeight="1" x14ac:dyDescent="0.25">
      <c r="A10" s="437" t="s">
        <v>730</v>
      </c>
      <c r="B10" s="438" t="s">
        <v>731</v>
      </c>
    </row>
    <row r="11" spans="1:63" ht="15" customHeight="1" x14ac:dyDescent="0.25">
      <c r="A11" s="437" t="s">
        <v>732</v>
      </c>
      <c r="B11" s="440" t="str">
        <f ca="1">'Feasibility Study'!AY65/1000</f>
        <v/>
      </c>
    </row>
    <row r="12" spans="1:63" ht="15" customHeight="1" x14ac:dyDescent="0.25">
      <c r="A12" s="437" t="s">
        <v>733</v>
      </c>
      <c r="B12" s="440">
        <f>'Feasibility Study'!AY73/1000</f>
        <v>0</v>
      </c>
    </row>
    <row r="13" spans="1:63" ht="15" customHeight="1" x14ac:dyDescent="0.25">
      <c r="A13" s="437" t="s">
        <v>734</v>
      </c>
      <c r="B13" s="440">
        <f>'Feasibility Study'!AY157/1000</f>
        <v>0</v>
      </c>
    </row>
    <row r="14" spans="1:63" ht="15" customHeight="1" x14ac:dyDescent="0.25">
      <c r="A14" s="437" t="s">
        <v>735</v>
      </c>
      <c r="B14" s="440">
        <f>'Feasibility Study'!AY170/1000</f>
        <v>0</v>
      </c>
    </row>
    <row r="15" spans="1:63" ht="15" customHeight="1" x14ac:dyDescent="0.25">
      <c r="A15" s="437" t="s">
        <v>736</v>
      </c>
      <c r="B15" s="440">
        <f>'Feasibility Study'!AY82/1000</f>
        <v>0</v>
      </c>
    </row>
    <row r="16" spans="1:63" ht="15" customHeight="1" x14ac:dyDescent="0.25">
      <c r="A16" s="437" t="s">
        <v>737</v>
      </c>
      <c r="B16" s="440" t="e">
        <f>'Feasibility Study'!AY87/1000</f>
        <v>#DIV/0!</v>
      </c>
    </row>
    <row r="17" spans="1:63" ht="15" customHeight="1" x14ac:dyDescent="0.25">
      <c r="A17" s="437" t="s">
        <v>738</v>
      </c>
      <c r="B17" s="441">
        <v>4.5499999999999999E-2</v>
      </c>
    </row>
    <row r="18" spans="1:63" ht="15" customHeight="1" x14ac:dyDescent="0.25">
      <c r="A18" s="437" t="s">
        <v>739</v>
      </c>
      <c r="B18" s="442">
        <v>0.16</v>
      </c>
    </row>
    <row r="20" spans="1:63" ht="15" customHeight="1" x14ac:dyDescent="0.25">
      <c r="A20" s="663" t="s">
        <v>740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27"/>
      <c r="AB20" s="627"/>
      <c r="AC20" s="627"/>
      <c r="AD20" s="627"/>
      <c r="AE20" s="627"/>
      <c r="AF20" s="627"/>
      <c r="AG20" s="627"/>
      <c r="AH20" s="627"/>
      <c r="AI20" s="627"/>
      <c r="AJ20" s="627"/>
      <c r="AK20" s="627"/>
      <c r="AL20" s="627"/>
      <c r="AM20" s="627"/>
      <c r="AN20" s="627"/>
      <c r="AO20" s="627"/>
      <c r="AP20" s="627"/>
      <c r="AQ20" s="627"/>
      <c r="AR20" s="627"/>
      <c r="AS20" s="627"/>
      <c r="AT20" s="627"/>
      <c r="AU20" s="627"/>
      <c r="AV20" s="627"/>
      <c r="AW20" s="627"/>
      <c r="AX20" s="627"/>
      <c r="AY20" s="627"/>
      <c r="AZ20" s="627"/>
      <c r="BA20" s="627"/>
      <c r="BB20" s="627"/>
      <c r="BC20" s="627"/>
      <c r="BD20" s="627"/>
      <c r="BE20" s="627"/>
      <c r="BF20" s="627"/>
      <c r="BG20" s="627"/>
      <c r="BH20" s="627"/>
      <c r="BI20" s="627"/>
      <c r="BJ20" s="627"/>
      <c r="BK20" s="627"/>
    </row>
    <row r="21" spans="1:63" ht="15" customHeight="1" x14ac:dyDescent="0.25">
      <c r="A21" s="661" t="s">
        <v>741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27"/>
      <c r="AB21" s="627"/>
      <c r="AC21" s="627"/>
      <c r="AD21" s="627"/>
    </row>
    <row r="22" spans="1:63" ht="15" customHeight="1" x14ac:dyDescent="0.25">
      <c r="A22" s="443" t="s">
        <v>742</v>
      </c>
      <c r="B22" s="443" t="s">
        <v>743</v>
      </c>
      <c r="C22" s="444" t="s">
        <v>744</v>
      </c>
      <c r="D22" s="444" t="s">
        <v>745</v>
      </c>
      <c r="E22" s="444" t="s">
        <v>746</v>
      </c>
      <c r="F22" s="444" t="s">
        <v>747</v>
      </c>
      <c r="G22" s="444" t="s">
        <v>748</v>
      </c>
      <c r="H22" s="444" t="s">
        <v>749</v>
      </c>
      <c r="I22" s="444" t="s">
        <v>750</v>
      </c>
      <c r="J22" s="444" t="s">
        <v>751</v>
      </c>
      <c r="K22" s="444" t="s">
        <v>752</v>
      </c>
      <c r="L22" s="444" t="s">
        <v>753</v>
      </c>
      <c r="M22" s="444" t="s">
        <v>754</v>
      </c>
      <c r="N22" s="444" t="s">
        <v>755</v>
      </c>
      <c r="O22" s="444" t="s">
        <v>744</v>
      </c>
      <c r="P22" s="444" t="s">
        <v>745</v>
      </c>
      <c r="Q22" s="444" t="s">
        <v>746</v>
      </c>
      <c r="R22" s="444" t="s">
        <v>747</v>
      </c>
      <c r="S22" s="444" t="s">
        <v>748</v>
      </c>
      <c r="T22" s="444" t="s">
        <v>749</v>
      </c>
      <c r="U22" s="444" t="s">
        <v>750</v>
      </c>
      <c r="V22" s="444" t="s">
        <v>751</v>
      </c>
      <c r="W22" s="444" t="s">
        <v>752</v>
      </c>
      <c r="X22" s="444" t="s">
        <v>753</v>
      </c>
      <c r="Y22" s="444" t="s">
        <v>754</v>
      </c>
      <c r="Z22" s="444" t="s">
        <v>755</v>
      </c>
      <c r="AA22" s="444" t="s">
        <v>744</v>
      </c>
      <c r="AB22" s="444" t="s">
        <v>745</v>
      </c>
      <c r="AC22" s="444" t="s">
        <v>746</v>
      </c>
      <c r="AD22" s="444" t="s">
        <v>747</v>
      </c>
      <c r="AE22" s="444" t="s">
        <v>748</v>
      </c>
      <c r="AF22" s="444" t="s">
        <v>749</v>
      </c>
      <c r="AG22" s="444" t="s">
        <v>750</v>
      </c>
      <c r="AH22" s="444" t="s">
        <v>751</v>
      </c>
      <c r="AI22" s="444" t="s">
        <v>752</v>
      </c>
      <c r="AJ22" s="444" t="s">
        <v>753</v>
      </c>
      <c r="AK22" s="444" t="s">
        <v>754</v>
      </c>
      <c r="AL22" s="444" t="s">
        <v>755</v>
      </c>
      <c r="AM22" s="444" t="s">
        <v>744</v>
      </c>
      <c r="AN22" s="444" t="s">
        <v>745</v>
      </c>
      <c r="AO22" s="444" t="s">
        <v>746</v>
      </c>
      <c r="AP22" s="444" t="s">
        <v>747</v>
      </c>
      <c r="AQ22" s="444" t="s">
        <v>748</v>
      </c>
      <c r="AR22" s="444" t="s">
        <v>749</v>
      </c>
      <c r="AS22" s="444" t="s">
        <v>750</v>
      </c>
      <c r="AT22" s="444" t="s">
        <v>751</v>
      </c>
      <c r="AU22" s="444" t="s">
        <v>752</v>
      </c>
      <c r="AV22" s="444" t="s">
        <v>753</v>
      </c>
      <c r="AW22" s="444" t="s">
        <v>754</v>
      </c>
      <c r="AX22" s="444" t="s">
        <v>755</v>
      </c>
      <c r="AY22" s="444" t="s">
        <v>744</v>
      </c>
      <c r="AZ22" s="444" t="s">
        <v>745</v>
      </c>
      <c r="BA22" s="444" t="s">
        <v>746</v>
      </c>
      <c r="BB22" s="444" t="s">
        <v>747</v>
      </c>
      <c r="BC22" s="444" t="s">
        <v>748</v>
      </c>
      <c r="BD22" s="444" t="s">
        <v>749</v>
      </c>
      <c r="BE22" s="444" t="s">
        <v>750</v>
      </c>
      <c r="BF22" s="444" t="s">
        <v>751</v>
      </c>
      <c r="BG22" s="444" t="s">
        <v>752</v>
      </c>
      <c r="BH22" s="444" t="s">
        <v>753</v>
      </c>
      <c r="BI22" s="444" t="s">
        <v>754</v>
      </c>
      <c r="BJ22" s="444" t="s">
        <v>755</v>
      </c>
      <c r="BK22" s="445" t="s">
        <v>756</v>
      </c>
    </row>
    <row r="23" spans="1:63" ht="15" customHeight="1" x14ac:dyDescent="0.25">
      <c r="A23" s="438" t="s">
        <v>757</v>
      </c>
      <c r="B23" s="446" t="s">
        <v>758</v>
      </c>
      <c r="C23" s="447">
        <v>0.01</v>
      </c>
      <c r="D23" s="447">
        <v>0.01</v>
      </c>
      <c r="E23" s="447">
        <v>0.01</v>
      </c>
      <c r="F23" s="447">
        <v>0.02</v>
      </c>
      <c r="G23" s="447">
        <v>0.02</v>
      </c>
      <c r="H23" s="447">
        <v>0.02</v>
      </c>
      <c r="I23" s="447">
        <v>0.02</v>
      </c>
      <c r="J23" s="447">
        <v>0.02</v>
      </c>
      <c r="K23" s="447">
        <v>0.02</v>
      </c>
      <c r="L23" s="447">
        <v>0.03</v>
      </c>
      <c r="M23" s="447">
        <v>0.03</v>
      </c>
      <c r="N23" s="447">
        <v>0.03</v>
      </c>
      <c r="O23" s="447">
        <v>0.03</v>
      </c>
      <c r="P23" s="447">
        <v>0.03</v>
      </c>
      <c r="Q23" s="447">
        <v>0.03</v>
      </c>
      <c r="R23" s="447">
        <v>0.04</v>
      </c>
      <c r="S23" s="447">
        <v>0.04</v>
      </c>
      <c r="T23" s="447">
        <v>0.04</v>
      </c>
      <c r="U23" s="447">
        <v>0.04</v>
      </c>
      <c r="V23" s="447">
        <v>0.04</v>
      </c>
      <c r="W23" s="447">
        <v>0.04</v>
      </c>
      <c r="X23" s="447">
        <v>0.04</v>
      </c>
      <c r="Y23" s="447">
        <v>0.03</v>
      </c>
      <c r="Z23" s="447">
        <v>0.03</v>
      </c>
      <c r="AA23" s="447">
        <v>0.03</v>
      </c>
      <c r="AB23" s="447">
        <v>0.03</v>
      </c>
      <c r="AC23" s="447">
        <v>0.03</v>
      </c>
      <c r="AD23" s="447">
        <v>0.02</v>
      </c>
      <c r="AE23" s="447">
        <v>0.02</v>
      </c>
      <c r="AF23" s="447">
        <v>0.02</v>
      </c>
      <c r="AG23" s="447">
        <v>0.02</v>
      </c>
      <c r="AH23" s="447">
        <v>0.02</v>
      </c>
      <c r="AI23" s="447">
        <v>0.02</v>
      </c>
      <c r="AJ23" s="447">
        <v>0.02</v>
      </c>
      <c r="AK23" s="447">
        <v>0.02</v>
      </c>
      <c r="AL23" s="447">
        <v>0.02</v>
      </c>
      <c r="AM23" s="447">
        <v>0.01</v>
      </c>
      <c r="AN23" s="447">
        <v>0.01</v>
      </c>
      <c r="AO23" s="447">
        <v>0.01</v>
      </c>
      <c r="AP23" s="447">
        <v>0.01</v>
      </c>
      <c r="AQ23" s="447">
        <v>0.01</v>
      </c>
      <c r="AR23" s="447">
        <v>0.01</v>
      </c>
      <c r="AS23" s="447">
        <v>0</v>
      </c>
      <c r="AT23" s="447">
        <v>0</v>
      </c>
      <c r="AU23" s="447">
        <v>0</v>
      </c>
      <c r="AV23" s="447">
        <v>0</v>
      </c>
      <c r="AW23" s="447">
        <v>0</v>
      </c>
      <c r="AX23" s="447">
        <v>0</v>
      </c>
      <c r="AY23" s="447">
        <v>0</v>
      </c>
      <c r="AZ23" s="447">
        <v>0</v>
      </c>
      <c r="BA23" s="447">
        <v>0</v>
      </c>
      <c r="BB23" s="447">
        <v>0</v>
      </c>
      <c r="BC23" s="447">
        <v>0</v>
      </c>
      <c r="BD23" s="447">
        <v>0</v>
      </c>
      <c r="BE23" s="447">
        <v>0</v>
      </c>
      <c r="BF23" s="447">
        <v>0</v>
      </c>
      <c r="BG23" s="447">
        <v>0</v>
      </c>
      <c r="BH23" s="447">
        <v>0</v>
      </c>
      <c r="BI23" s="447">
        <v>0</v>
      </c>
      <c r="BJ23" s="447">
        <v>0</v>
      </c>
      <c r="BK23" s="448">
        <f t="shared" ref="BK23:BK40" si="0">SUM(C23:BJ23)</f>
        <v>1.0000000000000004</v>
      </c>
    </row>
    <row r="24" spans="1:63" ht="15" customHeight="1" x14ac:dyDescent="0.25">
      <c r="A24" s="438" t="s">
        <v>759</v>
      </c>
      <c r="B24" s="446" t="s">
        <v>758</v>
      </c>
      <c r="C24" s="447">
        <v>0.01</v>
      </c>
      <c r="D24" s="447">
        <v>0.01</v>
      </c>
      <c r="E24" s="447">
        <v>0.01</v>
      </c>
      <c r="F24" s="447">
        <v>0.02</v>
      </c>
      <c r="G24" s="447">
        <v>0.02</v>
      </c>
      <c r="H24" s="447">
        <v>0.02</v>
      </c>
      <c r="I24" s="447">
        <v>0.02</v>
      </c>
      <c r="J24" s="447">
        <v>0.02</v>
      </c>
      <c r="K24" s="447">
        <v>0.02</v>
      </c>
      <c r="L24" s="447">
        <v>0.03</v>
      </c>
      <c r="M24" s="447">
        <v>0.03</v>
      </c>
      <c r="N24" s="447">
        <v>0.03</v>
      </c>
      <c r="O24" s="447">
        <v>0.03</v>
      </c>
      <c r="P24" s="447">
        <v>0.03</v>
      </c>
      <c r="Q24" s="447">
        <v>0.03</v>
      </c>
      <c r="R24" s="447">
        <v>0.04</v>
      </c>
      <c r="S24" s="447">
        <v>0.04</v>
      </c>
      <c r="T24" s="447">
        <v>0.04</v>
      </c>
      <c r="U24" s="447">
        <v>0.04</v>
      </c>
      <c r="V24" s="447">
        <v>0.04</v>
      </c>
      <c r="W24" s="447">
        <v>0.04</v>
      </c>
      <c r="X24" s="447">
        <v>0.04</v>
      </c>
      <c r="Y24" s="447">
        <v>0.03</v>
      </c>
      <c r="Z24" s="447">
        <v>0.03</v>
      </c>
      <c r="AA24" s="447">
        <v>0.03</v>
      </c>
      <c r="AB24" s="447">
        <v>0.03</v>
      </c>
      <c r="AC24" s="447">
        <v>0.03</v>
      </c>
      <c r="AD24" s="447">
        <v>0.02</v>
      </c>
      <c r="AE24" s="447">
        <v>0.02</v>
      </c>
      <c r="AF24" s="447">
        <v>0.02</v>
      </c>
      <c r="AG24" s="447">
        <v>0.02</v>
      </c>
      <c r="AH24" s="447">
        <v>0.02</v>
      </c>
      <c r="AI24" s="447">
        <v>0.02</v>
      </c>
      <c r="AJ24" s="447">
        <v>0.02</v>
      </c>
      <c r="AK24" s="447">
        <v>0.02</v>
      </c>
      <c r="AL24" s="447">
        <v>0.02</v>
      </c>
      <c r="AM24" s="447">
        <v>0.01</v>
      </c>
      <c r="AN24" s="447">
        <v>0.01</v>
      </c>
      <c r="AO24" s="447">
        <v>0.01</v>
      </c>
      <c r="AP24" s="447">
        <v>0.01</v>
      </c>
      <c r="AQ24" s="447">
        <v>0.01</v>
      </c>
      <c r="AR24" s="447">
        <v>0.01</v>
      </c>
      <c r="AS24" s="447">
        <v>0</v>
      </c>
      <c r="AT24" s="447">
        <v>0</v>
      </c>
      <c r="AU24" s="447">
        <v>0</v>
      </c>
      <c r="AV24" s="447">
        <v>0</v>
      </c>
      <c r="AW24" s="447">
        <v>0</v>
      </c>
      <c r="AX24" s="447">
        <v>0</v>
      </c>
      <c r="AY24" s="447">
        <v>0</v>
      </c>
      <c r="AZ24" s="447">
        <v>0</v>
      </c>
      <c r="BA24" s="447">
        <v>0</v>
      </c>
      <c r="BB24" s="447">
        <v>0</v>
      </c>
      <c r="BC24" s="447">
        <v>0</v>
      </c>
      <c r="BD24" s="447">
        <v>0</v>
      </c>
      <c r="BE24" s="447">
        <v>0</v>
      </c>
      <c r="BF24" s="447">
        <v>0</v>
      </c>
      <c r="BG24" s="447">
        <v>0</v>
      </c>
      <c r="BH24" s="447">
        <v>0</v>
      </c>
      <c r="BI24" s="447">
        <v>0</v>
      </c>
      <c r="BJ24" s="447">
        <v>0</v>
      </c>
      <c r="BK24" s="448">
        <f t="shared" si="0"/>
        <v>1.0000000000000004</v>
      </c>
    </row>
    <row r="25" spans="1:63" ht="15" customHeight="1" x14ac:dyDescent="0.25">
      <c r="A25" s="438" t="s">
        <v>760</v>
      </c>
      <c r="B25" s="446" t="s">
        <v>761</v>
      </c>
      <c r="C25" s="447">
        <v>0.02</v>
      </c>
      <c r="D25" s="447">
        <v>0.02</v>
      </c>
      <c r="E25" s="447">
        <v>0.03</v>
      </c>
      <c r="F25" s="447">
        <v>0.03</v>
      </c>
      <c r="G25" s="447">
        <v>0.03</v>
      </c>
      <c r="H25" s="447">
        <v>0.05</v>
      </c>
      <c r="I25" s="447">
        <v>0.04</v>
      </c>
      <c r="J25" s="447">
        <v>0.04</v>
      </c>
      <c r="K25" s="447">
        <v>0.04</v>
      </c>
      <c r="L25" s="447">
        <v>0.04</v>
      </c>
      <c r="M25" s="447">
        <v>0.04</v>
      </c>
      <c r="N25" s="447">
        <v>0.04</v>
      </c>
      <c r="O25" s="447">
        <v>0.04</v>
      </c>
      <c r="P25" s="447">
        <v>0.04</v>
      </c>
      <c r="Q25" s="447">
        <v>0.04</v>
      </c>
      <c r="R25" s="447">
        <v>0.04</v>
      </c>
      <c r="S25" s="447">
        <v>0.03</v>
      </c>
      <c r="T25" s="447">
        <v>0.03</v>
      </c>
      <c r="U25" s="447">
        <v>0.03</v>
      </c>
      <c r="V25" s="447">
        <v>0.03</v>
      </c>
      <c r="W25" s="447">
        <v>0.03</v>
      </c>
      <c r="X25" s="447">
        <v>0.03</v>
      </c>
      <c r="Y25" s="447">
        <v>0.03</v>
      </c>
      <c r="Z25" s="447">
        <v>0.03</v>
      </c>
      <c r="AA25" s="447">
        <v>0.02</v>
      </c>
      <c r="AB25" s="447">
        <v>0.02</v>
      </c>
      <c r="AC25" s="447">
        <v>0.02</v>
      </c>
      <c r="AD25" s="447">
        <v>0.02</v>
      </c>
      <c r="AE25" s="447">
        <v>0.02</v>
      </c>
      <c r="AF25" s="447">
        <v>0.02</v>
      </c>
      <c r="AG25" s="447">
        <v>0.01</v>
      </c>
      <c r="AH25" s="447">
        <v>0.01</v>
      </c>
      <c r="AI25" s="447">
        <v>0.01</v>
      </c>
      <c r="AJ25" s="447">
        <v>0.01</v>
      </c>
      <c r="AK25" s="447">
        <v>0.01</v>
      </c>
      <c r="AL25" s="447">
        <v>0.01</v>
      </c>
      <c r="AM25" s="447">
        <v>0</v>
      </c>
      <c r="AN25" s="447">
        <v>0</v>
      </c>
      <c r="AO25" s="447">
        <v>0</v>
      </c>
      <c r="AP25" s="447">
        <v>0</v>
      </c>
      <c r="AQ25" s="447">
        <v>0</v>
      </c>
      <c r="AR25" s="447">
        <v>0</v>
      </c>
      <c r="AS25" s="447">
        <v>0</v>
      </c>
      <c r="AT25" s="447">
        <v>0</v>
      </c>
      <c r="AU25" s="447">
        <v>0</v>
      </c>
      <c r="AV25" s="447">
        <v>0</v>
      </c>
      <c r="AW25" s="447">
        <v>0</v>
      </c>
      <c r="AX25" s="447">
        <v>0</v>
      </c>
      <c r="AY25" s="447">
        <v>0</v>
      </c>
      <c r="AZ25" s="447">
        <v>0</v>
      </c>
      <c r="BA25" s="447">
        <v>0</v>
      </c>
      <c r="BB25" s="447">
        <v>0</v>
      </c>
      <c r="BC25" s="447">
        <v>0</v>
      </c>
      <c r="BD25" s="447">
        <v>0</v>
      </c>
      <c r="BE25" s="447">
        <v>0</v>
      </c>
      <c r="BF25" s="447">
        <v>0</v>
      </c>
      <c r="BG25" s="447">
        <v>0</v>
      </c>
      <c r="BH25" s="447">
        <v>0</v>
      </c>
      <c r="BI25" s="447">
        <v>0</v>
      </c>
      <c r="BJ25" s="447">
        <v>0</v>
      </c>
      <c r="BK25" s="448">
        <f t="shared" si="0"/>
        <v>1.0000000000000002</v>
      </c>
    </row>
    <row r="26" spans="1:63" ht="15" customHeight="1" x14ac:dyDescent="0.25">
      <c r="A26" s="438" t="s">
        <v>762</v>
      </c>
      <c r="B26" s="446" t="s">
        <v>761</v>
      </c>
      <c r="C26" s="447">
        <v>0.02</v>
      </c>
      <c r="D26" s="447">
        <v>0.02</v>
      </c>
      <c r="E26" s="447">
        <v>0.03</v>
      </c>
      <c r="F26" s="447">
        <v>0.03</v>
      </c>
      <c r="G26" s="447">
        <v>0.03</v>
      </c>
      <c r="H26" s="447">
        <v>0.05</v>
      </c>
      <c r="I26" s="447">
        <v>0.04</v>
      </c>
      <c r="J26" s="447">
        <v>0.04</v>
      </c>
      <c r="K26" s="447">
        <v>0.04</v>
      </c>
      <c r="L26" s="447">
        <v>0.04</v>
      </c>
      <c r="M26" s="447">
        <v>0.04</v>
      </c>
      <c r="N26" s="447">
        <v>0.04</v>
      </c>
      <c r="O26" s="447">
        <v>0.04</v>
      </c>
      <c r="P26" s="447">
        <v>0.04</v>
      </c>
      <c r="Q26" s="447">
        <v>0.04</v>
      </c>
      <c r="R26" s="447">
        <v>0.04</v>
      </c>
      <c r="S26" s="447">
        <v>0.03</v>
      </c>
      <c r="T26" s="447">
        <v>0.03</v>
      </c>
      <c r="U26" s="447">
        <v>0.03</v>
      </c>
      <c r="V26" s="447">
        <v>0.03</v>
      </c>
      <c r="W26" s="447">
        <v>0.03</v>
      </c>
      <c r="X26" s="447">
        <v>0.03</v>
      </c>
      <c r="Y26" s="447">
        <v>0.03</v>
      </c>
      <c r="Z26" s="447">
        <v>0.03</v>
      </c>
      <c r="AA26" s="447">
        <v>0.02</v>
      </c>
      <c r="AB26" s="447">
        <v>0.02</v>
      </c>
      <c r="AC26" s="447">
        <v>0.02</v>
      </c>
      <c r="AD26" s="447">
        <v>0.02</v>
      </c>
      <c r="AE26" s="447">
        <v>0.02</v>
      </c>
      <c r="AF26" s="447">
        <v>0.02</v>
      </c>
      <c r="AG26" s="447">
        <v>0.01</v>
      </c>
      <c r="AH26" s="447">
        <v>0.01</v>
      </c>
      <c r="AI26" s="447">
        <v>0.01</v>
      </c>
      <c r="AJ26" s="447">
        <v>0.01</v>
      </c>
      <c r="AK26" s="447">
        <v>0.01</v>
      </c>
      <c r="AL26" s="447">
        <v>0.01</v>
      </c>
      <c r="AM26" s="447">
        <v>0</v>
      </c>
      <c r="AN26" s="447">
        <v>0</v>
      </c>
      <c r="AO26" s="447">
        <v>0</v>
      </c>
      <c r="AP26" s="447">
        <v>0</v>
      </c>
      <c r="AQ26" s="447">
        <v>0</v>
      </c>
      <c r="AR26" s="447">
        <v>0</v>
      </c>
      <c r="AS26" s="447">
        <v>0</v>
      </c>
      <c r="AT26" s="447">
        <v>0</v>
      </c>
      <c r="AU26" s="447">
        <v>0</v>
      </c>
      <c r="AV26" s="447">
        <v>0</v>
      </c>
      <c r="AW26" s="447">
        <v>0</v>
      </c>
      <c r="AX26" s="447">
        <v>0</v>
      </c>
      <c r="AY26" s="447">
        <v>0</v>
      </c>
      <c r="AZ26" s="447">
        <v>0</v>
      </c>
      <c r="BA26" s="447">
        <v>0</v>
      </c>
      <c r="BB26" s="447">
        <v>0</v>
      </c>
      <c r="BC26" s="447">
        <v>0</v>
      </c>
      <c r="BD26" s="447">
        <v>0</v>
      </c>
      <c r="BE26" s="447">
        <v>0</v>
      </c>
      <c r="BF26" s="447">
        <v>0</v>
      </c>
      <c r="BG26" s="447">
        <v>0</v>
      </c>
      <c r="BH26" s="447">
        <v>0</v>
      </c>
      <c r="BI26" s="447">
        <v>0</v>
      </c>
      <c r="BJ26" s="447">
        <v>0</v>
      </c>
      <c r="BK26" s="448">
        <f t="shared" si="0"/>
        <v>1.0000000000000002</v>
      </c>
    </row>
    <row r="27" spans="1:63" ht="15" customHeight="1" x14ac:dyDescent="0.25">
      <c r="A27" s="438" t="s">
        <v>763</v>
      </c>
      <c r="B27" s="446" t="s">
        <v>764</v>
      </c>
      <c r="C27" s="447">
        <v>0.02</v>
      </c>
      <c r="D27" s="447">
        <v>0.03</v>
      </c>
      <c r="E27" s="447">
        <v>0.03</v>
      </c>
      <c r="F27" s="447">
        <v>0.04</v>
      </c>
      <c r="G27" s="447">
        <v>0.04</v>
      </c>
      <c r="H27" s="447">
        <v>0.04</v>
      </c>
      <c r="I27" s="447">
        <v>0.04</v>
      </c>
      <c r="J27" s="447">
        <v>0.04</v>
      </c>
      <c r="K27" s="447">
        <v>0.05</v>
      </c>
      <c r="L27" s="447">
        <v>0.05</v>
      </c>
      <c r="M27" s="447">
        <v>0.05</v>
      </c>
      <c r="N27" s="447">
        <v>0.05</v>
      </c>
      <c r="O27" s="447">
        <v>0.05</v>
      </c>
      <c r="P27" s="447">
        <v>0.05</v>
      </c>
      <c r="Q27" s="447">
        <v>0.05</v>
      </c>
      <c r="R27" s="447">
        <v>0.05</v>
      </c>
      <c r="S27" s="447">
        <v>0.04</v>
      </c>
      <c r="T27" s="447">
        <v>0.04</v>
      </c>
      <c r="U27" s="447">
        <v>0.04</v>
      </c>
      <c r="V27" s="447">
        <v>0.04</v>
      </c>
      <c r="W27" s="447">
        <v>0.03</v>
      </c>
      <c r="X27" s="447">
        <v>0.03</v>
      </c>
      <c r="Y27" s="447">
        <v>0.02</v>
      </c>
      <c r="Z27" s="447">
        <v>0.02</v>
      </c>
      <c r="AA27" s="447">
        <v>0.01</v>
      </c>
      <c r="AB27" s="447">
        <v>0.01</v>
      </c>
      <c r="AC27" s="447">
        <v>0.01</v>
      </c>
      <c r="AD27" s="447">
        <v>0.01</v>
      </c>
      <c r="AE27" s="447">
        <v>0.01</v>
      </c>
      <c r="AF27" s="447">
        <v>0.01</v>
      </c>
      <c r="AG27" s="447">
        <v>0</v>
      </c>
      <c r="AH27" s="447">
        <v>0</v>
      </c>
      <c r="AI27" s="447">
        <v>0</v>
      </c>
      <c r="AJ27" s="447">
        <v>0</v>
      </c>
      <c r="AK27" s="447">
        <v>0</v>
      </c>
      <c r="AL27" s="447">
        <v>0</v>
      </c>
      <c r="AM27" s="447">
        <v>0</v>
      </c>
      <c r="AN27" s="447">
        <v>0</v>
      </c>
      <c r="AO27" s="447">
        <v>0</v>
      </c>
      <c r="AP27" s="447">
        <v>0</v>
      </c>
      <c r="AQ27" s="447">
        <v>0</v>
      </c>
      <c r="AR27" s="447">
        <v>0</v>
      </c>
      <c r="AS27" s="447">
        <v>0</v>
      </c>
      <c r="AT27" s="447">
        <v>0</v>
      </c>
      <c r="AU27" s="447">
        <v>0</v>
      </c>
      <c r="AV27" s="447">
        <v>0</v>
      </c>
      <c r="AW27" s="447">
        <v>0</v>
      </c>
      <c r="AX27" s="447">
        <v>0</v>
      </c>
      <c r="AY27" s="447">
        <v>0</v>
      </c>
      <c r="AZ27" s="447">
        <v>0</v>
      </c>
      <c r="BA27" s="447">
        <v>0</v>
      </c>
      <c r="BB27" s="447">
        <v>0</v>
      </c>
      <c r="BC27" s="447">
        <v>0</v>
      </c>
      <c r="BD27" s="447">
        <v>0</v>
      </c>
      <c r="BE27" s="447">
        <v>0</v>
      </c>
      <c r="BF27" s="447">
        <v>0</v>
      </c>
      <c r="BG27" s="447">
        <v>0</v>
      </c>
      <c r="BH27" s="447">
        <v>0</v>
      </c>
      <c r="BI27" s="447">
        <v>0</v>
      </c>
      <c r="BJ27" s="447">
        <v>0</v>
      </c>
      <c r="BK27" s="448">
        <f t="shared" si="0"/>
        <v>1.0000000000000004</v>
      </c>
    </row>
    <row r="28" spans="1:63" ht="15" customHeight="1" x14ac:dyDescent="0.25">
      <c r="A28" s="438" t="s">
        <v>765</v>
      </c>
      <c r="B28" s="446" t="s">
        <v>758</v>
      </c>
      <c r="C28" s="447">
        <v>0.01</v>
      </c>
      <c r="D28" s="447">
        <v>0.01</v>
      </c>
      <c r="E28" s="447">
        <v>0.01</v>
      </c>
      <c r="F28" s="447">
        <v>0.02</v>
      </c>
      <c r="G28" s="447">
        <v>0.02</v>
      </c>
      <c r="H28" s="447">
        <v>0.02</v>
      </c>
      <c r="I28" s="447">
        <v>0.02</v>
      </c>
      <c r="J28" s="447">
        <v>0.02</v>
      </c>
      <c r="K28" s="447">
        <v>0.02</v>
      </c>
      <c r="L28" s="447">
        <v>0.03</v>
      </c>
      <c r="M28" s="447">
        <v>0.03</v>
      </c>
      <c r="N28" s="447">
        <v>0.03</v>
      </c>
      <c r="O28" s="447">
        <v>0.03</v>
      </c>
      <c r="P28" s="447">
        <v>0.03</v>
      </c>
      <c r="Q28" s="447">
        <v>0.03</v>
      </c>
      <c r="R28" s="447">
        <v>0.04</v>
      </c>
      <c r="S28" s="447">
        <v>0.04</v>
      </c>
      <c r="T28" s="447">
        <v>0.04</v>
      </c>
      <c r="U28" s="447">
        <v>0.04</v>
      </c>
      <c r="V28" s="447">
        <v>0.04</v>
      </c>
      <c r="W28" s="447">
        <v>0.04</v>
      </c>
      <c r="X28" s="447">
        <v>0.04</v>
      </c>
      <c r="Y28" s="447">
        <v>0.03</v>
      </c>
      <c r="Z28" s="447">
        <v>0.03</v>
      </c>
      <c r="AA28" s="447">
        <v>0.03</v>
      </c>
      <c r="AB28" s="447">
        <v>0.03</v>
      </c>
      <c r="AC28" s="447">
        <v>0.03</v>
      </c>
      <c r="AD28" s="447">
        <v>0.02</v>
      </c>
      <c r="AE28" s="447">
        <v>0.02</v>
      </c>
      <c r="AF28" s="447">
        <v>0.02</v>
      </c>
      <c r="AG28" s="447">
        <v>0.02</v>
      </c>
      <c r="AH28" s="447">
        <v>0.02</v>
      </c>
      <c r="AI28" s="447">
        <v>0.02</v>
      </c>
      <c r="AJ28" s="447">
        <v>0.02</v>
      </c>
      <c r="AK28" s="447">
        <v>0.02</v>
      </c>
      <c r="AL28" s="447">
        <v>0.02</v>
      </c>
      <c r="AM28" s="447">
        <v>0.01</v>
      </c>
      <c r="AN28" s="447">
        <v>0.01</v>
      </c>
      <c r="AO28" s="447">
        <v>0.01</v>
      </c>
      <c r="AP28" s="447">
        <v>0.01</v>
      </c>
      <c r="AQ28" s="447">
        <v>0.01</v>
      </c>
      <c r="AR28" s="447">
        <v>0.01</v>
      </c>
      <c r="AS28" s="447">
        <v>0</v>
      </c>
      <c r="AT28" s="447">
        <v>0</v>
      </c>
      <c r="AU28" s="447">
        <v>0</v>
      </c>
      <c r="AV28" s="447">
        <v>0</v>
      </c>
      <c r="AW28" s="447">
        <v>0</v>
      </c>
      <c r="AX28" s="447">
        <v>0</v>
      </c>
      <c r="AY28" s="447">
        <v>0</v>
      </c>
      <c r="AZ28" s="447">
        <v>0</v>
      </c>
      <c r="BA28" s="447">
        <v>0</v>
      </c>
      <c r="BB28" s="447">
        <v>0</v>
      </c>
      <c r="BC28" s="447">
        <v>0</v>
      </c>
      <c r="BD28" s="447">
        <v>0</v>
      </c>
      <c r="BE28" s="447">
        <v>0</v>
      </c>
      <c r="BF28" s="447">
        <v>0</v>
      </c>
      <c r="BG28" s="447">
        <v>0</v>
      </c>
      <c r="BH28" s="447">
        <v>0</v>
      </c>
      <c r="BI28" s="447">
        <v>0</v>
      </c>
      <c r="BJ28" s="447">
        <v>0</v>
      </c>
      <c r="BK28" s="448">
        <f t="shared" si="0"/>
        <v>1.0000000000000004</v>
      </c>
    </row>
    <row r="29" spans="1:63" ht="15" customHeight="1" x14ac:dyDescent="0.25">
      <c r="A29" s="438" t="s">
        <v>766</v>
      </c>
      <c r="B29" s="446" t="s">
        <v>764</v>
      </c>
      <c r="C29" s="447">
        <v>0.02</v>
      </c>
      <c r="D29" s="447">
        <v>0.03</v>
      </c>
      <c r="E29" s="447">
        <v>0.03</v>
      </c>
      <c r="F29" s="447">
        <v>0.04</v>
      </c>
      <c r="G29" s="447">
        <v>0.04</v>
      </c>
      <c r="H29" s="447">
        <v>0.04</v>
      </c>
      <c r="I29" s="447">
        <v>0.04</v>
      </c>
      <c r="J29" s="447">
        <v>0.04</v>
      </c>
      <c r="K29" s="447">
        <v>0.05</v>
      </c>
      <c r="L29" s="447">
        <v>0.05</v>
      </c>
      <c r="M29" s="447">
        <v>0.05</v>
      </c>
      <c r="N29" s="447">
        <v>0.05</v>
      </c>
      <c r="O29" s="447">
        <v>0.05</v>
      </c>
      <c r="P29" s="447">
        <v>0.05</v>
      </c>
      <c r="Q29" s="447">
        <v>0.05</v>
      </c>
      <c r="R29" s="447">
        <v>0.05</v>
      </c>
      <c r="S29" s="447">
        <v>0.04</v>
      </c>
      <c r="T29" s="447">
        <v>0.04</v>
      </c>
      <c r="U29" s="447">
        <v>0.04</v>
      </c>
      <c r="V29" s="447">
        <v>0.04</v>
      </c>
      <c r="W29" s="447">
        <v>0.03</v>
      </c>
      <c r="X29" s="447">
        <v>0.03</v>
      </c>
      <c r="Y29" s="447">
        <v>0.02</v>
      </c>
      <c r="Z29" s="447">
        <v>0.02</v>
      </c>
      <c r="AA29" s="447">
        <v>0.01</v>
      </c>
      <c r="AB29" s="447">
        <v>0.01</v>
      </c>
      <c r="AC29" s="447">
        <v>0.01</v>
      </c>
      <c r="AD29" s="447">
        <v>0.01</v>
      </c>
      <c r="AE29" s="447">
        <v>0.01</v>
      </c>
      <c r="AF29" s="447">
        <v>0.01</v>
      </c>
      <c r="AG29" s="447">
        <v>0</v>
      </c>
      <c r="AH29" s="447">
        <v>0</v>
      </c>
      <c r="AI29" s="447">
        <v>0</v>
      </c>
      <c r="AJ29" s="447">
        <v>0</v>
      </c>
      <c r="AK29" s="447">
        <v>0</v>
      </c>
      <c r="AL29" s="447">
        <v>0</v>
      </c>
      <c r="AM29" s="447">
        <v>0</v>
      </c>
      <c r="AN29" s="447">
        <v>0</v>
      </c>
      <c r="AO29" s="447">
        <v>0</v>
      </c>
      <c r="AP29" s="447">
        <v>0</v>
      </c>
      <c r="AQ29" s="447">
        <v>0</v>
      </c>
      <c r="AR29" s="447">
        <v>0</v>
      </c>
      <c r="AS29" s="447">
        <v>0</v>
      </c>
      <c r="AT29" s="447">
        <v>0</v>
      </c>
      <c r="AU29" s="447">
        <v>0</v>
      </c>
      <c r="AV29" s="447">
        <v>0</v>
      </c>
      <c r="AW29" s="447">
        <v>0</v>
      </c>
      <c r="AX29" s="447">
        <v>0</v>
      </c>
      <c r="AY29" s="447">
        <v>0</v>
      </c>
      <c r="AZ29" s="447">
        <v>0</v>
      </c>
      <c r="BA29" s="447">
        <v>0</v>
      </c>
      <c r="BB29" s="447">
        <v>0</v>
      </c>
      <c r="BC29" s="447">
        <v>0</v>
      </c>
      <c r="BD29" s="447">
        <v>0</v>
      </c>
      <c r="BE29" s="447">
        <v>0</v>
      </c>
      <c r="BF29" s="447">
        <v>0</v>
      </c>
      <c r="BG29" s="447">
        <v>0</v>
      </c>
      <c r="BH29" s="447">
        <v>0</v>
      </c>
      <c r="BI29" s="447">
        <v>0</v>
      </c>
      <c r="BJ29" s="447">
        <v>0</v>
      </c>
      <c r="BK29" s="448">
        <f t="shared" si="0"/>
        <v>1.0000000000000004</v>
      </c>
    </row>
    <row r="30" spans="1:63" ht="15" customHeight="1" x14ac:dyDescent="0.25">
      <c r="A30" s="438" t="s">
        <v>767</v>
      </c>
      <c r="B30" s="446" t="s">
        <v>764</v>
      </c>
      <c r="C30" s="447">
        <v>0.02</v>
      </c>
      <c r="D30" s="447">
        <v>0.03</v>
      </c>
      <c r="E30" s="447">
        <v>0.03</v>
      </c>
      <c r="F30" s="447">
        <v>0.04</v>
      </c>
      <c r="G30" s="447">
        <v>0.04</v>
      </c>
      <c r="H30" s="447">
        <v>0.04</v>
      </c>
      <c r="I30" s="447">
        <v>0.04</v>
      </c>
      <c r="J30" s="447">
        <v>0.04</v>
      </c>
      <c r="K30" s="447">
        <v>0.05</v>
      </c>
      <c r="L30" s="447">
        <v>0.05</v>
      </c>
      <c r="M30" s="447">
        <v>0.05</v>
      </c>
      <c r="N30" s="447">
        <v>0.05</v>
      </c>
      <c r="O30" s="447">
        <v>0.05</v>
      </c>
      <c r="P30" s="447">
        <v>0.05</v>
      </c>
      <c r="Q30" s="447">
        <v>0.05</v>
      </c>
      <c r="R30" s="447">
        <v>0.05</v>
      </c>
      <c r="S30" s="447">
        <v>0.04</v>
      </c>
      <c r="T30" s="447">
        <v>0.04</v>
      </c>
      <c r="U30" s="447">
        <v>0.04</v>
      </c>
      <c r="V30" s="447">
        <v>0.04</v>
      </c>
      <c r="W30" s="447">
        <v>0.03</v>
      </c>
      <c r="X30" s="447">
        <v>0.03</v>
      </c>
      <c r="Y30" s="447">
        <v>0.02</v>
      </c>
      <c r="Z30" s="447">
        <v>0.02</v>
      </c>
      <c r="AA30" s="447">
        <v>0.01</v>
      </c>
      <c r="AB30" s="447">
        <v>0.01</v>
      </c>
      <c r="AC30" s="447">
        <v>0.01</v>
      </c>
      <c r="AD30" s="447">
        <v>0.01</v>
      </c>
      <c r="AE30" s="447">
        <v>0.01</v>
      </c>
      <c r="AF30" s="447">
        <v>0.01</v>
      </c>
      <c r="AG30" s="447">
        <v>0</v>
      </c>
      <c r="AH30" s="447">
        <v>0</v>
      </c>
      <c r="AI30" s="447">
        <v>0</v>
      </c>
      <c r="AJ30" s="447">
        <v>0</v>
      </c>
      <c r="AK30" s="447">
        <v>0</v>
      </c>
      <c r="AL30" s="447">
        <v>0</v>
      </c>
      <c r="AM30" s="447">
        <v>0</v>
      </c>
      <c r="AN30" s="447">
        <v>0</v>
      </c>
      <c r="AO30" s="447">
        <v>0</v>
      </c>
      <c r="AP30" s="447">
        <v>0</v>
      </c>
      <c r="AQ30" s="447">
        <v>0</v>
      </c>
      <c r="AR30" s="447">
        <v>0</v>
      </c>
      <c r="AS30" s="447">
        <v>0</v>
      </c>
      <c r="AT30" s="447">
        <v>0</v>
      </c>
      <c r="AU30" s="447">
        <v>0</v>
      </c>
      <c r="AV30" s="447">
        <v>0</v>
      </c>
      <c r="AW30" s="447">
        <v>0</v>
      </c>
      <c r="AX30" s="447">
        <v>0</v>
      </c>
      <c r="AY30" s="447">
        <v>0</v>
      </c>
      <c r="AZ30" s="447">
        <v>0</v>
      </c>
      <c r="BA30" s="447">
        <v>0</v>
      </c>
      <c r="BB30" s="447">
        <v>0</v>
      </c>
      <c r="BC30" s="447">
        <v>0</v>
      </c>
      <c r="BD30" s="447">
        <v>0</v>
      </c>
      <c r="BE30" s="447">
        <v>0</v>
      </c>
      <c r="BF30" s="447">
        <v>0</v>
      </c>
      <c r="BG30" s="447">
        <v>0</v>
      </c>
      <c r="BH30" s="447">
        <v>0</v>
      </c>
      <c r="BI30" s="447">
        <v>0</v>
      </c>
      <c r="BJ30" s="447">
        <v>0</v>
      </c>
      <c r="BK30" s="448">
        <f t="shared" si="0"/>
        <v>1.0000000000000004</v>
      </c>
    </row>
    <row r="31" spans="1:63" ht="15" customHeight="1" x14ac:dyDescent="0.25">
      <c r="A31" s="438" t="s">
        <v>768</v>
      </c>
      <c r="B31" s="446" t="s">
        <v>758</v>
      </c>
      <c r="C31" s="447">
        <v>0.01</v>
      </c>
      <c r="D31" s="447">
        <v>0.01</v>
      </c>
      <c r="E31" s="447">
        <v>0.01</v>
      </c>
      <c r="F31" s="447">
        <v>0.02</v>
      </c>
      <c r="G31" s="447">
        <v>0.02</v>
      </c>
      <c r="H31" s="447">
        <v>0.02</v>
      </c>
      <c r="I31" s="447">
        <v>0.02</v>
      </c>
      <c r="J31" s="447">
        <v>0.02</v>
      </c>
      <c r="K31" s="447">
        <v>0.02</v>
      </c>
      <c r="L31" s="447">
        <v>0.03</v>
      </c>
      <c r="M31" s="447">
        <v>0.03</v>
      </c>
      <c r="N31" s="447">
        <v>0.03</v>
      </c>
      <c r="O31" s="447">
        <v>0.03</v>
      </c>
      <c r="P31" s="447">
        <v>0.03</v>
      </c>
      <c r="Q31" s="447">
        <v>0.03</v>
      </c>
      <c r="R31" s="447">
        <v>0.04</v>
      </c>
      <c r="S31" s="447">
        <v>0.04</v>
      </c>
      <c r="T31" s="447">
        <v>0.04</v>
      </c>
      <c r="U31" s="447">
        <v>0.04</v>
      </c>
      <c r="V31" s="447">
        <v>0.04</v>
      </c>
      <c r="W31" s="447">
        <v>0.04</v>
      </c>
      <c r="X31" s="447">
        <v>0.04</v>
      </c>
      <c r="Y31" s="447">
        <v>0.03</v>
      </c>
      <c r="Z31" s="447">
        <v>0.03</v>
      </c>
      <c r="AA31" s="447">
        <v>0.03</v>
      </c>
      <c r="AB31" s="447">
        <v>0.03</v>
      </c>
      <c r="AC31" s="447">
        <v>0.03</v>
      </c>
      <c r="AD31" s="447">
        <v>0.02</v>
      </c>
      <c r="AE31" s="447">
        <v>0.02</v>
      </c>
      <c r="AF31" s="447">
        <v>0.02</v>
      </c>
      <c r="AG31" s="447">
        <v>0.02</v>
      </c>
      <c r="AH31" s="447">
        <v>0.02</v>
      </c>
      <c r="AI31" s="447">
        <v>0.02</v>
      </c>
      <c r="AJ31" s="447">
        <v>0.02</v>
      </c>
      <c r="AK31" s="447">
        <v>0.02</v>
      </c>
      <c r="AL31" s="447">
        <v>0.02</v>
      </c>
      <c r="AM31" s="447">
        <v>0.01</v>
      </c>
      <c r="AN31" s="447">
        <v>0.01</v>
      </c>
      <c r="AO31" s="447">
        <v>0.01</v>
      </c>
      <c r="AP31" s="447">
        <v>0.01</v>
      </c>
      <c r="AQ31" s="447">
        <v>0.01</v>
      </c>
      <c r="AR31" s="447">
        <v>0.01</v>
      </c>
      <c r="AS31" s="447">
        <v>0</v>
      </c>
      <c r="AT31" s="447">
        <v>0</v>
      </c>
      <c r="AU31" s="447">
        <v>0</v>
      </c>
      <c r="AV31" s="447">
        <v>0</v>
      </c>
      <c r="AW31" s="447">
        <v>0</v>
      </c>
      <c r="AX31" s="447">
        <v>0</v>
      </c>
      <c r="AY31" s="447">
        <v>0</v>
      </c>
      <c r="AZ31" s="447">
        <v>0</v>
      </c>
      <c r="BA31" s="447">
        <v>0</v>
      </c>
      <c r="BB31" s="447">
        <v>0</v>
      </c>
      <c r="BC31" s="447">
        <v>0</v>
      </c>
      <c r="BD31" s="447">
        <v>0</v>
      </c>
      <c r="BE31" s="447">
        <v>0</v>
      </c>
      <c r="BF31" s="447">
        <v>0</v>
      </c>
      <c r="BG31" s="447">
        <v>0</v>
      </c>
      <c r="BH31" s="447">
        <v>0</v>
      </c>
      <c r="BI31" s="447">
        <v>0</v>
      </c>
      <c r="BJ31" s="447">
        <v>0</v>
      </c>
      <c r="BK31" s="448">
        <f t="shared" si="0"/>
        <v>1.0000000000000004</v>
      </c>
    </row>
    <row r="32" spans="1:63" ht="15" customHeight="1" x14ac:dyDescent="0.25">
      <c r="A32" s="438" t="s">
        <v>769</v>
      </c>
      <c r="B32" s="446" t="s">
        <v>758</v>
      </c>
      <c r="C32" s="447">
        <v>0.01</v>
      </c>
      <c r="D32" s="447">
        <v>0.01</v>
      </c>
      <c r="E32" s="447">
        <v>0.01</v>
      </c>
      <c r="F32" s="447">
        <v>0.02</v>
      </c>
      <c r="G32" s="447">
        <v>0.02</v>
      </c>
      <c r="H32" s="447">
        <v>0.02</v>
      </c>
      <c r="I32" s="447">
        <v>0.02</v>
      </c>
      <c r="J32" s="447">
        <v>0.02</v>
      </c>
      <c r="K32" s="447">
        <v>0.02</v>
      </c>
      <c r="L32" s="447">
        <v>0.03</v>
      </c>
      <c r="M32" s="447">
        <v>0.03</v>
      </c>
      <c r="N32" s="447">
        <v>0.03</v>
      </c>
      <c r="O32" s="447">
        <v>0.03</v>
      </c>
      <c r="P32" s="447">
        <v>0.03</v>
      </c>
      <c r="Q32" s="447">
        <v>0.03</v>
      </c>
      <c r="R32" s="447">
        <v>0.04</v>
      </c>
      <c r="S32" s="447">
        <v>0.04</v>
      </c>
      <c r="T32" s="447">
        <v>0.04</v>
      </c>
      <c r="U32" s="447">
        <v>0.04</v>
      </c>
      <c r="V32" s="447">
        <v>0.04</v>
      </c>
      <c r="W32" s="447">
        <v>0.04</v>
      </c>
      <c r="X32" s="447">
        <v>0.04</v>
      </c>
      <c r="Y32" s="447">
        <v>0.03</v>
      </c>
      <c r="Z32" s="447">
        <v>0.03</v>
      </c>
      <c r="AA32" s="447">
        <v>0.03</v>
      </c>
      <c r="AB32" s="447">
        <v>0.03</v>
      </c>
      <c r="AC32" s="447">
        <v>0.03</v>
      </c>
      <c r="AD32" s="447">
        <v>0.02</v>
      </c>
      <c r="AE32" s="447">
        <v>0.02</v>
      </c>
      <c r="AF32" s="447">
        <v>0.02</v>
      </c>
      <c r="AG32" s="447">
        <v>0.02</v>
      </c>
      <c r="AH32" s="447">
        <v>0.02</v>
      </c>
      <c r="AI32" s="447">
        <v>0.02</v>
      </c>
      <c r="AJ32" s="447">
        <v>0.02</v>
      </c>
      <c r="AK32" s="447">
        <v>0.02</v>
      </c>
      <c r="AL32" s="447">
        <v>0.02</v>
      </c>
      <c r="AM32" s="447">
        <v>0.01</v>
      </c>
      <c r="AN32" s="447">
        <v>0.01</v>
      </c>
      <c r="AO32" s="447">
        <v>0.01</v>
      </c>
      <c r="AP32" s="447">
        <v>0.01</v>
      </c>
      <c r="AQ32" s="447">
        <v>0.01</v>
      </c>
      <c r="AR32" s="447">
        <v>0.01</v>
      </c>
      <c r="AS32" s="447">
        <v>0</v>
      </c>
      <c r="AT32" s="447">
        <v>0</v>
      </c>
      <c r="AU32" s="447">
        <v>0</v>
      </c>
      <c r="AV32" s="447">
        <v>0</v>
      </c>
      <c r="AW32" s="447">
        <v>0</v>
      </c>
      <c r="AX32" s="447">
        <v>0</v>
      </c>
      <c r="AY32" s="447">
        <v>0</v>
      </c>
      <c r="AZ32" s="447">
        <v>0</v>
      </c>
      <c r="BA32" s="447">
        <v>0</v>
      </c>
      <c r="BB32" s="447">
        <v>0</v>
      </c>
      <c r="BC32" s="447">
        <v>0</v>
      </c>
      <c r="BD32" s="447">
        <v>0</v>
      </c>
      <c r="BE32" s="447">
        <v>0</v>
      </c>
      <c r="BF32" s="447">
        <v>0</v>
      </c>
      <c r="BG32" s="447">
        <v>0</v>
      </c>
      <c r="BH32" s="447">
        <v>0</v>
      </c>
      <c r="BI32" s="447">
        <v>0</v>
      </c>
      <c r="BJ32" s="447">
        <v>0</v>
      </c>
      <c r="BK32" s="448">
        <f t="shared" si="0"/>
        <v>1.0000000000000004</v>
      </c>
    </row>
    <row r="33" spans="1:63" ht="15" customHeight="1" x14ac:dyDescent="0.25">
      <c r="A33" s="438" t="s">
        <v>770</v>
      </c>
      <c r="B33" s="446" t="s">
        <v>758</v>
      </c>
      <c r="C33" s="447">
        <v>0.01</v>
      </c>
      <c r="D33" s="447">
        <v>0.01</v>
      </c>
      <c r="E33" s="447">
        <v>0.01</v>
      </c>
      <c r="F33" s="447">
        <v>0.02</v>
      </c>
      <c r="G33" s="447">
        <v>0.02</v>
      </c>
      <c r="H33" s="447">
        <v>0.02</v>
      </c>
      <c r="I33" s="447">
        <v>0.02</v>
      </c>
      <c r="J33" s="447">
        <v>0.02</v>
      </c>
      <c r="K33" s="447">
        <v>0.02</v>
      </c>
      <c r="L33" s="447">
        <v>0.03</v>
      </c>
      <c r="M33" s="447">
        <v>0.03</v>
      </c>
      <c r="N33" s="447">
        <v>0.03</v>
      </c>
      <c r="O33" s="447">
        <v>0.03</v>
      </c>
      <c r="P33" s="447">
        <v>0.03</v>
      </c>
      <c r="Q33" s="447">
        <v>0.03</v>
      </c>
      <c r="R33" s="447">
        <v>0.04</v>
      </c>
      <c r="S33" s="447">
        <v>0.04</v>
      </c>
      <c r="T33" s="447">
        <v>0.04</v>
      </c>
      <c r="U33" s="447">
        <v>0.04</v>
      </c>
      <c r="V33" s="447">
        <v>0.04</v>
      </c>
      <c r="W33" s="447">
        <v>0.04</v>
      </c>
      <c r="X33" s="447">
        <v>0.04</v>
      </c>
      <c r="Y33" s="447">
        <v>0.03</v>
      </c>
      <c r="Z33" s="447">
        <v>0.03</v>
      </c>
      <c r="AA33" s="447">
        <v>0.03</v>
      </c>
      <c r="AB33" s="447">
        <v>0.03</v>
      </c>
      <c r="AC33" s="447">
        <v>0.03</v>
      </c>
      <c r="AD33" s="447">
        <v>0.02</v>
      </c>
      <c r="AE33" s="447">
        <v>0.02</v>
      </c>
      <c r="AF33" s="447">
        <v>0.02</v>
      </c>
      <c r="AG33" s="447">
        <v>0.02</v>
      </c>
      <c r="AH33" s="447">
        <v>0.02</v>
      </c>
      <c r="AI33" s="447">
        <v>0.02</v>
      </c>
      <c r="AJ33" s="447">
        <v>0.02</v>
      </c>
      <c r="AK33" s="447">
        <v>0.02</v>
      </c>
      <c r="AL33" s="447">
        <v>0.02</v>
      </c>
      <c r="AM33" s="447">
        <v>0.01</v>
      </c>
      <c r="AN33" s="447">
        <v>0.01</v>
      </c>
      <c r="AO33" s="447">
        <v>0.01</v>
      </c>
      <c r="AP33" s="447">
        <v>0.01</v>
      </c>
      <c r="AQ33" s="447">
        <v>0.01</v>
      </c>
      <c r="AR33" s="447">
        <v>0.01</v>
      </c>
      <c r="AS33" s="447">
        <v>0</v>
      </c>
      <c r="AT33" s="447">
        <v>0</v>
      </c>
      <c r="AU33" s="447">
        <v>0</v>
      </c>
      <c r="AV33" s="447">
        <v>0</v>
      </c>
      <c r="AW33" s="447">
        <v>0</v>
      </c>
      <c r="AX33" s="447">
        <v>0</v>
      </c>
      <c r="AY33" s="447">
        <v>0</v>
      </c>
      <c r="AZ33" s="447">
        <v>0</v>
      </c>
      <c r="BA33" s="447">
        <v>0</v>
      </c>
      <c r="BB33" s="447">
        <v>0</v>
      </c>
      <c r="BC33" s="447">
        <v>0</v>
      </c>
      <c r="BD33" s="447">
        <v>0</v>
      </c>
      <c r="BE33" s="447">
        <v>0</v>
      </c>
      <c r="BF33" s="447">
        <v>0</v>
      </c>
      <c r="BG33" s="447">
        <v>0</v>
      </c>
      <c r="BH33" s="447">
        <v>0</v>
      </c>
      <c r="BI33" s="447">
        <v>0</v>
      </c>
      <c r="BJ33" s="447">
        <v>0</v>
      </c>
      <c r="BK33" s="448">
        <f t="shared" si="0"/>
        <v>1.0000000000000004</v>
      </c>
    </row>
    <row r="34" spans="1:63" ht="15" customHeight="1" x14ac:dyDescent="0.25">
      <c r="A34" s="438" t="s">
        <v>771</v>
      </c>
      <c r="B34" s="446" t="s">
        <v>758</v>
      </c>
      <c r="C34" s="447">
        <v>0.01</v>
      </c>
      <c r="D34" s="447">
        <v>0.01</v>
      </c>
      <c r="E34" s="447">
        <v>0.01</v>
      </c>
      <c r="F34" s="447">
        <v>0.02</v>
      </c>
      <c r="G34" s="447">
        <v>0.02</v>
      </c>
      <c r="H34" s="447">
        <v>0.02</v>
      </c>
      <c r="I34" s="447">
        <v>0.02</v>
      </c>
      <c r="J34" s="447">
        <v>0.02</v>
      </c>
      <c r="K34" s="447">
        <v>0.02</v>
      </c>
      <c r="L34" s="447">
        <v>0.03</v>
      </c>
      <c r="M34" s="447">
        <v>0.03</v>
      </c>
      <c r="N34" s="447">
        <v>0.03</v>
      </c>
      <c r="O34" s="447">
        <v>0.03</v>
      </c>
      <c r="P34" s="447">
        <v>0.03</v>
      </c>
      <c r="Q34" s="447">
        <v>0.03</v>
      </c>
      <c r="R34" s="447">
        <v>0.04</v>
      </c>
      <c r="S34" s="447">
        <v>0.04</v>
      </c>
      <c r="T34" s="447">
        <v>0.04</v>
      </c>
      <c r="U34" s="447">
        <v>0.04</v>
      </c>
      <c r="V34" s="447">
        <v>0.04</v>
      </c>
      <c r="W34" s="447">
        <v>0.04</v>
      </c>
      <c r="X34" s="447">
        <v>0.04</v>
      </c>
      <c r="Y34" s="447">
        <v>0.03</v>
      </c>
      <c r="Z34" s="447">
        <v>0.03</v>
      </c>
      <c r="AA34" s="447">
        <v>0.03</v>
      </c>
      <c r="AB34" s="447">
        <v>0.03</v>
      </c>
      <c r="AC34" s="447">
        <v>0.03</v>
      </c>
      <c r="AD34" s="447">
        <v>0.02</v>
      </c>
      <c r="AE34" s="447">
        <v>0.02</v>
      </c>
      <c r="AF34" s="447">
        <v>0.02</v>
      </c>
      <c r="AG34" s="447">
        <v>0.02</v>
      </c>
      <c r="AH34" s="447">
        <v>0.02</v>
      </c>
      <c r="AI34" s="447">
        <v>0.02</v>
      </c>
      <c r="AJ34" s="447">
        <v>0.02</v>
      </c>
      <c r="AK34" s="447">
        <v>0.02</v>
      </c>
      <c r="AL34" s="447">
        <v>0.02</v>
      </c>
      <c r="AM34" s="447">
        <v>0.01</v>
      </c>
      <c r="AN34" s="447">
        <v>0.01</v>
      </c>
      <c r="AO34" s="447">
        <v>0.01</v>
      </c>
      <c r="AP34" s="447">
        <v>0.01</v>
      </c>
      <c r="AQ34" s="447">
        <v>0.01</v>
      </c>
      <c r="AR34" s="447">
        <v>0.01</v>
      </c>
      <c r="AS34" s="447">
        <v>0</v>
      </c>
      <c r="AT34" s="447">
        <v>0</v>
      </c>
      <c r="AU34" s="447">
        <v>0</v>
      </c>
      <c r="AV34" s="447">
        <v>0</v>
      </c>
      <c r="AW34" s="447">
        <v>0</v>
      </c>
      <c r="AX34" s="447">
        <v>0</v>
      </c>
      <c r="AY34" s="447">
        <v>0</v>
      </c>
      <c r="AZ34" s="447">
        <v>0</v>
      </c>
      <c r="BA34" s="447">
        <v>0</v>
      </c>
      <c r="BB34" s="447">
        <v>0</v>
      </c>
      <c r="BC34" s="447">
        <v>0</v>
      </c>
      <c r="BD34" s="447">
        <v>0</v>
      </c>
      <c r="BE34" s="447">
        <v>0</v>
      </c>
      <c r="BF34" s="447">
        <v>0</v>
      </c>
      <c r="BG34" s="447">
        <v>0</v>
      </c>
      <c r="BH34" s="447">
        <v>0</v>
      </c>
      <c r="BI34" s="447">
        <v>0</v>
      </c>
      <c r="BJ34" s="447">
        <v>0</v>
      </c>
      <c r="BK34" s="448">
        <f t="shared" si="0"/>
        <v>1.0000000000000004</v>
      </c>
    </row>
    <row r="35" spans="1:63" ht="15" customHeight="1" x14ac:dyDescent="0.25">
      <c r="A35" s="438" t="s">
        <v>772</v>
      </c>
      <c r="B35" s="446" t="s">
        <v>758</v>
      </c>
      <c r="C35" s="447">
        <v>0.01</v>
      </c>
      <c r="D35" s="447">
        <v>0.01</v>
      </c>
      <c r="E35" s="447">
        <v>0.01</v>
      </c>
      <c r="F35" s="447">
        <v>0.02</v>
      </c>
      <c r="G35" s="447">
        <v>0.02</v>
      </c>
      <c r="H35" s="447">
        <v>0.02</v>
      </c>
      <c r="I35" s="447">
        <v>0.02</v>
      </c>
      <c r="J35" s="447">
        <v>0.02</v>
      </c>
      <c r="K35" s="447">
        <v>0.02</v>
      </c>
      <c r="L35" s="447">
        <v>0.03</v>
      </c>
      <c r="M35" s="447">
        <v>0.03</v>
      </c>
      <c r="N35" s="447">
        <v>0.03</v>
      </c>
      <c r="O35" s="447">
        <v>0.03</v>
      </c>
      <c r="P35" s="447">
        <v>0.03</v>
      </c>
      <c r="Q35" s="447">
        <v>0.03</v>
      </c>
      <c r="R35" s="447">
        <v>0.04</v>
      </c>
      <c r="S35" s="447">
        <v>0.04</v>
      </c>
      <c r="T35" s="447">
        <v>0.04</v>
      </c>
      <c r="U35" s="447">
        <v>0.04</v>
      </c>
      <c r="V35" s="447">
        <v>0.04</v>
      </c>
      <c r="W35" s="447">
        <v>0.04</v>
      </c>
      <c r="X35" s="447">
        <v>0.04</v>
      </c>
      <c r="Y35" s="447">
        <v>0.03</v>
      </c>
      <c r="Z35" s="447">
        <v>0.03</v>
      </c>
      <c r="AA35" s="447">
        <v>0.03</v>
      </c>
      <c r="AB35" s="447">
        <v>0.03</v>
      </c>
      <c r="AC35" s="447">
        <v>0.03</v>
      </c>
      <c r="AD35" s="447">
        <v>0.02</v>
      </c>
      <c r="AE35" s="447">
        <v>0.02</v>
      </c>
      <c r="AF35" s="447">
        <v>0.02</v>
      </c>
      <c r="AG35" s="447">
        <v>0.02</v>
      </c>
      <c r="AH35" s="447">
        <v>0.02</v>
      </c>
      <c r="AI35" s="447">
        <v>0.02</v>
      </c>
      <c r="AJ35" s="447">
        <v>0.02</v>
      </c>
      <c r="AK35" s="447">
        <v>0.02</v>
      </c>
      <c r="AL35" s="447">
        <v>0.02</v>
      </c>
      <c r="AM35" s="447">
        <v>0.01</v>
      </c>
      <c r="AN35" s="447">
        <v>0.01</v>
      </c>
      <c r="AO35" s="447">
        <v>0.01</v>
      </c>
      <c r="AP35" s="447">
        <v>0.01</v>
      </c>
      <c r="AQ35" s="447">
        <v>0.01</v>
      </c>
      <c r="AR35" s="447">
        <v>0.01</v>
      </c>
      <c r="AS35" s="447">
        <v>0</v>
      </c>
      <c r="AT35" s="447">
        <v>0</v>
      </c>
      <c r="AU35" s="447">
        <v>0</v>
      </c>
      <c r="AV35" s="447">
        <v>0</v>
      </c>
      <c r="AW35" s="447">
        <v>0</v>
      </c>
      <c r="AX35" s="447">
        <v>0</v>
      </c>
      <c r="AY35" s="447">
        <v>0</v>
      </c>
      <c r="AZ35" s="447">
        <v>0</v>
      </c>
      <c r="BA35" s="447">
        <v>0</v>
      </c>
      <c r="BB35" s="447">
        <v>0</v>
      </c>
      <c r="BC35" s="447">
        <v>0</v>
      </c>
      <c r="BD35" s="447">
        <v>0</v>
      </c>
      <c r="BE35" s="447">
        <v>0</v>
      </c>
      <c r="BF35" s="447">
        <v>0</v>
      </c>
      <c r="BG35" s="447">
        <v>0</v>
      </c>
      <c r="BH35" s="447">
        <v>0</v>
      </c>
      <c r="BI35" s="447">
        <v>0</v>
      </c>
      <c r="BJ35" s="447">
        <v>0</v>
      </c>
      <c r="BK35" s="448">
        <f t="shared" si="0"/>
        <v>1.0000000000000004</v>
      </c>
    </row>
    <row r="36" spans="1:63" ht="15" customHeight="1" x14ac:dyDescent="0.25">
      <c r="A36" s="438" t="s">
        <v>773</v>
      </c>
      <c r="B36" s="446" t="s">
        <v>758</v>
      </c>
      <c r="C36" s="447">
        <v>0.01</v>
      </c>
      <c r="D36" s="447">
        <v>0.01</v>
      </c>
      <c r="E36" s="447">
        <v>0.01</v>
      </c>
      <c r="F36" s="447">
        <v>0.02</v>
      </c>
      <c r="G36" s="447">
        <v>0.02</v>
      </c>
      <c r="H36" s="447">
        <v>0.02</v>
      </c>
      <c r="I36" s="447">
        <v>0.02</v>
      </c>
      <c r="J36" s="447">
        <v>0.02</v>
      </c>
      <c r="K36" s="447">
        <v>0.02</v>
      </c>
      <c r="L36" s="447">
        <v>0.03</v>
      </c>
      <c r="M36" s="447">
        <v>0.03</v>
      </c>
      <c r="N36" s="447">
        <v>0.03</v>
      </c>
      <c r="O36" s="447">
        <v>0.03</v>
      </c>
      <c r="P36" s="447">
        <v>0.03</v>
      </c>
      <c r="Q36" s="447">
        <v>0.03</v>
      </c>
      <c r="R36" s="447">
        <v>0.04</v>
      </c>
      <c r="S36" s="447">
        <v>0.04</v>
      </c>
      <c r="T36" s="447">
        <v>0.04</v>
      </c>
      <c r="U36" s="447">
        <v>0.04</v>
      </c>
      <c r="V36" s="447">
        <v>0.04</v>
      </c>
      <c r="W36" s="447">
        <v>0.04</v>
      </c>
      <c r="X36" s="447">
        <v>0.04</v>
      </c>
      <c r="Y36" s="447">
        <v>0.03</v>
      </c>
      <c r="Z36" s="447">
        <v>0.03</v>
      </c>
      <c r="AA36" s="447">
        <v>0.03</v>
      </c>
      <c r="AB36" s="447">
        <v>0.03</v>
      </c>
      <c r="AC36" s="447">
        <v>0.03</v>
      </c>
      <c r="AD36" s="447">
        <v>0.02</v>
      </c>
      <c r="AE36" s="447">
        <v>0.02</v>
      </c>
      <c r="AF36" s="447">
        <v>0.02</v>
      </c>
      <c r="AG36" s="447">
        <v>0.02</v>
      </c>
      <c r="AH36" s="447">
        <v>0.02</v>
      </c>
      <c r="AI36" s="447">
        <v>0.02</v>
      </c>
      <c r="AJ36" s="447">
        <v>0.02</v>
      </c>
      <c r="AK36" s="447">
        <v>0.02</v>
      </c>
      <c r="AL36" s="447">
        <v>0.02</v>
      </c>
      <c r="AM36" s="447">
        <v>0.01</v>
      </c>
      <c r="AN36" s="447">
        <v>0.01</v>
      </c>
      <c r="AO36" s="447">
        <v>0.01</v>
      </c>
      <c r="AP36" s="447">
        <v>0.01</v>
      </c>
      <c r="AQ36" s="447">
        <v>0.01</v>
      </c>
      <c r="AR36" s="447">
        <v>0.01</v>
      </c>
      <c r="AS36" s="447">
        <v>0</v>
      </c>
      <c r="AT36" s="447">
        <v>0</v>
      </c>
      <c r="AU36" s="447">
        <v>0</v>
      </c>
      <c r="AV36" s="447">
        <v>0</v>
      </c>
      <c r="AW36" s="447">
        <v>0</v>
      </c>
      <c r="AX36" s="447">
        <v>0</v>
      </c>
      <c r="AY36" s="447">
        <v>0</v>
      </c>
      <c r="AZ36" s="447">
        <v>0</v>
      </c>
      <c r="BA36" s="447">
        <v>0</v>
      </c>
      <c r="BB36" s="447">
        <v>0</v>
      </c>
      <c r="BC36" s="447">
        <v>0</v>
      </c>
      <c r="BD36" s="447">
        <v>0</v>
      </c>
      <c r="BE36" s="447">
        <v>0</v>
      </c>
      <c r="BF36" s="447">
        <v>0</v>
      </c>
      <c r="BG36" s="447">
        <v>0</v>
      </c>
      <c r="BH36" s="447">
        <v>0</v>
      </c>
      <c r="BI36" s="447">
        <v>0</v>
      </c>
      <c r="BJ36" s="447">
        <v>0</v>
      </c>
      <c r="BK36" s="448">
        <f t="shared" si="0"/>
        <v>1.0000000000000004</v>
      </c>
    </row>
    <row r="37" spans="1:63" ht="15" customHeight="1" x14ac:dyDescent="0.25">
      <c r="A37" s="438" t="s">
        <v>774</v>
      </c>
      <c r="B37" s="446" t="s">
        <v>758</v>
      </c>
      <c r="C37" s="447">
        <v>0.01</v>
      </c>
      <c r="D37" s="447">
        <v>0.01</v>
      </c>
      <c r="E37" s="447">
        <v>0.01</v>
      </c>
      <c r="F37" s="447">
        <v>0.02</v>
      </c>
      <c r="G37" s="447">
        <v>0.02</v>
      </c>
      <c r="H37" s="447">
        <v>0.02</v>
      </c>
      <c r="I37" s="447">
        <v>0.02</v>
      </c>
      <c r="J37" s="447">
        <v>0.02</v>
      </c>
      <c r="K37" s="447">
        <v>0.02</v>
      </c>
      <c r="L37" s="447">
        <v>0.03</v>
      </c>
      <c r="M37" s="447">
        <v>0.03</v>
      </c>
      <c r="N37" s="447">
        <v>0.03</v>
      </c>
      <c r="O37" s="447">
        <v>0.03</v>
      </c>
      <c r="P37" s="447">
        <v>0.03</v>
      </c>
      <c r="Q37" s="447">
        <v>0.03</v>
      </c>
      <c r="R37" s="447">
        <v>0.04</v>
      </c>
      <c r="S37" s="447">
        <v>0.04</v>
      </c>
      <c r="T37" s="447">
        <v>0.04</v>
      </c>
      <c r="U37" s="447">
        <v>0.04</v>
      </c>
      <c r="V37" s="447">
        <v>0.04</v>
      </c>
      <c r="W37" s="447">
        <v>0.04</v>
      </c>
      <c r="X37" s="447">
        <v>0.04</v>
      </c>
      <c r="Y37" s="447">
        <v>0.03</v>
      </c>
      <c r="Z37" s="447">
        <v>0.03</v>
      </c>
      <c r="AA37" s="447">
        <v>0.03</v>
      </c>
      <c r="AB37" s="447">
        <v>0.03</v>
      </c>
      <c r="AC37" s="447">
        <v>0.03</v>
      </c>
      <c r="AD37" s="447">
        <v>0.02</v>
      </c>
      <c r="AE37" s="447">
        <v>0.02</v>
      </c>
      <c r="AF37" s="447">
        <v>0.02</v>
      </c>
      <c r="AG37" s="447">
        <v>0.02</v>
      </c>
      <c r="AH37" s="447">
        <v>0.02</v>
      </c>
      <c r="AI37" s="447">
        <v>0.02</v>
      </c>
      <c r="AJ37" s="447">
        <v>0.02</v>
      </c>
      <c r="AK37" s="447">
        <v>0.02</v>
      </c>
      <c r="AL37" s="447">
        <v>0.02</v>
      </c>
      <c r="AM37" s="447">
        <v>0.01</v>
      </c>
      <c r="AN37" s="447">
        <v>0.01</v>
      </c>
      <c r="AO37" s="447">
        <v>0.01</v>
      </c>
      <c r="AP37" s="447">
        <v>0.01</v>
      </c>
      <c r="AQ37" s="447">
        <v>0.01</v>
      </c>
      <c r="AR37" s="447">
        <v>0.01</v>
      </c>
      <c r="AS37" s="447">
        <v>0</v>
      </c>
      <c r="AT37" s="447">
        <v>0</v>
      </c>
      <c r="AU37" s="447">
        <v>0</v>
      </c>
      <c r="AV37" s="447">
        <v>0</v>
      </c>
      <c r="AW37" s="447">
        <v>0</v>
      </c>
      <c r="AX37" s="447">
        <v>0</v>
      </c>
      <c r="AY37" s="447">
        <v>0</v>
      </c>
      <c r="AZ37" s="447">
        <v>0</v>
      </c>
      <c r="BA37" s="447">
        <v>0</v>
      </c>
      <c r="BB37" s="447">
        <v>0</v>
      </c>
      <c r="BC37" s="447">
        <v>0</v>
      </c>
      <c r="BD37" s="447">
        <v>0</v>
      </c>
      <c r="BE37" s="447">
        <v>0</v>
      </c>
      <c r="BF37" s="447">
        <v>0</v>
      </c>
      <c r="BG37" s="447">
        <v>0</v>
      </c>
      <c r="BH37" s="447">
        <v>0</v>
      </c>
      <c r="BI37" s="447">
        <v>0</v>
      </c>
      <c r="BJ37" s="447">
        <v>0</v>
      </c>
      <c r="BK37" s="448">
        <f t="shared" si="0"/>
        <v>1.0000000000000004</v>
      </c>
    </row>
    <row r="38" spans="1:63" ht="15" customHeight="1" x14ac:dyDescent="0.25">
      <c r="A38" s="438" t="s">
        <v>775</v>
      </c>
      <c r="B38" s="446" t="s">
        <v>758</v>
      </c>
      <c r="C38" s="447">
        <v>0.01</v>
      </c>
      <c r="D38" s="447">
        <v>0.01</v>
      </c>
      <c r="E38" s="447">
        <v>0.01</v>
      </c>
      <c r="F38" s="447">
        <v>0.02</v>
      </c>
      <c r="G38" s="447">
        <v>0.02</v>
      </c>
      <c r="H38" s="447">
        <v>0.02</v>
      </c>
      <c r="I38" s="447">
        <v>0.02</v>
      </c>
      <c r="J38" s="447">
        <v>0.02</v>
      </c>
      <c r="K38" s="447">
        <v>0.02</v>
      </c>
      <c r="L38" s="447">
        <v>0.03</v>
      </c>
      <c r="M38" s="447">
        <v>0.03</v>
      </c>
      <c r="N38" s="447">
        <v>0.03</v>
      </c>
      <c r="O38" s="447">
        <v>0.03</v>
      </c>
      <c r="P38" s="447">
        <v>0.03</v>
      </c>
      <c r="Q38" s="447">
        <v>0.03</v>
      </c>
      <c r="R38" s="447">
        <v>0.04</v>
      </c>
      <c r="S38" s="447">
        <v>0.04</v>
      </c>
      <c r="T38" s="447">
        <v>0.04</v>
      </c>
      <c r="U38" s="447">
        <v>0.04</v>
      </c>
      <c r="V38" s="447">
        <v>0.04</v>
      </c>
      <c r="W38" s="447">
        <v>0.04</v>
      </c>
      <c r="X38" s="447">
        <v>0.04</v>
      </c>
      <c r="Y38" s="447">
        <v>0.03</v>
      </c>
      <c r="Z38" s="447">
        <v>0.03</v>
      </c>
      <c r="AA38" s="447">
        <v>0.03</v>
      </c>
      <c r="AB38" s="447">
        <v>0.03</v>
      </c>
      <c r="AC38" s="447">
        <v>0.03</v>
      </c>
      <c r="AD38" s="447">
        <v>0.02</v>
      </c>
      <c r="AE38" s="447">
        <v>0.02</v>
      </c>
      <c r="AF38" s="447">
        <v>0.02</v>
      </c>
      <c r="AG38" s="447">
        <v>0.02</v>
      </c>
      <c r="AH38" s="447">
        <v>0.02</v>
      </c>
      <c r="AI38" s="447">
        <v>0.02</v>
      </c>
      <c r="AJ38" s="447">
        <v>0.02</v>
      </c>
      <c r="AK38" s="447">
        <v>0.02</v>
      </c>
      <c r="AL38" s="447">
        <v>0.02</v>
      </c>
      <c r="AM38" s="447">
        <v>0.01</v>
      </c>
      <c r="AN38" s="447">
        <v>0.01</v>
      </c>
      <c r="AO38" s="447">
        <v>0.01</v>
      </c>
      <c r="AP38" s="447">
        <v>0.01</v>
      </c>
      <c r="AQ38" s="447">
        <v>0.01</v>
      </c>
      <c r="AR38" s="447">
        <v>0.01</v>
      </c>
      <c r="AS38" s="447">
        <v>0</v>
      </c>
      <c r="AT38" s="447">
        <v>0</v>
      </c>
      <c r="AU38" s="447">
        <v>0</v>
      </c>
      <c r="AV38" s="447">
        <v>0</v>
      </c>
      <c r="AW38" s="447">
        <v>0</v>
      </c>
      <c r="AX38" s="447">
        <v>0</v>
      </c>
      <c r="AY38" s="447">
        <v>0</v>
      </c>
      <c r="AZ38" s="447">
        <v>0</v>
      </c>
      <c r="BA38" s="447">
        <v>0</v>
      </c>
      <c r="BB38" s="447">
        <v>0</v>
      </c>
      <c r="BC38" s="447">
        <v>0</v>
      </c>
      <c r="BD38" s="447">
        <v>0</v>
      </c>
      <c r="BE38" s="447">
        <v>0</v>
      </c>
      <c r="BF38" s="447">
        <v>0</v>
      </c>
      <c r="BG38" s="447">
        <v>0</v>
      </c>
      <c r="BH38" s="447">
        <v>0</v>
      </c>
      <c r="BI38" s="447">
        <v>0</v>
      </c>
      <c r="BJ38" s="447">
        <v>0</v>
      </c>
      <c r="BK38" s="448">
        <f t="shared" si="0"/>
        <v>1.0000000000000004</v>
      </c>
    </row>
    <row r="39" spans="1:63" ht="15" customHeight="1" x14ac:dyDescent="0.25">
      <c r="A39" s="438" t="s">
        <v>776</v>
      </c>
      <c r="B39" s="446" t="s">
        <v>758</v>
      </c>
      <c r="C39" s="447">
        <v>0.01</v>
      </c>
      <c r="D39" s="447">
        <v>0.01</v>
      </c>
      <c r="E39" s="447">
        <v>0.01</v>
      </c>
      <c r="F39" s="447">
        <v>0.02</v>
      </c>
      <c r="G39" s="447">
        <v>0.02</v>
      </c>
      <c r="H39" s="447">
        <v>0.02</v>
      </c>
      <c r="I39" s="447">
        <v>0.02</v>
      </c>
      <c r="J39" s="447">
        <v>0.02</v>
      </c>
      <c r="K39" s="447">
        <v>0.02</v>
      </c>
      <c r="L39" s="447">
        <v>0.03</v>
      </c>
      <c r="M39" s="447">
        <v>0.03</v>
      </c>
      <c r="N39" s="447">
        <v>0.03</v>
      </c>
      <c r="O39" s="447">
        <v>0.03</v>
      </c>
      <c r="P39" s="447">
        <v>0.03</v>
      </c>
      <c r="Q39" s="447">
        <v>0.03</v>
      </c>
      <c r="R39" s="447">
        <v>0.04</v>
      </c>
      <c r="S39" s="447">
        <v>0.04</v>
      </c>
      <c r="T39" s="447">
        <v>0.04</v>
      </c>
      <c r="U39" s="447">
        <v>0.04</v>
      </c>
      <c r="V39" s="447">
        <v>0.04</v>
      </c>
      <c r="W39" s="447">
        <v>0.04</v>
      </c>
      <c r="X39" s="447">
        <v>0.04</v>
      </c>
      <c r="Y39" s="447">
        <v>0.03</v>
      </c>
      <c r="Z39" s="447">
        <v>0.03</v>
      </c>
      <c r="AA39" s="447">
        <v>0.03</v>
      </c>
      <c r="AB39" s="447">
        <v>0.03</v>
      </c>
      <c r="AC39" s="447">
        <v>0.03</v>
      </c>
      <c r="AD39" s="447">
        <v>0.02</v>
      </c>
      <c r="AE39" s="447">
        <v>0.02</v>
      </c>
      <c r="AF39" s="447">
        <v>0.02</v>
      </c>
      <c r="AG39" s="447">
        <v>0.02</v>
      </c>
      <c r="AH39" s="447">
        <v>0.02</v>
      </c>
      <c r="AI39" s="447">
        <v>0.02</v>
      </c>
      <c r="AJ39" s="447">
        <v>0.02</v>
      </c>
      <c r="AK39" s="447">
        <v>0.02</v>
      </c>
      <c r="AL39" s="447">
        <v>0.02</v>
      </c>
      <c r="AM39" s="447">
        <v>0.01</v>
      </c>
      <c r="AN39" s="447">
        <v>0.01</v>
      </c>
      <c r="AO39" s="447">
        <v>0.01</v>
      </c>
      <c r="AP39" s="447">
        <v>0.01</v>
      </c>
      <c r="AQ39" s="447">
        <v>0.01</v>
      </c>
      <c r="AR39" s="447">
        <v>0.01</v>
      </c>
      <c r="AS39" s="447">
        <v>0</v>
      </c>
      <c r="AT39" s="447">
        <v>0</v>
      </c>
      <c r="AU39" s="447">
        <v>0</v>
      </c>
      <c r="AV39" s="447">
        <v>0</v>
      </c>
      <c r="AW39" s="447">
        <v>0</v>
      </c>
      <c r="AX39" s="447">
        <v>0</v>
      </c>
      <c r="AY39" s="447">
        <v>0</v>
      </c>
      <c r="AZ39" s="447">
        <v>0</v>
      </c>
      <c r="BA39" s="447">
        <v>0</v>
      </c>
      <c r="BB39" s="447">
        <v>0</v>
      </c>
      <c r="BC39" s="447">
        <v>0</v>
      </c>
      <c r="BD39" s="447">
        <v>0</v>
      </c>
      <c r="BE39" s="447">
        <v>0</v>
      </c>
      <c r="BF39" s="447">
        <v>0</v>
      </c>
      <c r="BG39" s="447">
        <v>0</v>
      </c>
      <c r="BH39" s="447">
        <v>0</v>
      </c>
      <c r="BI39" s="447">
        <v>0</v>
      </c>
      <c r="BJ39" s="447">
        <v>0</v>
      </c>
      <c r="BK39" s="448">
        <f t="shared" si="0"/>
        <v>1.0000000000000004</v>
      </c>
    </row>
    <row r="40" spans="1:63" ht="15" customHeight="1" x14ac:dyDescent="0.25">
      <c r="A40" s="438" t="s">
        <v>777</v>
      </c>
      <c r="B40" s="446" t="s">
        <v>764</v>
      </c>
      <c r="C40" s="447">
        <v>0.02</v>
      </c>
      <c r="D40" s="447">
        <v>0.03</v>
      </c>
      <c r="E40" s="447">
        <v>0.03</v>
      </c>
      <c r="F40" s="447">
        <v>0.04</v>
      </c>
      <c r="G40" s="447">
        <v>0.04</v>
      </c>
      <c r="H40" s="447">
        <v>0.04</v>
      </c>
      <c r="I40" s="447">
        <v>0.04</v>
      </c>
      <c r="J40" s="447">
        <v>0.04</v>
      </c>
      <c r="K40" s="447">
        <v>0.05</v>
      </c>
      <c r="L40" s="447">
        <v>0.05</v>
      </c>
      <c r="M40" s="447">
        <v>0.05</v>
      </c>
      <c r="N40" s="447">
        <v>0.05</v>
      </c>
      <c r="O40" s="447">
        <v>0.05</v>
      </c>
      <c r="P40" s="447">
        <v>0.05</v>
      </c>
      <c r="Q40" s="447">
        <v>0.05</v>
      </c>
      <c r="R40" s="447">
        <v>0.05</v>
      </c>
      <c r="S40" s="447">
        <v>0.04</v>
      </c>
      <c r="T40" s="447">
        <v>0.04</v>
      </c>
      <c r="U40" s="447">
        <v>0.04</v>
      </c>
      <c r="V40" s="447">
        <v>0.04</v>
      </c>
      <c r="W40" s="447">
        <v>0.03</v>
      </c>
      <c r="X40" s="447">
        <v>0.03</v>
      </c>
      <c r="Y40" s="447">
        <v>0.02</v>
      </c>
      <c r="Z40" s="447">
        <v>0.02</v>
      </c>
      <c r="AA40" s="447">
        <v>0.01</v>
      </c>
      <c r="AB40" s="447">
        <v>0.01</v>
      </c>
      <c r="AC40" s="447">
        <v>0.01</v>
      </c>
      <c r="AD40" s="447">
        <v>0.01</v>
      </c>
      <c r="AE40" s="447">
        <v>0.01</v>
      </c>
      <c r="AF40" s="447">
        <v>0.01</v>
      </c>
      <c r="AG40" s="447">
        <v>0</v>
      </c>
      <c r="AH40" s="447">
        <v>0</v>
      </c>
      <c r="AI40" s="447">
        <v>0</v>
      </c>
      <c r="AJ40" s="447">
        <v>0</v>
      </c>
      <c r="AK40" s="447">
        <v>0</v>
      </c>
      <c r="AL40" s="447">
        <v>0</v>
      </c>
      <c r="AM40" s="447">
        <v>0</v>
      </c>
      <c r="AN40" s="447">
        <v>0</v>
      </c>
      <c r="AO40" s="447">
        <v>0</v>
      </c>
      <c r="AP40" s="447">
        <v>0</v>
      </c>
      <c r="AQ40" s="447">
        <v>0</v>
      </c>
      <c r="AR40" s="447">
        <v>0</v>
      </c>
      <c r="AS40" s="447">
        <v>0</v>
      </c>
      <c r="AT40" s="447">
        <v>0</v>
      </c>
      <c r="AU40" s="447">
        <v>0</v>
      </c>
      <c r="AV40" s="447">
        <v>0</v>
      </c>
      <c r="AW40" s="447">
        <v>0</v>
      </c>
      <c r="AX40" s="447">
        <v>0</v>
      </c>
      <c r="AY40" s="447">
        <v>0</v>
      </c>
      <c r="AZ40" s="447">
        <v>0</v>
      </c>
      <c r="BA40" s="447">
        <v>0</v>
      </c>
      <c r="BB40" s="447">
        <v>0</v>
      </c>
      <c r="BC40" s="447">
        <v>0</v>
      </c>
      <c r="BD40" s="447">
        <v>0</v>
      </c>
      <c r="BE40" s="447">
        <v>0</v>
      </c>
      <c r="BF40" s="447">
        <v>0</v>
      </c>
      <c r="BG40" s="447">
        <v>0</v>
      </c>
      <c r="BH40" s="447">
        <v>0</v>
      </c>
      <c r="BI40" s="447">
        <v>0</v>
      </c>
      <c r="BJ40" s="447">
        <v>0</v>
      </c>
      <c r="BK40" s="448">
        <f t="shared" si="0"/>
        <v>1.0000000000000004</v>
      </c>
    </row>
    <row r="42" spans="1:63" ht="15" customHeight="1" x14ac:dyDescent="0.25">
      <c r="A42" s="662" t="s">
        <v>778</v>
      </c>
      <c r="B42" s="627"/>
      <c r="C42" s="627"/>
      <c r="D42" s="627"/>
      <c r="E42" s="627"/>
      <c r="F42" s="627"/>
      <c r="G42" s="627"/>
      <c r="H42" s="627"/>
      <c r="I42" s="627"/>
      <c r="J42" s="627"/>
      <c r="K42" s="627"/>
      <c r="L42" s="627"/>
      <c r="M42" s="627"/>
      <c r="N42" s="627"/>
      <c r="O42" s="627"/>
      <c r="P42" s="627"/>
      <c r="Q42" s="627"/>
      <c r="R42" s="627"/>
      <c r="S42" s="627"/>
      <c r="T42" s="627"/>
      <c r="U42" s="627"/>
      <c r="V42" s="627"/>
      <c r="W42" s="627"/>
      <c r="X42" s="627"/>
      <c r="Y42" s="627"/>
      <c r="Z42" s="627"/>
      <c r="AA42" s="627"/>
      <c r="AB42" s="627"/>
      <c r="AC42" s="627"/>
      <c r="AD42" s="627"/>
      <c r="AE42" s="627"/>
      <c r="AF42" s="627"/>
      <c r="AG42" s="627"/>
      <c r="AH42" s="627"/>
      <c r="AI42" s="627"/>
      <c r="AJ42" s="627"/>
      <c r="AK42" s="627"/>
      <c r="AL42" s="627"/>
      <c r="AM42" s="627"/>
      <c r="AN42" s="627"/>
      <c r="AO42" s="627"/>
      <c r="AP42" s="627"/>
      <c r="AQ42" s="627"/>
      <c r="AR42" s="627"/>
      <c r="AS42" s="627"/>
      <c r="AT42" s="627"/>
      <c r="AU42" s="627"/>
      <c r="AV42" s="627"/>
      <c r="AW42" s="627"/>
      <c r="AX42" s="627"/>
      <c r="AY42" s="627"/>
      <c r="AZ42" s="627"/>
      <c r="BA42" s="627"/>
      <c r="BB42" s="627"/>
      <c r="BC42" s="627"/>
      <c r="BD42" s="627"/>
      <c r="BE42" s="627"/>
      <c r="BF42" s="627"/>
      <c r="BG42" s="627"/>
      <c r="BH42" s="627"/>
      <c r="BI42" s="627"/>
      <c r="BJ42" s="627"/>
      <c r="BK42" s="627"/>
    </row>
    <row r="43" spans="1:63" ht="15" customHeight="1" x14ac:dyDescent="0.25">
      <c r="A43" s="445" t="s">
        <v>742</v>
      </c>
      <c r="B43" s="445" t="s">
        <v>779</v>
      </c>
      <c r="C43" s="449" t="s">
        <v>744</v>
      </c>
      <c r="D43" s="449" t="s">
        <v>745</v>
      </c>
      <c r="E43" s="449" t="s">
        <v>746</v>
      </c>
      <c r="F43" s="449" t="s">
        <v>747</v>
      </c>
      <c r="G43" s="449" t="s">
        <v>748</v>
      </c>
      <c r="H43" s="449" t="s">
        <v>749</v>
      </c>
      <c r="I43" s="449" t="s">
        <v>750</v>
      </c>
      <c r="J43" s="449" t="s">
        <v>751</v>
      </c>
      <c r="K43" s="449" t="s">
        <v>752</v>
      </c>
      <c r="L43" s="449" t="s">
        <v>753</v>
      </c>
      <c r="M43" s="449" t="s">
        <v>754</v>
      </c>
      <c r="N43" s="449" t="s">
        <v>755</v>
      </c>
      <c r="O43" s="449" t="s">
        <v>744</v>
      </c>
      <c r="P43" s="449" t="s">
        <v>745</v>
      </c>
      <c r="Q43" s="449" t="s">
        <v>746</v>
      </c>
      <c r="R43" s="449" t="s">
        <v>747</v>
      </c>
      <c r="S43" s="449" t="s">
        <v>748</v>
      </c>
      <c r="T43" s="449" t="s">
        <v>749</v>
      </c>
      <c r="U43" s="449" t="s">
        <v>750</v>
      </c>
      <c r="V43" s="449" t="s">
        <v>751</v>
      </c>
      <c r="W43" s="449" t="s">
        <v>752</v>
      </c>
      <c r="X43" s="449" t="s">
        <v>753</v>
      </c>
      <c r="Y43" s="449" t="s">
        <v>754</v>
      </c>
      <c r="Z43" s="449" t="s">
        <v>755</v>
      </c>
      <c r="AA43" s="449" t="s">
        <v>744</v>
      </c>
      <c r="AB43" s="449" t="s">
        <v>745</v>
      </c>
      <c r="AC43" s="449" t="s">
        <v>746</v>
      </c>
      <c r="AD43" s="449" t="s">
        <v>747</v>
      </c>
      <c r="AE43" s="449" t="s">
        <v>748</v>
      </c>
      <c r="AF43" s="449" t="s">
        <v>749</v>
      </c>
      <c r="AG43" s="449" t="s">
        <v>750</v>
      </c>
      <c r="AH43" s="449" t="s">
        <v>751</v>
      </c>
      <c r="AI43" s="449" t="s">
        <v>752</v>
      </c>
      <c r="AJ43" s="449" t="s">
        <v>753</v>
      </c>
      <c r="AK43" s="449" t="s">
        <v>754</v>
      </c>
      <c r="AL43" s="449" t="s">
        <v>755</v>
      </c>
      <c r="AM43" s="449" t="s">
        <v>744</v>
      </c>
      <c r="AN43" s="449" t="s">
        <v>745</v>
      </c>
      <c r="AO43" s="449" t="s">
        <v>746</v>
      </c>
      <c r="AP43" s="449" t="s">
        <v>747</v>
      </c>
      <c r="AQ43" s="449" t="s">
        <v>748</v>
      </c>
      <c r="AR43" s="449" t="s">
        <v>749</v>
      </c>
      <c r="AS43" s="449" t="s">
        <v>750</v>
      </c>
      <c r="AT43" s="449" t="s">
        <v>751</v>
      </c>
      <c r="AU43" s="449" t="s">
        <v>752</v>
      </c>
      <c r="AV43" s="449" t="s">
        <v>753</v>
      </c>
      <c r="AW43" s="449" t="s">
        <v>754</v>
      </c>
      <c r="AX43" s="449" t="s">
        <v>755</v>
      </c>
      <c r="AY43" s="449" t="s">
        <v>744</v>
      </c>
      <c r="AZ43" s="449" t="s">
        <v>745</v>
      </c>
      <c r="BA43" s="449" t="s">
        <v>746</v>
      </c>
      <c r="BB43" s="449" t="s">
        <v>747</v>
      </c>
      <c r="BC43" s="449" t="s">
        <v>748</v>
      </c>
      <c r="BD43" s="449" t="s">
        <v>749</v>
      </c>
      <c r="BE43" s="449" t="s">
        <v>750</v>
      </c>
      <c r="BF43" s="449" t="s">
        <v>751</v>
      </c>
      <c r="BG43" s="449" t="s">
        <v>752</v>
      </c>
      <c r="BH43" s="449" t="s">
        <v>753</v>
      </c>
      <c r="BI43" s="449" t="s">
        <v>754</v>
      </c>
      <c r="BJ43" s="449" t="s">
        <v>755</v>
      </c>
      <c r="BK43" s="445" t="s">
        <v>780</v>
      </c>
    </row>
    <row r="44" spans="1:63" ht="15" customHeight="1" x14ac:dyDescent="0.25">
      <c r="A44" s="438" t="s">
        <v>757</v>
      </c>
      <c r="B44" s="440" t="str">
        <f ca="1">'Feasibility Study'!I73/1000</f>
        <v/>
      </c>
      <c r="C44" s="450" t="str">
        <f t="shared" ref="C44:AH44" ca="1" si="1">IF($B$44=0,0,$B$44*C23)</f>
        <v/>
      </c>
      <c r="D44" s="450" t="str">
        <f t="shared" ca="1" si="1"/>
        <v/>
      </c>
      <c r="E44" s="450" t="str">
        <f t="shared" ca="1" si="1"/>
        <v/>
      </c>
      <c r="F44" s="450" t="str">
        <f t="shared" ca="1" si="1"/>
        <v/>
      </c>
      <c r="G44" s="450" t="str">
        <f t="shared" ca="1" si="1"/>
        <v/>
      </c>
      <c r="H44" s="450" t="str">
        <f t="shared" ca="1" si="1"/>
        <v/>
      </c>
      <c r="I44" s="450" t="str">
        <f t="shared" ca="1" si="1"/>
        <v/>
      </c>
      <c r="J44" s="450" t="str">
        <f t="shared" ca="1" si="1"/>
        <v/>
      </c>
      <c r="K44" s="450" t="str">
        <f t="shared" ca="1" si="1"/>
        <v/>
      </c>
      <c r="L44" s="450" t="str">
        <f t="shared" ca="1" si="1"/>
        <v/>
      </c>
      <c r="M44" s="450" t="str">
        <f t="shared" ca="1" si="1"/>
        <v/>
      </c>
      <c r="N44" s="450" t="str">
        <f t="shared" ca="1" si="1"/>
        <v/>
      </c>
      <c r="O44" s="450" t="str">
        <f t="shared" ca="1" si="1"/>
        <v/>
      </c>
      <c r="P44" s="450" t="str">
        <f t="shared" ca="1" si="1"/>
        <v/>
      </c>
      <c r="Q44" s="450" t="str">
        <f t="shared" ca="1" si="1"/>
        <v/>
      </c>
      <c r="R44" s="450" t="str">
        <f t="shared" ca="1" si="1"/>
        <v/>
      </c>
      <c r="S44" s="450" t="str">
        <f t="shared" ca="1" si="1"/>
        <v/>
      </c>
      <c r="T44" s="450" t="str">
        <f t="shared" ca="1" si="1"/>
        <v/>
      </c>
      <c r="U44" s="450" t="str">
        <f t="shared" ca="1" si="1"/>
        <v/>
      </c>
      <c r="V44" s="450" t="str">
        <f t="shared" ca="1" si="1"/>
        <v/>
      </c>
      <c r="W44" s="450" t="str">
        <f t="shared" ca="1" si="1"/>
        <v/>
      </c>
      <c r="X44" s="450" t="str">
        <f t="shared" ca="1" si="1"/>
        <v/>
      </c>
      <c r="Y44" s="450" t="str">
        <f t="shared" ca="1" si="1"/>
        <v/>
      </c>
      <c r="Z44" s="450" t="str">
        <f t="shared" ca="1" si="1"/>
        <v/>
      </c>
      <c r="AA44" s="450" t="str">
        <f t="shared" ca="1" si="1"/>
        <v/>
      </c>
      <c r="AB44" s="450" t="str">
        <f t="shared" ca="1" si="1"/>
        <v/>
      </c>
      <c r="AC44" s="450" t="str">
        <f t="shared" ca="1" si="1"/>
        <v/>
      </c>
      <c r="AD44" s="450" t="str">
        <f t="shared" ca="1" si="1"/>
        <v/>
      </c>
      <c r="AE44" s="450" t="str">
        <f t="shared" ca="1" si="1"/>
        <v/>
      </c>
      <c r="AF44" s="450" t="str">
        <f t="shared" ca="1" si="1"/>
        <v/>
      </c>
      <c r="AG44" s="450" t="str">
        <f t="shared" ca="1" si="1"/>
        <v/>
      </c>
      <c r="AH44" s="450" t="str">
        <f t="shared" ca="1" si="1"/>
        <v/>
      </c>
      <c r="AI44" s="450" t="str">
        <f t="shared" ref="AI44:BJ44" ca="1" si="2">IF($B$44=0,0,$B$44*AI23)</f>
        <v/>
      </c>
      <c r="AJ44" s="450" t="str">
        <f t="shared" ca="1" si="2"/>
        <v/>
      </c>
      <c r="AK44" s="450" t="str">
        <f t="shared" ca="1" si="2"/>
        <v/>
      </c>
      <c r="AL44" s="450" t="str">
        <f t="shared" ca="1" si="2"/>
        <v/>
      </c>
      <c r="AM44" s="450" t="str">
        <f t="shared" ca="1" si="2"/>
        <v/>
      </c>
      <c r="AN44" s="450" t="str">
        <f t="shared" ca="1" si="2"/>
        <v/>
      </c>
      <c r="AO44" s="450" t="str">
        <f t="shared" ca="1" si="2"/>
        <v/>
      </c>
      <c r="AP44" s="450" t="str">
        <f t="shared" ca="1" si="2"/>
        <v/>
      </c>
      <c r="AQ44" s="450" t="str">
        <f t="shared" ca="1" si="2"/>
        <v/>
      </c>
      <c r="AR44" s="450" t="str">
        <f t="shared" ca="1" si="2"/>
        <v/>
      </c>
      <c r="AS44" s="450" t="str">
        <f t="shared" ca="1" si="2"/>
        <v/>
      </c>
      <c r="AT44" s="450" t="str">
        <f t="shared" ca="1" si="2"/>
        <v/>
      </c>
      <c r="AU44" s="450" t="str">
        <f t="shared" ca="1" si="2"/>
        <v/>
      </c>
      <c r="AV44" s="450" t="str">
        <f t="shared" ca="1" si="2"/>
        <v/>
      </c>
      <c r="AW44" s="450" t="str">
        <f t="shared" ca="1" si="2"/>
        <v/>
      </c>
      <c r="AX44" s="450" t="str">
        <f t="shared" ca="1" si="2"/>
        <v/>
      </c>
      <c r="AY44" s="450" t="str">
        <f t="shared" ca="1" si="2"/>
        <v/>
      </c>
      <c r="AZ44" s="450" t="str">
        <f t="shared" ca="1" si="2"/>
        <v/>
      </c>
      <c r="BA44" s="450" t="str">
        <f t="shared" ca="1" si="2"/>
        <v/>
      </c>
      <c r="BB44" s="450" t="str">
        <f t="shared" ca="1" si="2"/>
        <v/>
      </c>
      <c r="BC44" s="450" t="str">
        <f t="shared" ca="1" si="2"/>
        <v/>
      </c>
      <c r="BD44" s="450" t="str">
        <f t="shared" ca="1" si="2"/>
        <v/>
      </c>
      <c r="BE44" s="450" t="str">
        <f t="shared" ca="1" si="2"/>
        <v/>
      </c>
      <c r="BF44" s="450" t="str">
        <f t="shared" ca="1" si="2"/>
        <v/>
      </c>
      <c r="BG44" s="450" t="str">
        <f t="shared" ca="1" si="2"/>
        <v/>
      </c>
      <c r="BH44" s="450" t="str">
        <f t="shared" ca="1" si="2"/>
        <v/>
      </c>
      <c r="BI44" s="450" t="str">
        <f t="shared" ca="1" si="2"/>
        <v/>
      </c>
      <c r="BJ44" s="450" t="str">
        <f t="shared" ca="1" si="2"/>
        <v/>
      </c>
      <c r="BK44" s="451" t="str">
        <f t="shared" ref="BK44:BK62" ca="1" si="3">SUM(C44:BJ44)</f>
        <v/>
      </c>
    </row>
    <row r="45" spans="1:63" ht="15" customHeight="1" x14ac:dyDescent="0.25">
      <c r="A45" s="438" t="s">
        <v>759</v>
      </c>
      <c r="B45" s="440" t="str">
        <f ca="1">'Feasibility Study'!K73/1000</f>
        <v/>
      </c>
      <c r="C45" s="450" t="str">
        <f t="shared" ref="C45:AH45" ca="1" si="4">IF($B$45=0,0,$B$45*C24)</f>
        <v/>
      </c>
      <c r="D45" s="450" t="str">
        <f t="shared" ca="1" si="4"/>
        <v/>
      </c>
      <c r="E45" s="450" t="str">
        <f t="shared" ca="1" si="4"/>
        <v/>
      </c>
      <c r="F45" s="450" t="str">
        <f t="shared" ca="1" si="4"/>
        <v/>
      </c>
      <c r="G45" s="450" t="str">
        <f t="shared" ca="1" si="4"/>
        <v/>
      </c>
      <c r="H45" s="450" t="str">
        <f t="shared" ca="1" si="4"/>
        <v/>
      </c>
      <c r="I45" s="450" t="str">
        <f t="shared" ca="1" si="4"/>
        <v/>
      </c>
      <c r="J45" s="450" t="str">
        <f t="shared" ca="1" si="4"/>
        <v/>
      </c>
      <c r="K45" s="450" t="str">
        <f t="shared" ca="1" si="4"/>
        <v/>
      </c>
      <c r="L45" s="450" t="str">
        <f t="shared" ca="1" si="4"/>
        <v/>
      </c>
      <c r="M45" s="450" t="str">
        <f t="shared" ca="1" si="4"/>
        <v/>
      </c>
      <c r="N45" s="450" t="str">
        <f t="shared" ca="1" si="4"/>
        <v/>
      </c>
      <c r="O45" s="450" t="str">
        <f t="shared" ca="1" si="4"/>
        <v/>
      </c>
      <c r="P45" s="450" t="str">
        <f t="shared" ca="1" si="4"/>
        <v/>
      </c>
      <c r="Q45" s="450" t="str">
        <f t="shared" ca="1" si="4"/>
        <v/>
      </c>
      <c r="R45" s="450" t="str">
        <f t="shared" ca="1" si="4"/>
        <v/>
      </c>
      <c r="S45" s="450" t="str">
        <f t="shared" ca="1" si="4"/>
        <v/>
      </c>
      <c r="T45" s="450" t="str">
        <f t="shared" ca="1" si="4"/>
        <v/>
      </c>
      <c r="U45" s="450" t="str">
        <f t="shared" ca="1" si="4"/>
        <v/>
      </c>
      <c r="V45" s="450" t="str">
        <f t="shared" ca="1" si="4"/>
        <v/>
      </c>
      <c r="W45" s="450" t="str">
        <f t="shared" ca="1" si="4"/>
        <v/>
      </c>
      <c r="X45" s="450" t="str">
        <f t="shared" ca="1" si="4"/>
        <v/>
      </c>
      <c r="Y45" s="450" t="str">
        <f t="shared" ca="1" si="4"/>
        <v/>
      </c>
      <c r="Z45" s="450" t="str">
        <f t="shared" ca="1" si="4"/>
        <v/>
      </c>
      <c r="AA45" s="450" t="str">
        <f t="shared" ca="1" si="4"/>
        <v/>
      </c>
      <c r="AB45" s="450" t="str">
        <f t="shared" ca="1" si="4"/>
        <v/>
      </c>
      <c r="AC45" s="450" t="str">
        <f t="shared" ca="1" si="4"/>
        <v/>
      </c>
      <c r="AD45" s="450" t="str">
        <f t="shared" ca="1" si="4"/>
        <v/>
      </c>
      <c r="AE45" s="450" t="str">
        <f t="shared" ca="1" si="4"/>
        <v/>
      </c>
      <c r="AF45" s="450" t="str">
        <f t="shared" ca="1" si="4"/>
        <v/>
      </c>
      <c r="AG45" s="450" t="str">
        <f t="shared" ca="1" si="4"/>
        <v/>
      </c>
      <c r="AH45" s="450" t="str">
        <f t="shared" ca="1" si="4"/>
        <v/>
      </c>
      <c r="AI45" s="450" t="str">
        <f t="shared" ref="AI45:BJ45" ca="1" si="5">IF($B$45=0,0,$B$45*AI24)</f>
        <v/>
      </c>
      <c r="AJ45" s="450" t="str">
        <f t="shared" ca="1" si="5"/>
        <v/>
      </c>
      <c r="AK45" s="450" t="str">
        <f t="shared" ca="1" si="5"/>
        <v/>
      </c>
      <c r="AL45" s="450" t="str">
        <f t="shared" ca="1" si="5"/>
        <v/>
      </c>
      <c r="AM45" s="450" t="str">
        <f t="shared" ca="1" si="5"/>
        <v/>
      </c>
      <c r="AN45" s="450" t="str">
        <f t="shared" ca="1" si="5"/>
        <v/>
      </c>
      <c r="AO45" s="450" t="str">
        <f t="shared" ca="1" si="5"/>
        <v/>
      </c>
      <c r="AP45" s="450" t="str">
        <f t="shared" ca="1" si="5"/>
        <v/>
      </c>
      <c r="AQ45" s="450" t="str">
        <f t="shared" ca="1" si="5"/>
        <v/>
      </c>
      <c r="AR45" s="450" t="str">
        <f t="shared" ca="1" si="5"/>
        <v/>
      </c>
      <c r="AS45" s="450" t="str">
        <f t="shared" ca="1" si="5"/>
        <v/>
      </c>
      <c r="AT45" s="450" t="str">
        <f t="shared" ca="1" si="5"/>
        <v/>
      </c>
      <c r="AU45" s="450" t="str">
        <f t="shared" ca="1" si="5"/>
        <v/>
      </c>
      <c r="AV45" s="450" t="str">
        <f t="shared" ca="1" si="5"/>
        <v/>
      </c>
      <c r="AW45" s="450" t="str">
        <f t="shared" ca="1" si="5"/>
        <v/>
      </c>
      <c r="AX45" s="450" t="str">
        <f t="shared" ca="1" si="5"/>
        <v/>
      </c>
      <c r="AY45" s="450" t="str">
        <f t="shared" ca="1" si="5"/>
        <v/>
      </c>
      <c r="AZ45" s="450" t="str">
        <f t="shared" ca="1" si="5"/>
        <v/>
      </c>
      <c r="BA45" s="450" t="str">
        <f t="shared" ca="1" si="5"/>
        <v/>
      </c>
      <c r="BB45" s="450" t="str">
        <f t="shared" ca="1" si="5"/>
        <v/>
      </c>
      <c r="BC45" s="450" t="str">
        <f t="shared" ca="1" si="5"/>
        <v/>
      </c>
      <c r="BD45" s="450" t="str">
        <f t="shared" ca="1" si="5"/>
        <v/>
      </c>
      <c r="BE45" s="450" t="str">
        <f t="shared" ca="1" si="5"/>
        <v/>
      </c>
      <c r="BF45" s="450" t="str">
        <f t="shared" ca="1" si="5"/>
        <v/>
      </c>
      <c r="BG45" s="450" t="str">
        <f t="shared" ca="1" si="5"/>
        <v/>
      </c>
      <c r="BH45" s="450" t="str">
        <f t="shared" ca="1" si="5"/>
        <v/>
      </c>
      <c r="BI45" s="450" t="str">
        <f t="shared" ca="1" si="5"/>
        <v/>
      </c>
      <c r="BJ45" s="450" t="str">
        <f t="shared" ca="1" si="5"/>
        <v/>
      </c>
      <c r="BK45" s="451" t="str">
        <f t="shared" ca="1" si="3"/>
        <v/>
      </c>
    </row>
    <row r="46" spans="1:63" ht="15" customHeight="1" x14ac:dyDescent="0.25">
      <c r="A46" s="438" t="s">
        <v>760</v>
      </c>
      <c r="B46" s="440" t="str">
        <f ca="1">'Feasibility Study'!M73/1000</f>
        <v/>
      </c>
      <c r="C46" s="450" t="str">
        <f t="shared" ref="C46:AH46" ca="1" si="6">IF($B$46=0,0,$B$46*C25)</f>
        <v/>
      </c>
      <c r="D46" s="450" t="str">
        <f t="shared" ca="1" si="6"/>
        <v/>
      </c>
      <c r="E46" s="450" t="str">
        <f t="shared" ca="1" si="6"/>
        <v/>
      </c>
      <c r="F46" s="450" t="str">
        <f t="shared" ca="1" si="6"/>
        <v/>
      </c>
      <c r="G46" s="450" t="str">
        <f t="shared" ca="1" si="6"/>
        <v/>
      </c>
      <c r="H46" s="450" t="str">
        <f t="shared" ca="1" si="6"/>
        <v/>
      </c>
      <c r="I46" s="450" t="str">
        <f t="shared" ca="1" si="6"/>
        <v/>
      </c>
      <c r="J46" s="450" t="str">
        <f t="shared" ca="1" si="6"/>
        <v/>
      </c>
      <c r="K46" s="450" t="str">
        <f t="shared" ca="1" si="6"/>
        <v/>
      </c>
      <c r="L46" s="450" t="str">
        <f t="shared" ca="1" si="6"/>
        <v/>
      </c>
      <c r="M46" s="450" t="str">
        <f t="shared" ca="1" si="6"/>
        <v/>
      </c>
      <c r="N46" s="450" t="str">
        <f t="shared" ca="1" si="6"/>
        <v/>
      </c>
      <c r="O46" s="450" t="str">
        <f t="shared" ca="1" si="6"/>
        <v/>
      </c>
      <c r="P46" s="450" t="str">
        <f t="shared" ca="1" si="6"/>
        <v/>
      </c>
      <c r="Q46" s="450" t="str">
        <f t="shared" ca="1" si="6"/>
        <v/>
      </c>
      <c r="R46" s="450" t="str">
        <f t="shared" ca="1" si="6"/>
        <v/>
      </c>
      <c r="S46" s="450" t="str">
        <f t="shared" ca="1" si="6"/>
        <v/>
      </c>
      <c r="T46" s="450" t="str">
        <f t="shared" ca="1" si="6"/>
        <v/>
      </c>
      <c r="U46" s="450" t="str">
        <f t="shared" ca="1" si="6"/>
        <v/>
      </c>
      <c r="V46" s="450" t="str">
        <f t="shared" ca="1" si="6"/>
        <v/>
      </c>
      <c r="W46" s="450" t="str">
        <f t="shared" ca="1" si="6"/>
        <v/>
      </c>
      <c r="X46" s="450" t="str">
        <f t="shared" ca="1" si="6"/>
        <v/>
      </c>
      <c r="Y46" s="450" t="str">
        <f t="shared" ca="1" si="6"/>
        <v/>
      </c>
      <c r="Z46" s="450" t="str">
        <f t="shared" ca="1" si="6"/>
        <v/>
      </c>
      <c r="AA46" s="450" t="str">
        <f t="shared" ca="1" si="6"/>
        <v/>
      </c>
      <c r="AB46" s="450" t="str">
        <f t="shared" ca="1" si="6"/>
        <v/>
      </c>
      <c r="AC46" s="450" t="str">
        <f t="shared" ca="1" si="6"/>
        <v/>
      </c>
      <c r="AD46" s="450" t="str">
        <f t="shared" ca="1" si="6"/>
        <v/>
      </c>
      <c r="AE46" s="450" t="str">
        <f t="shared" ca="1" si="6"/>
        <v/>
      </c>
      <c r="AF46" s="450" t="str">
        <f t="shared" ca="1" si="6"/>
        <v/>
      </c>
      <c r="AG46" s="450" t="str">
        <f t="shared" ca="1" si="6"/>
        <v/>
      </c>
      <c r="AH46" s="450" t="str">
        <f t="shared" ca="1" si="6"/>
        <v/>
      </c>
      <c r="AI46" s="450" t="str">
        <f t="shared" ref="AI46:BJ46" ca="1" si="7">IF($B$46=0,0,$B$46*AI25)</f>
        <v/>
      </c>
      <c r="AJ46" s="450" t="str">
        <f t="shared" ca="1" si="7"/>
        <v/>
      </c>
      <c r="AK46" s="450" t="str">
        <f t="shared" ca="1" si="7"/>
        <v/>
      </c>
      <c r="AL46" s="450" t="str">
        <f t="shared" ca="1" si="7"/>
        <v/>
      </c>
      <c r="AM46" s="450" t="str">
        <f t="shared" ca="1" si="7"/>
        <v/>
      </c>
      <c r="AN46" s="450" t="str">
        <f t="shared" ca="1" si="7"/>
        <v/>
      </c>
      <c r="AO46" s="450" t="str">
        <f t="shared" ca="1" si="7"/>
        <v/>
      </c>
      <c r="AP46" s="450" t="str">
        <f t="shared" ca="1" si="7"/>
        <v/>
      </c>
      <c r="AQ46" s="450" t="str">
        <f t="shared" ca="1" si="7"/>
        <v/>
      </c>
      <c r="AR46" s="450" t="str">
        <f t="shared" ca="1" si="7"/>
        <v/>
      </c>
      <c r="AS46" s="450" t="str">
        <f t="shared" ca="1" si="7"/>
        <v/>
      </c>
      <c r="AT46" s="450" t="str">
        <f t="shared" ca="1" si="7"/>
        <v/>
      </c>
      <c r="AU46" s="450" t="str">
        <f t="shared" ca="1" si="7"/>
        <v/>
      </c>
      <c r="AV46" s="450" t="str">
        <f t="shared" ca="1" si="7"/>
        <v/>
      </c>
      <c r="AW46" s="450" t="str">
        <f t="shared" ca="1" si="7"/>
        <v/>
      </c>
      <c r="AX46" s="450" t="str">
        <f t="shared" ca="1" si="7"/>
        <v/>
      </c>
      <c r="AY46" s="450" t="str">
        <f t="shared" ca="1" si="7"/>
        <v/>
      </c>
      <c r="AZ46" s="450" t="str">
        <f t="shared" ca="1" si="7"/>
        <v/>
      </c>
      <c r="BA46" s="450" t="str">
        <f t="shared" ca="1" si="7"/>
        <v/>
      </c>
      <c r="BB46" s="450" t="str">
        <f t="shared" ca="1" si="7"/>
        <v/>
      </c>
      <c r="BC46" s="450" t="str">
        <f t="shared" ca="1" si="7"/>
        <v/>
      </c>
      <c r="BD46" s="450" t="str">
        <f t="shared" ca="1" si="7"/>
        <v/>
      </c>
      <c r="BE46" s="450" t="str">
        <f t="shared" ca="1" si="7"/>
        <v/>
      </c>
      <c r="BF46" s="450" t="str">
        <f t="shared" ca="1" si="7"/>
        <v/>
      </c>
      <c r="BG46" s="450" t="str">
        <f t="shared" ca="1" si="7"/>
        <v/>
      </c>
      <c r="BH46" s="450" t="str">
        <f t="shared" ca="1" si="7"/>
        <v/>
      </c>
      <c r="BI46" s="450" t="str">
        <f t="shared" ca="1" si="7"/>
        <v/>
      </c>
      <c r="BJ46" s="450" t="str">
        <f t="shared" ca="1" si="7"/>
        <v/>
      </c>
      <c r="BK46" s="451" t="str">
        <f t="shared" ca="1" si="3"/>
        <v/>
      </c>
    </row>
    <row r="47" spans="1:63" ht="15" customHeight="1" x14ac:dyDescent="0.25">
      <c r="A47" s="438" t="s">
        <v>762</v>
      </c>
      <c r="B47" s="440" t="str">
        <f ca="1">'Feasibility Study'!O73/1000</f>
        <v/>
      </c>
      <c r="C47" s="450" t="str">
        <f t="shared" ref="C47:AH47" ca="1" si="8">IF($B$47=0,0,$B$47*C26)</f>
        <v/>
      </c>
      <c r="D47" s="450" t="str">
        <f t="shared" ca="1" si="8"/>
        <v/>
      </c>
      <c r="E47" s="450" t="str">
        <f t="shared" ca="1" si="8"/>
        <v/>
      </c>
      <c r="F47" s="450" t="str">
        <f t="shared" ca="1" si="8"/>
        <v/>
      </c>
      <c r="G47" s="450" t="str">
        <f t="shared" ca="1" si="8"/>
        <v/>
      </c>
      <c r="H47" s="450" t="str">
        <f t="shared" ca="1" si="8"/>
        <v/>
      </c>
      <c r="I47" s="450" t="str">
        <f t="shared" ca="1" si="8"/>
        <v/>
      </c>
      <c r="J47" s="450" t="str">
        <f t="shared" ca="1" si="8"/>
        <v/>
      </c>
      <c r="K47" s="450" t="str">
        <f t="shared" ca="1" si="8"/>
        <v/>
      </c>
      <c r="L47" s="450" t="str">
        <f t="shared" ca="1" si="8"/>
        <v/>
      </c>
      <c r="M47" s="450" t="str">
        <f t="shared" ca="1" si="8"/>
        <v/>
      </c>
      <c r="N47" s="450" t="str">
        <f t="shared" ca="1" si="8"/>
        <v/>
      </c>
      <c r="O47" s="450" t="str">
        <f t="shared" ca="1" si="8"/>
        <v/>
      </c>
      <c r="P47" s="450" t="str">
        <f t="shared" ca="1" si="8"/>
        <v/>
      </c>
      <c r="Q47" s="450" t="str">
        <f t="shared" ca="1" si="8"/>
        <v/>
      </c>
      <c r="R47" s="450" t="str">
        <f t="shared" ca="1" si="8"/>
        <v/>
      </c>
      <c r="S47" s="450" t="str">
        <f t="shared" ca="1" si="8"/>
        <v/>
      </c>
      <c r="T47" s="450" t="str">
        <f t="shared" ca="1" si="8"/>
        <v/>
      </c>
      <c r="U47" s="450" t="str">
        <f t="shared" ca="1" si="8"/>
        <v/>
      </c>
      <c r="V47" s="450" t="str">
        <f t="shared" ca="1" si="8"/>
        <v/>
      </c>
      <c r="W47" s="450" t="str">
        <f t="shared" ca="1" si="8"/>
        <v/>
      </c>
      <c r="X47" s="450" t="str">
        <f t="shared" ca="1" si="8"/>
        <v/>
      </c>
      <c r="Y47" s="450" t="str">
        <f t="shared" ca="1" si="8"/>
        <v/>
      </c>
      <c r="Z47" s="450" t="str">
        <f t="shared" ca="1" si="8"/>
        <v/>
      </c>
      <c r="AA47" s="450" t="str">
        <f t="shared" ca="1" si="8"/>
        <v/>
      </c>
      <c r="AB47" s="450" t="str">
        <f t="shared" ca="1" si="8"/>
        <v/>
      </c>
      <c r="AC47" s="450" t="str">
        <f t="shared" ca="1" si="8"/>
        <v/>
      </c>
      <c r="AD47" s="450" t="str">
        <f t="shared" ca="1" si="8"/>
        <v/>
      </c>
      <c r="AE47" s="450" t="str">
        <f t="shared" ca="1" si="8"/>
        <v/>
      </c>
      <c r="AF47" s="450" t="str">
        <f t="shared" ca="1" si="8"/>
        <v/>
      </c>
      <c r="AG47" s="450" t="str">
        <f t="shared" ca="1" si="8"/>
        <v/>
      </c>
      <c r="AH47" s="450" t="str">
        <f t="shared" ca="1" si="8"/>
        <v/>
      </c>
      <c r="AI47" s="450" t="str">
        <f t="shared" ref="AI47:BJ47" ca="1" si="9">IF($B$47=0,0,$B$47*AI26)</f>
        <v/>
      </c>
      <c r="AJ47" s="450" t="str">
        <f t="shared" ca="1" si="9"/>
        <v/>
      </c>
      <c r="AK47" s="450" t="str">
        <f t="shared" ca="1" si="9"/>
        <v/>
      </c>
      <c r="AL47" s="450" t="str">
        <f t="shared" ca="1" si="9"/>
        <v/>
      </c>
      <c r="AM47" s="450" t="str">
        <f t="shared" ca="1" si="9"/>
        <v/>
      </c>
      <c r="AN47" s="450" t="str">
        <f t="shared" ca="1" si="9"/>
        <v/>
      </c>
      <c r="AO47" s="450" t="str">
        <f t="shared" ca="1" si="9"/>
        <v/>
      </c>
      <c r="AP47" s="450" t="str">
        <f t="shared" ca="1" si="9"/>
        <v/>
      </c>
      <c r="AQ47" s="450" t="str">
        <f t="shared" ca="1" si="9"/>
        <v/>
      </c>
      <c r="AR47" s="450" t="str">
        <f t="shared" ca="1" si="9"/>
        <v/>
      </c>
      <c r="AS47" s="450" t="str">
        <f t="shared" ca="1" si="9"/>
        <v/>
      </c>
      <c r="AT47" s="450" t="str">
        <f t="shared" ca="1" si="9"/>
        <v/>
      </c>
      <c r="AU47" s="450" t="str">
        <f t="shared" ca="1" si="9"/>
        <v/>
      </c>
      <c r="AV47" s="450" t="str">
        <f t="shared" ca="1" si="9"/>
        <v/>
      </c>
      <c r="AW47" s="450" t="str">
        <f t="shared" ca="1" si="9"/>
        <v/>
      </c>
      <c r="AX47" s="450" t="str">
        <f t="shared" ca="1" si="9"/>
        <v/>
      </c>
      <c r="AY47" s="450" t="str">
        <f t="shared" ca="1" si="9"/>
        <v/>
      </c>
      <c r="AZ47" s="450" t="str">
        <f t="shared" ca="1" si="9"/>
        <v/>
      </c>
      <c r="BA47" s="450" t="str">
        <f t="shared" ca="1" si="9"/>
        <v/>
      </c>
      <c r="BB47" s="450" t="str">
        <f t="shared" ca="1" si="9"/>
        <v/>
      </c>
      <c r="BC47" s="450" t="str">
        <f t="shared" ca="1" si="9"/>
        <v/>
      </c>
      <c r="BD47" s="450" t="str">
        <f t="shared" ca="1" si="9"/>
        <v/>
      </c>
      <c r="BE47" s="450" t="str">
        <f t="shared" ca="1" si="9"/>
        <v/>
      </c>
      <c r="BF47" s="450" t="str">
        <f t="shared" ca="1" si="9"/>
        <v/>
      </c>
      <c r="BG47" s="450" t="str">
        <f t="shared" ca="1" si="9"/>
        <v/>
      </c>
      <c r="BH47" s="450" t="str">
        <f t="shared" ca="1" si="9"/>
        <v/>
      </c>
      <c r="BI47" s="450" t="str">
        <f t="shared" ca="1" si="9"/>
        <v/>
      </c>
      <c r="BJ47" s="450" t="str">
        <f t="shared" ca="1" si="9"/>
        <v/>
      </c>
      <c r="BK47" s="451" t="str">
        <f t="shared" ca="1" si="3"/>
        <v/>
      </c>
    </row>
    <row r="48" spans="1:63" ht="15" customHeight="1" x14ac:dyDescent="0.25">
      <c r="A48" s="438" t="s">
        <v>763</v>
      </c>
      <c r="B48" s="440" t="str">
        <f ca="1">'Feasibility Study'!Q73/1000</f>
        <v/>
      </c>
      <c r="C48" s="450" t="str">
        <f t="shared" ref="C48:AH48" ca="1" si="10">IF($B$48=0,0,$B$48*C27)</f>
        <v/>
      </c>
      <c r="D48" s="450" t="str">
        <f t="shared" ca="1" si="10"/>
        <v/>
      </c>
      <c r="E48" s="450" t="str">
        <f t="shared" ca="1" si="10"/>
        <v/>
      </c>
      <c r="F48" s="450" t="str">
        <f t="shared" ca="1" si="10"/>
        <v/>
      </c>
      <c r="G48" s="450" t="str">
        <f t="shared" ca="1" si="10"/>
        <v/>
      </c>
      <c r="H48" s="450" t="str">
        <f t="shared" ca="1" si="10"/>
        <v/>
      </c>
      <c r="I48" s="450" t="str">
        <f t="shared" ca="1" si="10"/>
        <v/>
      </c>
      <c r="J48" s="450" t="str">
        <f t="shared" ca="1" si="10"/>
        <v/>
      </c>
      <c r="K48" s="450" t="str">
        <f t="shared" ca="1" si="10"/>
        <v/>
      </c>
      <c r="L48" s="450" t="str">
        <f t="shared" ca="1" si="10"/>
        <v/>
      </c>
      <c r="M48" s="450" t="str">
        <f t="shared" ca="1" si="10"/>
        <v/>
      </c>
      <c r="N48" s="450" t="str">
        <f t="shared" ca="1" si="10"/>
        <v/>
      </c>
      <c r="O48" s="450" t="str">
        <f t="shared" ca="1" si="10"/>
        <v/>
      </c>
      <c r="P48" s="450" t="str">
        <f t="shared" ca="1" si="10"/>
        <v/>
      </c>
      <c r="Q48" s="450" t="str">
        <f t="shared" ca="1" si="10"/>
        <v/>
      </c>
      <c r="R48" s="450" t="str">
        <f t="shared" ca="1" si="10"/>
        <v/>
      </c>
      <c r="S48" s="450" t="str">
        <f t="shared" ca="1" si="10"/>
        <v/>
      </c>
      <c r="T48" s="450" t="str">
        <f t="shared" ca="1" si="10"/>
        <v/>
      </c>
      <c r="U48" s="450" t="str">
        <f t="shared" ca="1" si="10"/>
        <v/>
      </c>
      <c r="V48" s="450" t="str">
        <f t="shared" ca="1" si="10"/>
        <v/>
      </c>
      <c r="W48" s="450" t="str">
        <f t="shared" ca="1" si="10"/>
        <v/>
      </c>
      <c r="X48" s="450" t="str">
        <f t="shared" ca="1" si="10"/>
        <v/>
      </c>
      <c r="Y48" s="450" t="str">
        <f t="shared" ca="1" si="10"/>
        <v/>
      </c>
      <c r="Z48" s="450" t="str">
        <f t="shared" ca="1" si="10"/>
        <v/>
      </c>
      <c r="AA48" s="450" t="str">
        <f t="shared" ca="1" si="10"/>
        <v/>
      </c>
      <c r="AB48" s="450" t="str">
        <f t="shared" ca="1" si="10"/>
        <v/>
      </c>
      <c r="AC48" s="450" t="str">
        <f t="shared" ca="1" si="10"/>
        <v/>
      </c>
      <c r="AD48" s="450" t="str">
        <f t="shared" ca="1" si="10"/>
        <v/>
      </c>
      <c r="AE48" s="450" t="str">
        <f t="shared" ca="1" si="10"/>
        <v/>
      </c>
      <c r="AF48" s="450" t="str">
        <f t="shared" ca="1" si="10"/>
        <v/>
      </c>
      <c r="AG48" s="450" t="str">
        <f t="shared" ca="1" si="10"/>
        <v/>
      </c>
      <c r="AH48" s="450" t="str">
        <f t="shared" ca="1" si="10"/>
        <v/>
      </c>
      <c r="AI48" s="450" t="str">
        <f t="shared" ref="AI48:BJ48" ca="1" si="11">IF($B$48=0,0,$B$48*AI27)</f>
        <v/>
      </c>
      <c r="AJ48" s="450" t="str">
        <f t="shared" ca="1" si="11"/>
        <v/>
      </c>
      <c r="AK48" s="450" t="str">
        <f t="shared" ca="1" si="11"/>
        <v/>
      </c>
      <c r="AL48" s="450" t="str">
        <f t="shared" ca="1" si="11"/>
        <v/>
      </c>
      <c r="AM48" s="450" t="str">
        <f t="shared" ca="1" si="11"/>
        <v/>
      </c>
      <c r="AN48" s="450" t="str">
        <f t="shared" ca="1" si="11"/>
        <v/>
      </c>
      <c r="AO48" s="450" t="str">
        <f t="shared" ca="1" si="11"/>
        <v/>
      </c>
      <c r="AP48" s="450" t="str">
        <f t="shared" ca="1" si="11"/>
        <v/>
      </c>
      <c r="AQ48" s="450" t="str">
        <f t="shared" ca="1" si="11"/>
        <v/>
      </c>
      <c r="AR48" s="450" t="str">
        <f t="shared" ca="1" si="11"/>
        <v/>
      </c>
      <c r="AS48" s="450" t="str">
        <f t="shared" ca="1" si="11"/>
        <v/>
      </c>
      <c r="AT48" s="450" t="str">
        <f t="shared" ca="1" si="11"/>
        <v/>
      </c>
      <c r="AU48" s="450" t="str">
        <f t="shared" ca="1" si="11"/>
        <v/>
      </c>
      <c r="AV48" s="450" t="str">
        <f t="shared" ca="1" si="11"/>
        <v/>
      </c>
      <c r="AW48" s="450" t="str">
        <f t="shared" ca="1" si="11"/>
        <v/>
      </c>
      <c r="AX48" s="450" t="str">
        <f t="shared" ca="1" si="11"/>
        <v/>
      </c>
      <c r="AY48" s="450" t="str">
        <f t="shared" ca="1" si="11"/>
        <v/>
      </c>
      <c r="AZ48" s="450" t="str">
        <f t="shared" ca="1" si="11"/>
        <v/>
      </c>
      <c r="BA48" s="450" t="str">
        <f t="shared" ca="1" si="11"/>
        <v/>
      </c>
      <c r="BB48" s="450" t="str">
        <f t="shared" ca="1" si="11"/>
        <v/>
      </c>
      <c r="BC48" s="450" t="str">
        <f t="shared" ca="1" si="11"/>
        <v/>
      </c>
      <c r="BD48" s="450" t="str">
        <f t="shared" ca="1" si="11"/>
        <v/>
      </c>
      <c r="BE48" s="450" t="str">
        <f t="shared" ca="1" si="11"/>
        <v/>
      </c>
      <c r="BF48" s="450" t="str">
        <f t="shared" ca="1" si="11"/>
        <v/>
      </c>
      <c r="BG48" s="450" t="str">
        <f t="shared" ca="1" si="11"/>
        <v/>
      </c>
      <c r="BH48" s="450" t="str">
        <f t="shared" ca="1" si="11"/>
        <v/>
      </c>
      <c r="BI48" s="450" t="str">
        <f t="shared" ca="1" si="11"/>
        <v/>
      </c>
      <c r="BJ48" s="450" t="str">
        <f t="shared" ca="1" si="11"/>
        <v/>
      </c>
      <c r="BK48" s="451" t="str">
        <f t="shared" ca="1" si="3"/>
        <v/>
      </c>
    </row>
    <row r="49" spans="1:63" ht="15" customHeight="1" x14ac:dyDescent="0.25">
      <c r="A49" s="438" t="s">
        <v>765</v>
      </c>
      <c r="B49" s="440" t="str">
        <f ca="1">'Feasibility Study'!S73/1000</f>
        <v/>
      </c>
      <c r="C49" s="450" t="str">
        <f t="shared" ref="C49:AH49" ca="1" si="12">IF($B$49=0,0,$B$49*C28)</f>
        <v/>
      </c>
      <c r="D49" s="450" t="str">
        <f t="shared" ca="1" si="12"/>
        <v/>
      </c>
      <c r="E49" s="450" t="str">
        <f t="shared" ca="1" si="12"/>
        <v/>
      </c>
      <c r="F49" s="450" t="str">
        <f t="shared" ca="1" si="12"/>
        <v/>
      </c>
      <c r="G49" s="450" t="str">
        <f t="shared" ca="1" si="12"/>
        <v/>
      </c>
      <c r="H49" s="450" t="str">
        <f t="shared" ca="1" si="12"/>
        <v/>
      </c>
      <c r="I49" s="450" t="str">
        <f t="shared" ca="1" si="12"/>
        <v/>
      </c>
      <c r="J49" s="450" t="str">
        <f t="shared" ca="1" si="12"/>
        <v/>
      </c>
      <c r="K49" s="450" t="str">
        <f t="shared" ca="1" si="12"/>
        <v/>
      </c>
      <c r="L49" s="450" t="str">
        <f t="shared" ca="1" si="12"/>
        <v/>
      </c>
      <c r="M49" s="450" t="str">
        <f t="shared" ca="1" si="12"/>
        <v/>
      </c>
      <c r="N49" s="450" t="str">
        <f t="shared" ca="1" si="12"/>
        <v/>
      </c>
      <c r="O49" s="450" t="str">
        <f t="shared" ca="1" si="12"/>
        <v/>
      </c>
      <c r="P49" s="450" t="str">
        <f t="shared" ca="1" si="12"/>
        <v/>
      </c>
      <c r="Q49" s="450" t="str">
        <f t="shared" ca="1" si="12"/>
        <v/>
      </c>
      <c r="R49" s="450" t="str">
        <f t="shared" ca="1" si="12"/>
        <v/>
      </c>
      <c r="S49" s="450" t="str">
        <f t="shared" ca="1" si="12"/>
        <v/>
      </c>
      <c r="T49" s="450" t="str">
        <f t="shared" ca="1" si="12"/>
        <v/>
      </c>
      <c r="U49" s="450" t="str">
        <f t="shared" ca="1" si="12"/>
        <v/>
      </c>
      <c r="V49" s="450" t="str">
        <f t="shared" ca="1" si="12"/>
        <v/>
      </c>
      <c r="W49" s="450" t="str">
        <f t="shared" ca="1" si="12"/>
        <v/>
      </c>
      <c r="X49" s="450" t="str">
        <f t="shared" ca="1" si="12"/>
        <v/>
      </c>
      <c r="Y49" s="450" t="str">
        <f t="shared" ca="1" si="12"/>
        <v/>
      </c>
      <c r="Z49" s="450" t="str">
        <f t="shared" ca="1" si="12"/>
        <v/>
      </c>
      <c r="AA49" s="450" t="str">
        <f t="shared" ca="1" si="12"/>
        <v/>
      </c>
      <c r="AB49" s="450" t="str">
        <f t="shared" ca="1" si="12"/>
        <v/>
      </c>
      <c r="AC49" s="450" t="str">
        <f t="shared" ca="1" si="12"/>
        <v/>
      </c>
      <c r="AD49" s="450" t="str">
        <f t="shared" ca="1" si="12"/>
        <v/>
      </c>
      <c r="AE49" s="450" t="str">
        <f t="shared" ca="1" si="12"/>
        <v/>
      </c>
      <c r="AF49" s="450" t="str">
        <f t="shared" ca="1" si="12"/>
        <v/>
      </c>
      <c r="AG49" s="450" t="str">
        <f t="shared" ca="1" si="12"/>
        <v/>
      </c>
      <c r="AH49" s="450" t="str">
        <f t="shared" ca="1" si="12"/>
        <v/>
      </c>
      <c r="AI49" s="450" t="str">
        <f t="shared" ref="AI49:BJ49" ca="1" si="13">IF($B$49=0,0,$B$49*AI28)</f>
        <v/>
      </c>
      <c r="AJ49" s="450" t="str">
        <f t="shared" ca="1" si="13"/>
        <v/>
      </c>
      <c r="AK49" s="450" t="str">
        <f t="shared" ca="1" si="13"/>
        <v/>
      </c>
      <c r="AL49" s="450" t="str">
        <f t="shared" ca="1" si="13"/>
        <v/>
      </c>
      <c r="AM49" s="450" t="str">
        <f t="shared" ca="1" si="13"/>
        <v/>
      </c>
      <c r="AN49" s="450" t="str">
        <f t="shared" ca="1" si="13"/>
        <v/>
      </c>
      <c r="AO49" s="450" t="str">
        <f t="shared" ca="1" si="13"/>
        <v/>
      </c>
      <c r="AP49" s="450" t="str">
        <f t="shared" ca="1" si="13"/>
        <v/>
      </c>
      <c r="AQ49" s="450" t="str">
        <f t="shared" ca="1" si="13"/>
        <v/>
      </c>
      <c r="AR49" s="450" t="str">
        <f t="shared" ca="1" si="13"/>
        <v/>
      </c>
      <c r="AS49" s="450" t="str">
        <f t="shared" ca="1" si="13"/>
        <v/>
      </c>
      <c r="AT49" s="450" t="str">
        <f t="shared" ca="1" si="13"/>
        <v/>
      </c>
      <c r="AU49" s="450" t="str">
        <f t="shared" ca="1" si="13"/>
        <v/>
      </c>
      <c r="AV49" s="450" t="str">
        <f t="shared" ca="1" si="13"/>
        <v/>
      </c>
      <c r="AW49" s="450" t="str">
        <f t="shared" ca="1" si="13"/>
        <v/>
      </c>
      <c r="AX49" s="450" t="str">
        <f t="shared" ca="1" si="13"/>
        <v/>
      </c>
      <c r="AY49" s="450" t="str">
        <f t="shared" ca="1" si="13"/>
        <v/>
      </c>
      <c r="AZ49" s="450" t="str">
        <f t="shared" ca="1" si="13"/>
        <v/>
      </c>
      <c r="BA49" s="450" t="str">
        <f t="shared" ca="1" si="13"/>
        <v/>
      </c>
      <c r="BB49" s="450" t="str">
        <f t="shared" ca="1" si="13"/>
        <v/>
      </c>
      <c r="BC49" s="450" t="str">
        <f t="shared" ca="1" si="13"/>
        <v/>
      </c>
      <c r="BD49" s="450" t="str">
        <f t="shared" ca="1" si="13"/>
        <v/>
      </c>
      <c r="BE49" s="450" t="str">
        <f t="shared" ca="1" si="13"/>
        <v/>
      </c>
      <c r="BF49" s="450" t="str">
        <f t="shared" ca="1" si="13"/>
        <v/>
      </c>
      <c r="BG49" s="450" t="str">
        <f t="shared" ca="1" si="13"/>
        <v/>
      </c>
      <c r="BH49" s="450" t="str">
        <f t="shared" ca="1" si="13"/>
        <v/>
      </c>
      <c r="BI49" s="450" t="str">
        <f t="shared" ca="1" si="13"/>
        <v/>
      </c>
      <c r="BJ49" s="450" t="str">
        <f t="shared" ca="1" si="13"/>
        <v/>
      </c>
      <c r="BK49" s="451" t="str">
        <f t="shared" ca="1" si="3"/>
        <v/>
      </c>
    </row>
    <row r="50" spans="1:63" ht="15" customHeight="1" x14ac:dyDescent="0.25">
      <c r="A50" s="438" t="s">
        <v>766</v>
      </c>
      <c r="B50" s="440" t="str">
        <f ca="1">'Feasibility Study'!W73/1000</f>
        <v/>
      </c>
      <c r="C50" s="450" t="str">
        <f t="shared" ref="C50:AH50" ca="1" si="14">IF($B$50=0,0,$B$50*C29)</f>
        <v/>
      </c>
      <c r="D50" s="450" t="str">
        <f t="shared" ca="1" si="14"/>
        <v/>
      </c>
      <c r="E50" s="450" t="str">
        <f t="shared" ca="1" si="14"/>
        <v/>
      </c>
      <c r="F50" s="450" t="str">
        <f t="shared" ca="1" si="14"/>
        <v/>
      </c>
      <c r="G50" s="450" t="str">
        <f t="shared" ca="1" si="14"/>
        <v/>
      </c>
      <c r="H50" s="450" t="str">
        <f t="shared" ca="1" si="14"/>
        <v/>
      </c>
      <c r="I50" s="450" t="str">
        <f t="shared" ca="1" si="14"/>
        <v/>
      </c>
      <c r="J50" s="450" t="str">
        <f t="shared" ca="1" si="14"/>
        <v/>
      </c>
      <c r="K50" s="450" t="str">
        <f t="shared" ca="1" si="14"/>
        <v/>
      </c>
      <c r="L50" s="450" t="str">
        <f t="shared" ca="1" si="14"/>
        <v/>
      </c>
      <c r="M50" s="450" t="str">
        <f t="shared" ca="1" si="14"/>
        <v/>
      </c>
      <c r="N50" s="450" t="str">
        <f t="shared" ca="1" si="14"/>
        <v/>
      </c>
      <c r="O50" s="450" t="str">
        <f t="shared" ca="1" si="14"/>
        <v/>
      </c>
      <c r="P50" s="450" t="str">
        <f t="shared" ca="1" si="14"/>
        <v/>
      </c>
      <c r="Q50" s="450" t="str">
        <f t="shared" ca="1" si="14"/>
        <v/>
      </c>
      <c r="R50" s="450" t="str">
        <f t="shared" ca="1" si="14"/>
        <v/>
      </c>
      <c r="S50" s="450" t="str">
        <f t="shared" ca="1" si="14"/>
        <v/>
      </c>
      <c r="T50" s="450" t="str">
        <f t="shared" ca="1" si="14"/>
        <v/>
      </c>
      <c r="U50" s="450" t="str">
        <f t="shared" ca="1" si="14"/>
        <v/>
      </c>
      <c r="V50" s="450" t="str">
        <f t="shared" ca="1" si="14"/>
        <v/>
      </c>
      <c r="W50" s="450" t="str">
        <f t="shared" ca="1" si="14"/>
        <v/>
      </c>
      <c r="X50" s="450" t="str">
        <f t="shared" ca="1" si="14"/>
        <v/>
      </c>
      <c r="Y50" s="450" t="str">
        <f t="shared" ca="1" si="14"/>
        <v/>
      </c>
      <c r="Z50" s="450" t="str">
        <f t="shared" ca="1" si="14"/>
        <v/>
      </c>
      <c r="AA50" s="450" t="str">
        <f t="shared" ca="1" si="14"/>
        <v/>
      </c>
      <c r="AB50" s="450" t="str">
        <f t="shared" ca="1" si="14"/>
        <v/>
      </c>
      <c r="AC50" s="450" t="str">
        <f t="shared" ca="1" si="14"/>
        <v/>
      </c>
      <c r="AD50" s="450" t="str">
        <f t="shared" ca="1" si="14"/>
        <v/>
      </c>
      <c r="AE50" s="450" t="str">
        <f t="shared" ca="1" si="14"/>
        <v/>
      </c>
      <c r="AF50" s="450" t="str">
        <f t="shared" ca="1" si="14"/>
        <v/>
      </c>
      <c r="AG50" s="450" t="str">
        <f t="shared" ca="1" si="14"/>
        <v/>
      </c>
      <c r="AH50" s="450" t="str">
        <f t="shared" ca="1" si="14"/>
        <v/>
      </c>
      <c r="AI50" s="450" t="str">
        <f t="shared" ref="AI50:BJ50" ca="1" si="15">IF($B$50=0,0,$B$50*AI29)</f>
        <v/>
      </c>
      <c r="AJ50" s="450" t="str">
        <f t="shared" ca="1" si="15"/>
        <v/>
      </c>
      <c r="AK50" s="450" t="str">
        <f t="shared" ca="1" si="15"/>
        <v/>
      </c>
      <c r="AL50" s="450" t="str">
        <f t="shared" ca="1" si="15"/>
        <v/>
      </c>
      <c r="AM50" s="450" t="str">
        <f t="shared" ca="1" si="15"/>
        <v/>
      </c>
      <c r="AN50" s="450" t="str">
        <f t="shared" ca="1" si="15"/>
        <v/>
      </c>
      <c r="AO50" s="450" t="str">
        <f t="shared" ca="1" si="15"/>
        <v/>
      </c>
      <c r="AP50" s="450" t="str">
        <f t="shared" ca="1" si="15"/>
        <v/>
      </c>
      <c r="AQ50" s="450" t="str">
        <f t="shared" ca="1" si="15"/>
        <v/>
      </c>
      <c r="AR50" s="450" t="str">
        <f t="shared" ca="1" si="15"/>
        <v/>
      </c>
      <c r="AS50" s="450" t="str">
        <f t="shared" ca="1" si="15"/>
        <v/>
      </c>
      <c r="AT50" s="450" t="str">
        <f t="shared" ca="1" si="15"/>
        <v/>
      </c>
      <c r="AU50" s="450" t="str">
        <f t="shared" ca="1" si="15"/>
        <v/>
      </c>
      <c r="AV50" s="450" t="str">
        <f t="shared" ca="1" si="15"/>
        <v/>
      </c>
      <c r="AW50" s="450" t="str">
        <f t="shared" ca="1" si="15"/>
        <v/>
      </c>
      <c r="AX50" s="450" t="str">
        <f t="shared" ca="1" si="15"/>
        <v/>
      </c>
      <c r="AY50" s="450" t="str">
        <f t="shared" ca="1" si="15"/>
        <v/>
      </c>
      <c r="AZ50" s="450" t="str">
        <f t="shared" ca="1" si="15"/>
        <v/>
      </c>
      <c r="BA50" s="450" t="str">
        <f t="shared" ca="1" si="15"/>
        <v/>
      </c>
      <c r="BB50" s="450" t="str">
        <f t="shared" ca="1" si="15"/>
        <v/>
      </c>
      <c r="BC50" s="450" t="str">
        <f t="shared" ca="1" si="15"/>
        <v/>
      </c>
      <c r="BD50" s="450" t="str">
        <f t="shared" ca="1" si="15"/>
        <v/>
      </c>
      <c r="BE50" s="450" t="str">
        <f t="shared" ca="1" si="15"/>
        <v/>
      </c>
      <c r="BF50" s="450" t="str">
        <f t="shared" ca="1" si="15"/>
        <v/>
      </c>
      <c r="BG50" s="450" t="str">
        <f t="shared" ca="1" si="15"/>
        <v/>
      </c>
      <c r="BH50" s="450" t="str">
        <f t="shared" ca="1" si="15"/>
        <v/>
      </c>
      <c r="BI50" s="450" t="str">
        <f t="shared" ca="1" si="15"/>
        <v/>
      </c>
      <c r="BJ50" s="450" t="str">
        <f t="shared" ca="1" si="15"/>
        <v/>
      </c>
      <c r="BK50" s="451" t="str">
        <f t="shared" ca="1" si="3"/>
        <v/>
      </c>
    </row>
    <row r="51" spans="1:63" ht="15" customHeight="1" x14ac:dyDescent="0.25">
      <c r="A51" s="438" t="s">
        <v>767</v>
      </c>
      <c r="B51" s="440" t="str">
        <f ca="1">'Feasibility Study'!Y73/1000</f>
        <v/>
      </c>
      <c r="C51" s="450" t="str">
        <f t="shared" ref="C51:AH51" ca="1" si="16">IF($B$51=0,0,$B$51*C30)</f>
        <v/>
      </c>
      <c r="D51" s="450" t="str">
        <f t="shared" ca="1" si="16"/>
        <v/>
      </c>
      <c r="E51" s="450" t="str">
        <f t="shared" ca="1" si="16"/>
        <v/>
      </c>
      <c r="F51" s="450" t="str">
        <f t="shared" ca="1" si="16"/>
        <v/>
      </c>
      <c r="G51" s="450" t="str">
        <f t="shared" ca="1" si="16"/>
        <v/>
      </c>
      <c r="H51" s="450" t="str">
        <f t="shared" ca="1" si="16"/>
        <v/>
      </c>
      <c r="I51" s="450" t="str">
        <f t="shared" ca="1" si="16"/>
        <v/>
      </c>
      <c r="J51" s="450" t="str">
        <f t="shared" ca="1" si="16"/>
        <v/>
      </c>
      <c r="K51" s="450" t="str">
        <f t="shared" ca="1" si="16"/>
        <v/>
      </c>
      <c r="L51" s="450" t="str">
        <f t="shared" ca="1" si="16"/>
        <v/>
      </c>
      <c r="M51" s="450" t="str">
        <f t="shared" ca="1" si="16"/>
        <v/>
      </c>
      <c r="N51" s="450" t="str">
        <f t="shared" ca="1" si="16"/>
        <v/>
      </c>
      <c r="O51" s="450" t="str">
        <f t="shared" ca="1" si="16"/>
        <v/>
      </c>
      <c r="P51" s="450" t="str">
        <f t="shared" ca="1" si="16"/>
        <v/>
      </c>
      <c r="Q51" s="450" t="str">
        <f t="shared" ca="1" si="16"/>
        <v/>
      </c>
      <c r="R51" s="450" t="str">
        <f t="shared" ca="1" si="16"/>
        <v/>
      </c>
      <c r="S51" s="450" t="str">
        <f t="shared" ca="1" si="16"/>
        <v/>
      </c>
      <c r="T51" s="450" t="str">
        <f t="shared" ca="1" si="16"/>
        <v/>
      </c>
      <c r="U51" s="450" t="str">
        <f t="shared" ca="1" si="16"/>
        <v/>
      </c>
      <c r="V51" s="450" t="str">
        <f t="shared" ca="1" si="16"/>
        <v/>
      </c>
      <c r="W51" s="450" t="str">
        <f t="shared" ca="1" si="16"/>
        <v/>
      </c>
      <c r="X51" s="450" t="str">
        <f t="shared" ca="1" si="16"/>
        <v/>
      </c>
      <c r="Y51" s="450" t="str">
        <f t="shared" ca="1" si="16"/>
        <v/>
      </c>
      <c r="Z51" s="450" t="str">
        <f t="shared" ca="1" si="16"/>
        <v/>
      </c>
      <c r="AA51" s="450" t="str">
        <f t="shared" ca="1" si="16"/>
        <v/>
      </c>
      <c r="AB51" s="450" t="str">
        <f t="shared" ca="1" si="16"/>
        <v/>
      </c>
      <c r="AC51" s="450" t="str">
        <f t="shared" ca="1" si="16"/>
        <v/>
      </c>
      <c r="AD51" s="450" t="str">
        <f t="shared" ca="1" si="16"/>
        <v/>
      </c>
      <c r="AE51" s="450" t="str">
        <f t="shared" ca="1" si="16"/>
        <v/>
      </c>
      <c r="AF51" s="450" t="str">
        <f t="shared" ca="1" si="16"/>
        <v/>
      </c>
      <c r="AG51" s="450" t="str">
        <f t="shared" ca="1" si="16"/>
        <v/>
      </c>
      <c r="AH51" s="450" t="str">
        <f t="shared" ca="1" si="16"/>
        <v/>
      </c>
      <c r="AI51" s="450" t="str">
        <f t="shared" ref="AI51:BJ51" ca="1" si="17">IF($B$51=0,0,$B$51*AI30)</f>
        <v/>
      </c>
      <c r="AJ51" s="450" t="str">
        <f t="shared" ca="1" si="17"/>
        <v/>
      </c>
      <c r="AK51" s="450" t="str">
        <f t="shared" ca="1" si="17"/>
        <v/>
      </c>
      <c r="AL51" s="450" t="str">
        <f t="shared" ca="1" si="17"/>
        <v/>
      </c>
      <c r="AM51" s="450" t="str">
        <f t="shared" ca="1" si="17"/>
        <v/>
      </c>
      <c r="AN51" s="450" t="str">
        <f t="shared" ca="1" si="17"/>
        <v/>
      </c>
      <c r="AO51" s="450" t="str">
        <f t="shared" ca="1" si="17"/>
        <v/>
      </c>
      <c r="AP51" s="450" t="str">
        <f t="shared" ca="1" si="17"/>
        <v/>
      </c>
      <c r="AQ51" s="450" t="str">
        <f t="shared" ca="1" si="17"/>
        <v/>
      </c>
      <c r="AR51" s="450" t="str">
        <f t="shared" ca="1" si="17"/>
        <v/>
      </c>
      <c r="AS51" s="450" t="str">
        <f t="shared" ca="1" si="17"/>
        <v/>
      </c>
      <c r="AT51" s="450" t="str">
        <f t="shared" ca="1" si="17"/>
        <v/>
      </c>
      <c r="AU51" s="450" t="str">
        <f t="shared" ca="1" si="17"/>
        <v/>
      </c>
      <c r="AV51" s="450" t="str">
        <f t="shared" ca="1" si="17"/>
        <v/>
      </c>
      <c r="AW51" s="450" t="str">
        <f t="shared" ca="1" si="17"/>
        <v/>
      </c>
      <c r="AX51" s="450" t="str">
        <f t="shared" ca="1" si="17"/>
        <v/>
      </c>
      <c r="AY51" s="450" t="str">
        <f t="shared" ca="1" si="17"/>
        <v/>
      </c>
      <c r="AZ51" s="450" t="str">
        <f t="shared" ca="1" si="17"/>
        <v/>
      </c>
      <c r="BA51" s="450" t="str">
        <f t="shared" ca="1" si="17"/>
        <v/>
      </c>
      <c r="BB51" s="450" t="str">
        <f t="shared" ca="1" si="17"/>
        <v/>
      </c>
      <c r="BC51" s="450" t="str">
        <f t="shared" ca="1" si="17"/>
        <v/>
      </c>
      <c r="BD51" s="450" t="str">
        <f t="shared" ca="1" si="17"/>
        <v/>
      </c>
      <c r="BE51" s="450" t="str">
        <f t="shared" ca="1" si="17"/>
        <v/>
      </c>
      <c r="BF51" s="450" t="str">
        <f t="shared" ca="1" si="17"/>
        <v/>
      </c>
      <c r="BG51" s="450" t="str">
        <f t="shared" ca="1" si="17"/>
        <v/>
      </c>
      <c r="BH51" s="450" t="str">
        <f t="shared" ca="1" si="17"/>
        <v/>
      </c>
      <c r="BI51" s="450" t="str">
        <f t="shared" ca="1" si="17"/>
        <v/>
      </c>
      <c r="BJ51" s="450" t="str">
        <f t="shared" ca="1" si="17"/>
        <v/>
      </c>
      <c r="BK51" s="451" t="str">
        <f t="shared" ca="1" si="3"/>
        <v/>
      </c>
    </row>
    <row r="52" spans="1:63" ht="15" customHeight="1" x14ac:dyDescent="0.25">
      <c r="A52" s="438" t="s">
        <v>768</v>
      </c>
      <c r="B52" s="440" t="str">
        <f ca="1">'Feasibility Study'!AC73/1000</f>
        <v/>
      </c>
      <c r="C52" s="450" t="str">
        <f t="shared" ref="C52:AH52" ca="1" si="18">IF($B$52=0,0,$B$52*C31)</f>
        <v/>
      </c>
      <c r="D52" s="450" t="str">
        <f t="shared" ca="1" si="18"/>
        <v/>
      </c>
      <c r="E52" s="450" t="str">
        <f t="shared" ca="1" si="18"/>
        <v/>
      </c>
      <c r="F52" s="450" t="str">
        <f t="shared" ca="1" si="18"/>
        <v/>
      </c>
      <c r="G52" s="450" t="str">
        <f t="shared" ca="1" si="18"/>
        <v/>
      </c>
      <c r="H52" s="450" t="str">
        <f t="shared" ca="1" si="18"/>
        <v/>
      </c>
      <c r="I52" s="450" t="str">
        <f t="shared" ca="1" si="18"/>
        <v/>
      </c>
      <c r="J52" s="450" t="str">
        <f t="shared" ca="1" si="18"/>
        <v/>
      </c>
      <c r="K52" s="450" t="str">
        <f t="shared" ca="1" si="18"/>
        <v/>
      </c>
      <c r="L52" s="450" t="str">
        <f t="shared" ca="1" si="18"/>
        <v/>
      </c>
      <c r="M52" s="450" t="str">
        <f t="shared" ca="1" si="18"/>
        <v/>
      </c>
      <c r="N52" s="450" t="str">
        <f t="shared" ca="1" si="18"/>
        <v/>
      </c>
      <c r="O52" s="450" t="str">
        <f t="shared" ca="1" si="18"/>
        <v/>
      </c>
      <c r="P52" s="450" t="str">
        <f t="shared" ca="1" si="18"/>
        <v/>
      </c>
      <c r="Q52" s="450" t="str">
        <f t="shared" ca="1" si="18"/>
        <v/>
      </c>
      <c r="R52" s="450" t="str">
        <f t="shared" ca="1" si="18"/>
        <v/>
      </c>
      <c r="S52" s="450" t="str">
        <f t="shared" ca="1" si="18"/>
        <v/>
      </c>
      <c r="T52" s="450" t="str">
        <f t="shared" ca="1" si="18"/>
        <v/>
      </c>
      <c r="U52" s="450" t="str">
        <f t="shared" ca="1" si="18"/>
        <v/>
      </c>
      <c r="V52" s="450" t="str">
        <f t="shared" ca="1" si="18"/>
        <v/>
      </c>
      <c r="W52" s="450" t="str">
        <f t="shared" ca="1" si="18"/>
        <v/>
      </c>
      <c r="X52" s="450" t="str">
        <f t="shared" ca="1" si="18"/>
        <v/>
      </c>
      <c r="Y52" s="450" t="str">
        <f t="shared" ca="1" si="18"/>
        <v/>
      </c>
      <c r="Z52" s="450" t="str">
        <f t="shared" ca="1" si="18"/>
        <v/>
      </c>
      <c r="AA52" s="450" t="str">
        <f t="shared" ca="1" si="18"/>
        <v/>
      </c>
      <c r="AB52" s="450" t="str">
        <f t="shared" ca="1" si="18"/>
        <v/>
      </c>
      <c r="AC52" s="450" t="str">
        <f t="shared" ca="1" si="18"/>
        <v/>
      </c>
      <c r="AD52" s="450" t="str">
        <f t="shared" ca="1" si="18"/>
        <v/>
      </c>
      <c r="AE52" s="450" t="str">
        <f t="shared" ca="1" si="18"/>
        <v/>
      </c>
      <c r="AF52" s="450" t="str">
        <f t="shared" ca="1" si="18"/>
        <v/>
      </c>
      <c r="AG52" s="450" t="str">
        <f t="shared" ca="1" si="18"/>
        <v/>
      </c>
      <c r="AH52" s="450" t="str">
        <f t="shared" ca="1" si="18"/>
        <v/>
      </c>
      <c r="AI52" s="450" t="str">
        <f t="shared" ref="AI52:BJ52" ca="1" si="19">IF($B$52=0,0,$B$52*AI31)</f>
        <v/>
      </c>
      <c r="AJ52" s="450" t="str">
        <f t="shared" ca="1" si="19"/>
        <v/>
      </c>
      <c r="AK52" s="450" t="str">
        <f t="shared" ca="1" si="19"/>
        <v/>
      </c>
      <c r="AL52" s="450" t="str">
        <f t="shared" ca="1" si="19"/>
        <v/>
      </c>
      <c r="AM52" s="450" t="str">
        <f t="shared" ca="1" si="19"/>
        <v/>
      </c>
      <c r="AN52" s="450" t="str">
        <f t="shared" ca="1" si="19"/>
        <v/>
      </c>
      <c r="AO52" s="450" t="str">
        <f t="shared" ca="1" si="19"/>
        <v/>
      </c>
      <c r="AP52" s="450" t="str">
        <f t="shared" ca="1" si="19"/>
        <v/>
      </c>
      <c r="AQ52" s="450" t="str">
        <f t="shared" ca="1" si="19"/>
        <v/>
      </c>
      <c r="AR52" s="450" t="str">
        <f t="shared" ca="1" si="19"/>
        <v/>
      </c>
      <c r="AS52" s="450" t="str">
        <f t="shared" ca="1" si="19"/>
        <v/>
      </c>
      <c r="AT52" s="450" t="str">
        <f t="shared" ca="1" si="19"/>
        <v/>
      </c>
      <c r="AU52" s="450" t="str">
        <f t="shared" ca="1" si="19"/>
        <v/>
      </c>
      <c r="AV52" s="450" t="str">
        <f t="shared" ca="1" si="19"/>
        <v/>
      </c>
      <c r="AW52" s="450" t="str">
        <f t="shared" ca="1" si="19"/>
        <v/>
      </c>
      <c r="AX52" s="450" t="str">
        <f t="shared" ca="1" si="19"/>
        <v/>
      </c>
      <c r="AY52" s="450" t="str">
        <f t="shared" ca="1" si="19"/>
        <v/>
      </c>
      <c r="AZ52" s="450" t="str">
        <f t="shared" ca="1" si="19"/>
        <v/>
      </c>
      <c r="BA52" s="450" t="str">
        <f t="shared" ca="1" si="19"/>
        <v/>
      </c>
      <c r="BB52" s="450" t="str">
        <f t="shared" ca="1" si="19"/>
        <v/>
      </c>
      <c r="BC52" s="450" t="str">
        <f t="shared" ca="1" si="19"/>
        <v/>
      </c>
      <c r="BD52" s="450" t="str">
        <f t="shared" ca="1" si="19"/>
        <v/>
      </c>
      <c r="BE52" s="450" t="str">
        <f t="shared" ca="1" si="19"/>
        <v/>
      </c>
      <c r="BF52" s="450" t="str">
        <f t="shared" ca="1" si="19"/>
        <v/>
      </c>
      <c r="BG52" s="450" t="str">
        <f t="shared" ca="1" si="19"/>
        <v/>
      </c>
      <c r="BH52" s="450" t="str">
        <f t="shared" ca="1" si="19"/>
        <v/>
      </c>
      <c r="BI52" s="450" t="str">
        <f t="shared" ca="1" si="19"/>
        <v/>
      </c>
      <c r="BJ52" s="450" t="str">
        <f t="shared" ca="1" si="19"/>
        <v/>
      </c>
      <c r="BK52" s="451" t="str">
        <f t="shared" ca="1" si="3"/>
        <v/>
      </c>
    </row>
    <row r="53" spans="1:63" ht="15" customHeight="1" x14ac:dyDescent="0.25">
      <c r="A53" s="438" t="s">
        <v>769</v>
      </c>
      <c r="B53" s="440" t="str">
        <f ca="1">'Feasibility Study'!AE73/1000</f>
        <v/>
      </c>
      <c r="C53" s="450" t="str">
        <f t="shared" ref="C53:AH53" ca="1" si="20">IF($B$53=0,0,$B$53*C32)</f>
        <v/>
      </c>
      <c r="D53" s="450" t="str">
        <f t="shared" ca="1" si="20"/>
        <v/>
      </c>
      <c r="E53" s="450" t="str">
        <f t="shared" ca="1" si="20"/>
        <v/>
      </c>
      <c r="F53" s="450" t="str">
        <f t="shared" ca="1" si="20"/>
        <v/>
      </c>
      <c r="G53" s="450" t="str">
        <f t="shared" ca="1" si="20"/>
        <v/>
      </c>
      <c r="H53" s="450" t="str">
        <f t="shared" ca="1" si="20"/>
        <v/>
      </c>
      <c r="I53" s="450" t="str">
        <f t="shared" ca="1" si="20"/>
        <v/>
      </c>
      <c r="J53" s="450" t="str">
        <f t="shared" ca="1" si="20"/>
        <v/>
      </c>
      <c r="K53" s="450" t="str">
        <f t="shared" ca="1" si="20"/>
        <v/>
      </c>
      <c r="L53" s="450" t="str">
        <f t="shared" ca="1" si="20"/>
        <v/>
      </c>
      <c r="M53" s="450" t="str">
        <f t="shared" ca="1" si="20"/>
        <v/>
      </c>
      <c r="N53" s="450" t="str">
        <f t="shared" ca="1" si="20"/>
        <v/>
      </c>
      <c r="O53" s="450" t="str">
        <f t="shared" ca="1" si="20"/>
        <v/>
      </c>
      <c r="P53" s="450" t="str">
        <f t="shared" ca="1" si="20"/>
        <v/>
      </c>
      <c r="Q53" s="450" t="str">
        <f t="shared" ca="1" si="20"/>
        <v/>
      </c>
      <c r="R53" s="450" t="str">
        <f t="shared" ca="1" si="20"/>
        <v/>
      </c>
      <c r="S53" s="450" t="str">
        <f t="shared" ca="1" si="20"/>
        <v/>
      </c>
      <c r="T53" s="450" t="str">
        <f t="shared" ca="1" si="20"/>
        <v/>
      </c>
      <c r="U53" s="450" t="str">
        <f t="shared" ca="1" si="20"/>
        <v/>
      </c>
      <c r="V53" s="450" t="str">
        <f t="shared" ca="1" si="20"/>
        <v/>
      </c>
      <c r="W53" s="450" t="str">
        <f t="shared" ca="1" si="20"/>
        <v/>
      </c>
      <c r="X53" s="450" t="str">
        <f t="shared" ca="1" si="20"/>
        <v/>
      </c>
      <c r="Y53" s="450" t="str">
        <f t="shared" ca="1" si="20"/>
        <v/>
      </c>
      <c r="Z53" s="450" t="str">
        <f t="shared" ca="1" si="20"/>
        <v/>
      </c>
      <c r="AA53" s="450" t="str">
        <f t="shared" ca="1" si="20"/>
        <v/>
      </c>
      <c r="AB53" s="450" t="str">
        <f t="shared" ca="1" si="20"/>
        <v/>
      </c>
      <c r="AC53" s="450" t="str">
        <f t="shared" ca="1" si="20"/>
        <v/>
      </c>
      <c r="AD53" s="450" t="str">
        <f t="shared" ca="1" si="20"/>
        <v/>
      </c>
      <c r="AE53" s="450" t="str">
        <f t="shared" ca="1" si="20"/>
        <v/>
      </c>
      <c r="AF53" s="450" t="str">
        <f t="shared" ca="1" si="20"/>
        <v/>
      </c>
      <c r="AG53" s="450" t="str">
        <f t="shared" ca="1" si="20"/>
        <v/>
      </c>
      <c r="AH53" s="450" t="str">
        <f t="shared" ca="1" si="20"/>
        <v/>
      </c>
      <c r="AI53" s="450" t="str">
        <f t="shared" ref="AI53:BJ53" ca="1" si="21">IF($B$53=0,0,$B$53*AI32)</f>
        <v/>
      </c>
      <c r="AJ53" s="450" t="str">
        <f t="shared" ca="1" si="21"/>
        <v/>
      </c>
      <c r="AK53" s="450" t="str">
        <f t="shared" ca="1" si="21"/>
        <v/>
      </c>
      <c r="AL53" s="450" t="str">
        <f t="shared" ca="1" si="21"/>
        <v/>
      </c>
      <c r="AM53" s="450" t="str">
        <f t="shared" ca="1" si="21"/>
        <v/>
      </c>
      <c r="AN53" s="450" t="str">
        <f t="shared" ca="1" si="21"/>
        <v/>
      </c>
      <c r="AO53" s="450" t="str">
        <f t="shared" ca="1" si="21"/>
        <v/>
      </c>
      <c r="AP53" s="450" t="str">
        <f t="shared" ca="1" si="21"/>
        <v/>
      </c>
      <c r="AQ53" s="450" t="str">
        <f t="shared" ca="1" si="21"/>
        <v/>
      </c>
      <c r="AR53" s="450" t="str">
        <f t="shared" ca="1" si="21"/>
        <v/>
      </c>
      <c r="AS53" s="450" t="str">
        <f t="shared" ca="1" si="21"/>
        <v/>
      </c>
      <c r="AT53" s="450" t="str">
        <f t="shared" ca="1" si="21"/>
        <v/>
      </c>
      <c r="AU53" s="450" t="str">
        <f t="shared" ca="1" si="21"/>
        <v/>
      </c>
      <c r="AV53" s="450" t="str">
        <f t="shared" ca="1" si="21"/>
        <v/>
      </c>
      <c r="AW53" s="450" t="str">
        <f t="shared" ca="1" si="21"/>
        <v/>
      </c>
      <c r="AX53" s="450" t="str">
        <f t="shared" ca="1" si="21"/>
        <v/>
      </c>
      <c r="AY53" s="450" t="str">
        <f t="shared" ca="1" si="21"/>
        <v/>
      </c>
      <c r="AZ53" s="450" t="str">
        <f t="shared" ca="1" si="21"/>
        <v/>
      </c>
      <c r="BA53" s="450" t="str">
        <f t="shared" ca="1" si="21"/>
        <v/>
      </c>
      <c r="BB53" s="450" t="str">
        <f t="shared" ca="1" si="21"/>
        <v/>
      </c>
      <c r="BC53" s="450" t="str">
        <f t="shared" ca="1" si="21"/>
        <v/>
      </c>
      <c r="BD53" s="450" t="str">
        <f t="shared" ca="1" si="21"/>
        <v/>
      </c>
      <c r="BE53" s="450" t="str">
        <f t="shared" ca="1" si="21"/>
        <v/>
      </c>
      <c r="BF53" s="450" t="str">
        <f t="shared" ca="1" si="21"/>
        <v/>
      </c>
      <c r="BG53" s="450" t="str">
        <f t="shared" ca="1" si="21"/>
        <v/>
      </c>
      <c r="BH53" s="450" t="str">
        <f t="shared" ca="1" si="21"/>
        <v/>
      </c>
      <c r="BI53" s="450" t="str">
        <f t="shared" ca="1" si="21"/>
        <v/>
      </c>
      <c r="BJ53" s="450" t="str">
        <f t="shared" ca="1" si="21"/>
        <v/>
      </c>
      <c r="BK53" s="451" t="str">
        <f t="shared" ca="1" si="3"/>
        <v/>
      </c>
    </row>
    <row r="54" spans="1:63" ht="15" customHeight="1" x14ac:dyDescent="0.25">
      <c r="A54" s="438" t="s">
        <v>770</v>
      </c>
      <c r="B54" s="440" t="str">
        <f ca="1">'Feasibility Study'!AG73/1000</f>
        <v/>
      </c>
      <c r="C54" s="450" t="str">
        <f t="shared" ref="C54:AH54" ca="1" si="22">IF($B$54=0,0,$B$54*C33)</f>
        <v/>
      </c>
      <c r="D54" s="450" t="str">
        <f t="shared" ca="1" si="22"/>
        <v/>
      </c>
      <c r="E54" s="450" t="str">
        <f t="shared" ca="1" si="22"/>
        <v/>
      </c>
      <c r="F54" s="450" t="str">
        <f t="shared" ca="1" si="22"/>
        <v/>
      </c>
      <c r="G54" s="450" t="str">
        <f t="shared" ca="1" si="22"/>
        <v/>
      </c>
      <c r="H54" s="450" t="str">
        <f t="shared" ca="1" si="22"/>
        <v/>
      </c>
      <c r="I54" s="450" t="str">
        <f t="shared" ca="1" si="22"/>
        <v/>
      </c>
      <c r="J54" s="450" t="str">
        <f t="shared" ca="1" si="22"/>
        <v/>
      </c>
      <c r="K54" s="450" t="str">
        <f t="shared" ca="1" si="22"/>
        <v/>
      </c>
      <c r="L54" s="450" t="str">
        <f t="shared" ca="1" si="22"/>
        <v/>
      </c>
      <c r="M54" s="450" t="str">
        <f t="shared" ca="1" si="22"/>
        <v/>
      </c>
      <c r="N54" s="450" t="str">
        <f t="shared" ca="1" si="22"/>
        <v/>
      </c>
      <c r="O54" s="450" t="str">
        <f t="shared" ca="1" si="22"/>
        <v/>
      </c>
      <c r="P54" s="450" t="str">
        <f t="shared" ca="1" si="22"/>
        <v/>
      </c>
      <c r="Q54" s="450" t="str">
        <f t="shared" ca="1" si="22"/>
        <v/>
      </c>
      <c r="R54" s="450" t="str">
        <f t="shared" ca="1" si="22"/>
        <v/>
      </c>
      <c r="S54" s="450" t="str">
        <f t="shared" ca="1" si="22"/>
        <v/>
      </c>
      <c r="T54" s="450" t="str">
        <f t="shared" ca="1" si="22"/>
        <v/>
      </c>
      <c r="U54" s="450" t="str">
        <f t="shared" ca="1" si="22"/>
        <v/>
      </c>
      <c r="V54" s="450" t="str">
        <f t="shared" ca="1" si="22"/>
        <v/>
      </c>
      <c r="W54" s="450" t="str">
        <f t="shared" ca="1" si="22"/>
        <v/>
      </c>
      <c r="X54" s="450" t="str">
        <f t="shared" ca="1" si="22"/>
        <v/>
      </c>
      <c r="Y54" s="450" t="str">
        <f t="shared" ca="1" si="22"/>
        <v/>
      </c>
      <c r="Z54" s="450" t="str">
        <f t="shared" ca="1" si="22"/>
        <v/>
      </c>
      <c r="AA54" s="450" t="str">
        <f t="shared" ca="1" si="22"/>
        <v/>
      </c>
      <c r="AB54" s="450" t="str">
        <f t="shared" ca="1" si="22"/>
        <v/>
      </c>
      <c r="AC54" s="450" t="str">
        <f t="shared" ca="1" si="22"/>
        <v/>
      </c>
      <c r="AD54" s="450" t="str">
        <f t="shared" ca="1" si="22"/>
        <v/>
      </c>
      <c r="AE54" s="450" t="str">
        <f t="shared" ca="1" si="22"/>
        <v/>
      </c>
      <c r="AF54" s="450" t="str">
        <f t="shared" ca="1" si="22"/>
        <v/>
      </c>
      <c r="AG54" s="450" t="str">
        <f t="shared" ca="1" si="22"/>
        <v/>
      </c>
      <c r="AH54" s="450" t="str">
        <f t="shared" ca="1" si="22"/>
        <v/>
      </c>
      <c r="AI54" s="450" t="str">
        <f t="shared" ref="AI54:BJ54" ca="1" si="23">IF($B$54=0,0,$B$54*AI33)</f>
        <v/>
      </c>
      <c r="AJ54" s="450" t="str">
        <f t="shared" ca="1" si="23"/>
        <v/>
      </c>
      <c r="AK54" s="450" t="str">
        <f t="shared" ca="1" si="23"/>
        <v/>
      </c>
      <c r="AL54" s="450" t="str">
        <f t="shared" ca="1" si="23"/>
        <v/>
      </c>
      <c r="AM54" s="450" t="str">
        <f t="shared" ca="1" si="23"/>
        <v/>
      </c>
      <c r="AN54" s="450" t="str">
        <f t="shared" ca="1" si="23"/>
        <v/>
      </c>
      <c r="AO54" s="450" t="str">
        <f t="shared" ca="1" si="23"/>
        <v/>
      </c>
      <c r="AP54" s="450" t="str">
        <f t="shared" ca="1" si="23"/>
        <v/>
      </c>
      <c r="AQ54" s="450" t="str">
        <f t="shared" ca="1" si="23"/>
        <v/>
      </c>
      <c r="AR54" s="450" t="str">
        <f t="shared" ca="1" si="23"/>
        <v/>
      </c>
      <c r="AS54" s="450" t="str">
        <f t="shared" ca="1" si="23"/>
        <v/>
      </c>
      <c r="AT54" s="450" t="str">
        <f t="shared" ca="1" si="23"/>
        <v/>
      </c>
      <c r="AU54" s="450" t="str">
        <f t="shared" ca="1" si="23"/>
        <v/>
      </c>
      <c r="AV54" s="450" t="str">
        <f t="shared" ca="1" si="23"/>
        <v/>
      </c>
      <c r="AW54" s="450" t="str">
        <f t="shared" ca="1" si="23"/>
        <v/>
      </c>
      <c r="AX54" s="450" t="str">
        <f t="shared" ca="1" si="23"/>
        <v/>
      </c>
      <c r="AY54" s="450" t="str">
        <f t="shared" ca="1" si="23"/>
        <v/>
      </c>
      <c r="AZ54" s="450" t="str">
        <f t="shared" ca="1" si="23"/>
        <v/>
      </c>
      <c r="BA54" s="450" t="str">
        <f t="shared" ca="1" si="23"/>
        <v/>
      </c>
      <c r="BB54" s="450" t="str">
        <f t="shared" ca="1" si="23"/>
        <v/>
      </c>
      <c r="BC54" s="450" t="str">
        <f t="shared" ca="1" si="23"/>
        <v/>
      </c>
      <c r="BD54" s="450" t="str">
        <f t="shared" ca="1" si="23"/>
        <v/>
      </c>
      <c r="BE54" s="450" t="str">
        <f t="shared" ca="1" si="23"/>
        <v/>
      </c>
      <c r="BF54" s="450" t="str">
        <f t="shared" ca="1" si="23"/>
        <v/>
      </c>
      <c r="BG54" s="450" t="str">
        <f t="shared" ca="1" si="23"/>
        <v/>
      </c>
      <c r="BH54" s="450" t="str">
        <f t="shared" ca="1" si="23"/>
        <v/>
      </c>
      <c r="BI54" s="450" t="str">
        <f t="shared" ca="1" si="23"/>
        <v/>
      </c>
      <c r="BJ54" s="450" t="str">
        <f t="shared" ca="1" si="23"/>
        <v/>
      </c>
      <c r="BK54" s="451" t="str">
        <f t="shared" ca="1" si="3"/>
        <v/>
      </c>
    </row>
    <row r="55" spans="1:63" ht="15" customHeight="1" x14ac:dyDescent="0.25">
      <c r="A55" s="438" t="s">
        <v>771</v>
      </c>
      <c r="B55" s="440" t="str">
        <f ca="1">'Feasibility Study'!AI73/1000</f>
        <v/>
      </c>
      <c r="C55" s="450" t="str">
        <f t="shared" ref="C55:AH55" ca="1" si="24">IF($B$55=0,0,$B$55*C34)</f>
        <v/>
      </c>
      <c r="D55" s="450" t="str">
        <f t="shared" ca="1" si="24"/>
        <v/>
      </c>
      <c r="E55" s="450" t="str">
        <f t="shared" ca="1" si="24"/>
        <v/>
      </c>
      <c r="F55" s="450" t="str">
        <f t="shared" ca="1" si="24"/>
        <v/>
      </c>
      <c r="G55" s="450" t="str">
        <f t="shared" ca="1" si="24"/>
        <v/>
      </c>
      <c r="H55" s="450" t="str">
        <f t="shared" ca="1" si="24"/>
        <v/>
      </c>
      <c r="I55" s="450" t="str">
        <f t="shared" ca="1" si="24"/>
        <v/>
      </c>
      <c r="J55" s="450" t="str">
        <f t="shared" ca="1" si="24"/>
        <v/>
      </c>
      <c r="K55" s="450" t="str">
        <f t="shared" ca="1" si="24"/>
        <v/>
      </c>
      <c r="L55" s="450" t="str">
        <f t="shared" ca="1" si="24"/>
        <v/>
      </c>
      <c r="M55" s="450" t="str">
        <f t="shared" ca="1" si="24"/>
        <v/>
      </c>
      <c r="N55" s="450" t="str">
        <f t="shared" ca="1" si="24"/>
        <v/>
      </c>
      <c r="O55" s="450" t="str">
        <f t="shared" ca="1" si="24"/>
        <v/>
      </c>
      <c r="P55" s="450" t="str">
        <f t="shared" ca="1" si="24"/>
        <v/>
      </c>
      <c r="Q55" s="450" t="str">
        <f t="shared" ca="1" si="24"/>
        <v/>
      </c>
      <c r="R55" s="450" t="str">
        <f t="shared" ca="1" si="24"/>
        <v/>
      </c>
      <c r="S55" s="450" t="str">
        <f t="shared" ca="1" si="24"/>
        <v/>
      </c>
      <c r="T55" s="450" t="str">
        <f t="shared" ca="1" si="24"/>
        <v/>
      </c>
      <c r="U55" s="450" t="str">
        <f t="shared" ca="1" si="24"/>
        <v/>
      </c>
      <c r="V55" s="450" t="str">
        <f t="shared" ca="1" si="24"/>
        <v/>
      </c>
      <c r="W55" s="450" t="str">
        <f t="shared" ca="1" si="24"/>
        <v/>
      </c>
      <c r="X55" s="450" t="str">
        <f t="shared" ca="1" si="24"/>
        <v/>
      </c>
      <c r="Y55" s="450" t="str">
        <f t="shared" ca="1" si="24"/>
        <v/>
      </c>
      <c r="Z55" s="450" t="str">
        <f t="shared" ca="1" si="24"/>
        <v/>
      </c>
      <c r="AA55" s="450" t="str">
        <f t="shared" ca="1" si="24"/>
        <v/>
      </c>
      <c r="AB55" s="450" t="str">
        <f t="shared" ca="1" si="24"/>
        <v/>
      </c>
      <c r="AC55" s="450" t="str">
        <f t="shared" ca="1" si="24"/>
        <v/>
      </c>
      <c r="AD55" s="450" t="str">
        <f t="shared" ca="1" si="24"/>
        <v/>
      </c>
      <c r="AE55" s="450" t="str">
        <f t="shared" ca="1" si="24"/>
        <v/>
      </c>
      <c r="AF55" s="450" t="str">
        <f t="shared" ca="1" si="24"/>
        <v/>
      </c>
      <c r="AG55" s="450" t="str">
        <f t="shared" ca="1" si="24"/>
        <v/>
      </c>
      <c r="AH55" s="450" t="str">
        <f t="shared" ca="1" si="24"/>
        <v/>
      </c>
      <c r="AI55" s="450" t="str">
        <f t="shared" ref="AI55:BJ55" ca="1" si="25">IF($B$55=0,0,$B$55*AI34)</f>
        <v/>
      </c>
      <c r="AJ55" s="450" t="str">
        <f t="shared" ca="1" si="25"/>
        <v/>
      </c>
      <c r="AK55" s="450" t="str">
        <f t="shared" ca="1" si="25"/>
        <v/>
      </c>
      <c r="AL55" s="450" t="str">
        <f t="shared" ca="1" si="25"/>
        <v/>
      </c>
      <c r="AM55" s="450" t="str">
        <f t="shared" ca="1" si="25"/>
        <v/>
      </c>
      <c r="AN55" s="450" t="str">
        <f t="shared" ca="1" si="25"/>
        <v/>
      </c>
      <c r="AO55" s="450" t="str">
        <f t="shared" ca="1" si="25"/>
        <v/>
      </c>
      <c r="AP55" s="450" t="str">
        <f t="shared" ca="1" si="25"/>
        <v/>
      </c>
      <c r="AQ55" s="450" t="str">
        <f t="shared" ca="1" si="25"/>
        <v/>
      </c>
      <c r="AR55" s="450" t="str">
        <f t="shared" ca="1" si="25"/>
        <v/>
      </c>
      <c r="AS55" s="450" t="str">
        <f t="shared" ca="1" si="25"/>
        <v/>
      </c>
      <c r="AT55" s="450" t="str">
        <f t="shared" ca="1" si="25"/>
        <v/>
      </c>
      <c r="AU55" s="450" t="str">
        <f t="shared" ca="1" si="25"/>
        <v/>
      </c>
      <c r="AV55" s="450" t="str">
        <f t="shared" ca="1" si="25"/>
        <v/>
      </c>
      <c r="AW55" s="450" t="str">
        <f t="shared" ca="1" si="25"/>
        <v/>
      </c>
      <c r="AX55" s="450" t="str">
        <f t="shared" ca="1" si="25"/>
        <v/>
      </c>
      <c r="AY55" s="450" t="str">
        <f t="shared" ca="1" si="25"/>
        <v/>
      </c>
      <c r="AZ55" s="450" t="str">
        <f t="shared" ca="1" si="25"/>
        <v/>
      </c>
      <c r="BA55" s="450" t="str">
        <f t="shared" ca="1" si="25"/>
        <v/>
      </c>
      <c r="BB55" s="450" t="str">
        <f t="shared" ca="1" si="25"/>
        <v/>
      </c>
      <c r="BC55" s="450" t="str">
        <f t="shared" ca="1" si="25"/>
        <v/>
      </c>
      <c r="BD55" s="450" t="str">
        <f t="shared" ca="1" si="25"/>
        <v/>
      </c>
      <c r="BE55" s="450" t="str">
        <f t="shared" ca="1" si="25"/>
        <v/>
      </c>
      <c r="BF55" s="450" t="str">
        <f t="shared" ca="1" si="25"/>
        <v/>
      </c>
      <c r="BG55" s="450" t="str">
        <f t="shared" ca="1" si="25"/>
        <v/>
      </c>
      <c r="BH55" s="450" t="str">
        <f t="shared" ca="1" si="25"/>
        <v/>
      </c>
      <c r="BI55" s="450" t="str">
        <f t="shared" ca="1" si="25"/>
        <v/>
      </c>
      <c r="BJ55" s="450" t="str">
        <f t="shared" ca="1" si="25"/>
        <v/>
      </c>
      <c r="BK55" s="451" t="str">
        <f t="shared" ca="1" si="3"/>
        <v/>
      </c>
    </row>
    <row r="56" spans="1:63" ht="15" customHeight="1" x14ac:dyDescent="0.25">
      <c r="A56" s="438" t="s">
        <v>772</v>
      </c>
      <c r="B56" s="440" t="str">
        <f ca="1">'Feasibility Study'!AK73/1000</f>
        <v/>
      </c>
      <c r="C56" s="450" t="str">
        <f t="shared" ref="C56:AH56" ca="1" si="26">IF($B$56=0,0,$B$56*C35)</f>
        <v/>
      </c>
      <c r="D56" s="450" t="str">
        <f t="shared" ca="1" si="26"/>
        <v/>
      </c>
      <c r="E56" s="450" t="str">
        <f t="shared" ca="1" si="26"/>
        <v/>
      </c>
      <c r="F56" s="450" t="str">
        <f t="shared" ca="1" si="26"/>
        <v/>
      </c>
      <c r="G56" s="450" t="str">
        <f t="shared" ca="1" si="26"/>
        <v/>
      </c>
      <c r="H56" s="450" t="str">
        <f t="shared" ca="1" si="26"/>
        <v/>
      </c>
      <c r="I56" s="450" t="str">
        <f t="shared" ca="1" si="26"/>
        <v/>
      </c>
      <c r="J56" s="450" t="str">
        <f t="shared" ca="1" si="26"/>
        <v/>
      </c>
      <c r="K56" s="450" t="str">
        <f t="shared" ca="1" si="26"/>
        <v/>
      </c>
      <c r="L56" s="450" t="str">
        <f t="shared" ca="1" si="26"/>
        <v/>
      </c>
      <c r="M56" s="450" t="str">
        <f t="shared" ca="1" si="26"/>
        <v/>
      </c>
      <c r="N56" s="450" t="str">
        <f t="shared" ca="1" si="26"/>
        <v/>
      </c>
      <c r="O56" s="450" t="str">
        <f t="shared" ca="1" si="26"/>
        <v/>
      </c>
      <c r="P56" s="450" t="str">
        <f t="shared" ca="1" si="26"/>
        <v/>
      </c>
      <c r="Q56" s="450" t="str">
        <f t="shared" ca="1" si="26"/>
        <v/>
      </c>
      <c r="R56" s="450" t="str">
        <f t="shared" ca="1" si="26"/>
        <v/>
      </c>
      <c r="S56" s="450" t="str">
        <f t="shared" ca="1" si="26"/>
        <v/>
      </c>
      <c r="T56" s="450" t="str">
        <f t="shared" ca="1" si="26"/>
        <v/>
      </c>
      <c r="U56" s="450" t="str">
        <f t="shared" ca="1" si="26"/>
        <v/>
      </c>
      <c r="V56" s="450" t="str">
        <f t="shared" ca="1" si="26"/>
        <v/>
      </c>
      <c r="W56" s="450" t="str">
        <f t="shared" ca="1" si="26"/>
        <v/>
      </c>
      <c r="X56" s="450" t="str">
        <f t="shared" ca="1" si="26"/>
        <v/>
      </c>
      <c r="Y56" s="450" t="str">
        <f t="shared" ca="1" si="26"/>
        <v/>
      </c>
      <c r="Z56" s="450" t="str">
        <f t="shared" ca="1" si="26"/>
        <v/>
      </c>
      <c r="AA56" s="450" t="str">
        <f t="shared" ca="1" si="26"/>
        <v/>
      </c>
      <c r="AB56" s="450" t="str">
        <f t="shared" ca="1" si="26"/>
        <v/>
      </c>
      <c r="AC56" s="450" t="str">
        <f t="shared" ca="1" si="26"/>
        <v/>
      </c>
      <c r="AD56" s="450" t="str">
        <f t="shared" ca="1" si="26"/>
        <v/>
      </c>
      <c r="AE56" s="450" t="str">
        <f t="shared" ca="1" si="26"/>
        <v/>
      </c>
      <c r="AF56" s="450" t="str">
        <f t="shared" ca="1" si="26"/>
        <v/>
      </c>
      <c r="AG56" s="450" t="str">
        <f t="shared" ca="1" si="26"/>
        <v/>
      </c>
      <c r="AH56" s="450" t="str">
        <f t="shared" ca="1" si="26"/>
        <v/>
      </c>
      <c r="AI56" s="450" t="str">
        <f t="shared" ref="AI56:BJ56" ca="1" si="27">IF($B$56=0,0,$B$56*AI35)</f>
        <v/>
      </c>
      <c r="AJ56" s="450" t="str">
        <f t="shared" ca="1" si="27"/>
        <v/>
      </c>
      <c r="AK56" s="450" t="str">
        <f t="shared" ca="1" si="27"/>
        <v/>
      </c>
      <c r="AL56" s="450" t="str">
        <f t="shared" ca="1" si="27"/>
        <v/>
      </c>
      <c r="AM56" s="450" t="str">
        <f t="shared" ca="1" si="27"/>
        <v/>
      </c>
      <c r="AN56" s="450" t="str">
        <f t="shared" ca="1" si="27"/>
        <v/>
      </c>
      <c r="AO56" s="450" t="str">
        <f t="shared" ca="1" si="27"/>
        <v/>
      </c>
      <c r="AP56" s="450" t="str">
        <f t="shared" ca="1" si="27"/>
        <v/>
      </c>
      <c r="AQ56" s="450" t="str">
        <f t="shared" ca="1" si="27"/>
        <v/>
      </c>
      <c r="AR56" s="450" t="str">
        <f t="shared" ca="1" si="27"/>
        <v/>
      </c>
      <c r="AS56" s="450" t="str">
        <f t="shared" ca="1" si="27"/>
        <v/>
      </c>
      <c r="AT56" s="450" t="str">
        <f t="shared" ca="1" si="27"/>
        <v/>
      </c>
      <c r="AU56" s="450" t="str">
        <f t="shared" ca="1" si="27"/>
        <v/>
      </c>
      <c r="AV56" s="450" t="str">
        <f t="shared" ca="1" si="27"/>
        <v/>
      </c>
      <c r="AW56" s="450" t="str">
        <f t="shared" ca="1" si="27"/>
        <v/>
      </c>
      <c r="AX56" s="450" t="str">
        <f t="shared" ca="1" si="27"/>
        <v/>
      </c>
      <c r="AY56" s="450" t="str">
        <f t="shared" ca="1" si="27"/>
        <v/>
      </c>
      <c r="AZ56" s="450" t="str">
        <f t="shared" ca="1" si="27"/>
        <v/>
      </c>
      <c r="BA56" s="450" t="str">
        <f t="shared" ca="1" si="27"/>
        <v/>
      </c>
      <c r="BB56" s="450" t="str">
        <f t="shared" ca="1" si="27"/>
        <v/>
      </c>
      <c r="BC56" s="450" t="str">
        <f t="shared" ca="1" si="27"/>
        <v/>
      </c>
      <c r="BD56" s="450" t="str">
        <f t="shared" ca="1" si="27"/>
        <v/>
      </c>
      <c r="BE56" s="450" t="str">
        <f t="shared" ca="1" si="27"/>
        <v/>
      </c>
      <c r="BF56" s="450" t="str">
        <f t="shared" ca="1" si="27"/>
        <v/>
      </c>
      <c r="BG56" s="450" t="str">
        <f t="shared" ca="1" si="27"/>
        <v/>
      </c>
      <c r="BH56" s="450" t="str">
        <f t="shared" ca="1" si="27"/>
        <v/>
      </c>
      <c r="BI56" s="450" t="str">
        <f t="shared" ca="1" si="27"/>
        <v/>
      </c>
      <c r="BJ56" s="450" t="str">
        <f t="shared" ca="1" si="27"/>
        <v/>
      </c>
      <c r="BK56" s="451" t="str">
        <f t="shared" ca="1" si="3"/>
        <v/>
      </c>
    </row>
    <row r="57" spans="1:63" ht="15" customHeight="1" x14ac:dyDescent="0.25">
      <c r="A57" s="438" t="s">
        <v>773</v>
      </c>
      <c r="B57" s="440" t="str">
        <f ca="1">'Feasibility Study'!AM73/1000</f>
        <v/>
      </c>
      <c r="C57" s="450" t="str">
        <f t="shared" ref="C57:AH57" ca="1" si="28">IF($B$57=0,0,$B$57*C36)</f>
        <v/>
      </c>
      <c r="D57" s="450" t="str">
        <f t="shared" ca="1" si="28"/>
        <v/>
      </c>
      <c r="E57" s="450" t="str">
        <f t="shared" ca="1" si="28"/>
        <v/>
      </c>
      <c r="F57" s="450" t="str">
        <f t="shared" ca="1" si="28"/>
        <v/>
      </c>
      <c r="G57" s="450" t="str">
        <f t="shared" ca="1" si="28"/>
        <v/>
      </c>
      <c r="H57" s="450" t="str">
        <f t="shared" ca="1" si="28"/>
        <v/>
      </c>
      <c r="I57" s="450" t="str">
        <f t="shared" ca="1" si="28"/>
        <v/>
      </c>
      <c r="J57" s="450" t="str">
        <f t="shared" ca="1" si="28"/>
        <v/>
      </c>
      <c r="K57" s="450" t="str">
        <f t="shared" ca="1" si="28"/>
        <v/>
      </c>
      <c r="L57" s="450" t="str">
        <f t="shared" ca="1" si="28"/>
        <v/>
      </c>
      <c r="M57" s="450" t="str">
        <f t="shared" ca="1" si="28"/>
        <v/>
      </c>
      <c r="N57" s="450" t="str">
        <f t="shared" ca="1" si="28"/>
        <v/>
      </c>
      <c r="O57" s="450" t="str">
        <f t="shared" ca="1" si="28"/>
        <v/>
      </c>
      <c r="P57" s="450" t="str">
        <f t="shared" ca="1" si="28"/>
        <v/>
      </c>
      <c r="Q57" s="450" t="str">
        <f t="shared" ca="1" si="28"/>
        <v/>
      </c>
      <c r="R57" s="450" t="str">
        <f t="shared" ca="1" si="28"/>
        <v/>
      </c>
      <c r="S57" s="450" t="str">
        <f t="shared" ca="1" si="28"/>
        <v/>
      </c>
      <c r="T57" s="450" t="str">
        <f t="shared" ca="1" si="28"/>
        <v/>
      </c>
      <c r="U57" s="450" t="str">
        <f t="shared" ca="1" si="28"/>
        <v/>
      </c>
      <c r="V57" s="450" t="str">
        <f t="shared" ca="1" si="28"/>
        <v/>
      </c>
      <c r="W57" s="450" t="str">
        <f t="shared" ca="1" si="28"/>
        <v/>
      </c>
      <c r="X57" s="450" t="str">
        <f t="shared" ca="1" si="28"/>
        <v/>
      </c>
      <c r="Y57" s="450" t="str">
        <f t="shared" ca="1" si="28"/>
        <v/>
      </c>
      <c r="Z57" s="450" t="str">
        <f t="shared" ca="1" si="28"/>
        <v/>
      </c>
      <c r="AA57" s="450" t="str">
        <f t="shared" ca="1" si="28"/>
        <v/>
      </c>
      <c r="AB57" s="450" t="str">
        <f t="shared" ca="1" si="28"/>
        <v/>
      </c>
      <c r="AC57" s="450" t="str">
        <f t="shared" ca="1" si="28"/>
        <v/>
      </c>
      <c r="AD57" s="450" t="str">
        <f t="shared" ca="1" si="28"/>
        <v/>
      </c>
      <c r="AE57" s="450" t="str">
        <f t="shared" ca="1" si="28"/>
        <v/>
      </c>
      <c r="AF57" s="450" t="str">
        <f t="shared" ca="1" si="28"/>
        <v/>
      </c>
      <c r="AG57" s="450" t="str">
        <f t="shared" ca="1" si="28"/>
        <v/>
      </c>
      <c r="AH57" s="450" t="str">
        <f t="shared" ca="1" si="28"/>
        <v/>
      </c>
      <c r="AI57" s="450" t="str">
        <f t="shared" ref="AI57:BJ57" ca="1" si="29">IF($B$57=0,0,$B$57*AI36)</f>
        <v/>
      </c>
      <c r="AJ57" s="450" t="str">
        <f t="shared" ca="1" si="29"/>
        <v/>
      </c>
      <c r="AK57" s="450" t="str">
        <f t="shared" ca="1" si="29"/>
        <v/>
      </c>
      <c r="AL57" s="450" t="str">
        <f t="shared" ca="1" si="29"/>
        <v/>
      </c>
      <c r="AM57" s="450" t="str">
        <f t="shared" ca="1" si="29"/>
        <v/>
      </c>
      <c r="AN57" s="450" t="str">
        <f t="shared" ca="1" si="29"/>
        <v/>
      </c>
      <c r="AO57" s="450" t="str">
        <f t="shared" ca="1" si="29"/>
        <v/>
      </c>
      <c r="AP57" s="450" t="str">
        <f t="shared" ca="1" si="29"/>
        <v/>
      </c>
      <c r="AQ57" s="450" t="str">
        <f t="shared" ca="1" si="29"/>
        <v/>
      </c>
      <c r="AR57" s="450" t="str">
        <f t="shared" ca="1" si="29"/>
        <v/>
      </c>
      <c r="AS57" s="450" t="str">
        <f t="shared" ca="1" si="29"/>
        <v/>
      </c>
      <c r="AT57" s="450" t="str">
        <f t="shared" ca="1" si="29"/>
        <v/>
      </c>
      <c r="AU57" s="450" t="str">
        <f t="shared" ca="1" si="29"/>
        <v/>
      </c>
      <c r="AV57" s="450" t="str">
        <f t="shared" ca="1" si="29"/>
        <v/>
      </c>
      <c r="AW57" s="450" t="str">
        <f t="shared" ca="1" si="29"/>
        <v/>
      </c>
      <c r="AX57" s="450" t="str">
        <f t="shared" ca="1" si="29"/>
        <v/>
      </c>
      <c r="AY57" s="450" t="str">
        <f t="shared" ca="1" si="29"/>
        <v/>
      </c>
      <c r="AZ57" s="450" t="str">
        <f t="shared" ca="1" si="29"/>
        <v/>
      </c>
      <c r="BA57" s="450" t="str">
        <f t="shared" ca="1" si="29"/>
        <v/>
      </c>
      <c r="BB57" s="450" t="str">
        <f t="shared" ca="1" si="29"/>
        <v/>
      </c>
      <c r="BC57" s="450" t="str">
        <f t="shared" ca="1" si="29"/>
        <v/>
      </c>
      <c r="BD57" s="450" t="str">
        <f t="shared" ca="1" si="29"/>
        <v/>
      </c>
      <c r="BE57" s="450" t="str">
        <f t="shared" ca="1" si="29"/>
        <v/>
      </c>
      <c r="BF57" s="450" t="str">
        <f t="shared" ca="1" si="29"/>
        <v/>
      </c>
      <c r="BG57" s="450" t="str">
        <f t="shared" ca="1" si="29"/>
        <v/>
      </c>
      <c r="BH57" s="450" t="str">
        <f t="shared" ca="1" si="29"/>
        <v/>
      </c>
      <c r="BI57" s="450" t="str">
        <f t="shared" ca="1" si="29"/>
        <v/>
      </c>
      <c r="BJ57" s="450" t="str">
        <f t="shared" ca="1" si="29"/>
        <v/>
      </c>
      <c r="BK57" s="451" t="str">
        <f t="shared" ca="1" si="3"/>
        <v/>
      </c>
    </row>
    <row r="58" spans="1:63" ht="15" customHeight="1" x14ac:dyDescent="0.25">
      <c r="A58" s="438" t="s">
        <v>774</v>
      </c>
      <c r="B58" s="440" t="str">
        <f ca="1">'Feasibility Study'!AO73/1000</f>
        <v/>
      </c>
      <c r="C58" s="450" t="str">
        <f t="shared" ref="C58:AH58" ca="1" si="30">IF($B$58=0,0,$B$58*C37)</f>
        <v/>
      </c>
      <c r="D58" s="450" t="str">
        <f t="shared" ca="1" si="30"/>
        <v/>
      </c>
      <c r="E58" s="450" t="str">
        <f t="shared" ca="1" si="30"/>
        <v/>
      </c>
      <c r="F58" s="450" t="str">
        <f t="shared" ca="1" si="30"/>
        <v/>
      </c>
      <c r="G58" s="450" t="str">
        <f t="shared" ca="1" si="30"/>
        <v/>
      </c>
      <c r="H58" s="450" t="str">
        <f t="shared" ca="1" si="30"/>
        <v/>
      </c>
      <c r="I58" s="450" t="str">
        <f t="shared" ca="1" si="30"/>
        <v/>
      </c>
      <c r="J58" s="450" t="str">
        <f t="shared" ca="1" si="30"/>
        <v/>
      </c>
      <c r="K58" s="450" t="str">
        <f t="shared" ca="1" si="30"/>
        <v/>
      </c>
      <c r="L58" s="450" t="str">
        <f t="shared" ca="1" si="30"/>
        <v/>
      </c>
      <c r="M58" s="450" t="str">
        <f t="shared" ca="1" si="30"/>
        <v/>
      </c>
      <c r="N58" s="450" t="str">
        <f t="shared" ca="1" si="30"/>
        <v/>
      </c>
      <c r="O58" s="450" t="str">
        <f t="shared" ca="1" si="30"/>
        <v/>
      </c>
      <c r="P58" s="450" t="str">
        <f t="shared" ca="1" si="30"/>
        <v/>
      </c>
      <c r="Q58" s="450" t="str">
        <f t="shared" ca="1" si="30"/>
        <v/>
      </c>
      <c r="R58" s="450" t="str">
        <f t="shared" ca="1" si="30"/>
        <v/>
      </c>
      <c r="S58" s="450" t="str">
        <f t="shared" ca="1" si="30"/>
        <v/>
      </c>
      <c r="T58" s="450" t="str">
        <f t="shared" ca="1" si="30"/>
        <v/>
      </c>
      <c r="U58" s="450" t="str">
        <f t="shared" ca="1" si="30"/>
        <v/>
      </c>
      <c r="V58" s="450" t="str">
        <f t="shared" ca="1" si="30"/>
        <v/>
      </c>
      <c r="W58" s="450" t="str">
        <f t="shared" ca="1" si="30"/>
        <v/>
      </c>
      <c r="X58" s="450" t="str">
        <f t="shared" ca="1" si="30"/>
        <v/>
      </c>
      <c r="Y58" s="450" t="str">
        <f t="shared" ca="1" si="30"/>
        <v/>
      </c>
      <c r="Z58" s="450" t="str">
        <f t="shared" ca="1" si="30"/>
        <v/>
      </c>
      <c r="AA58" s="450" t="str">
        <f t="shared" ca="1" si="30"/>
        <v/>
      </c>
      <c r="AB58" s="450" t="str">
        <f t="shared" ca="1" si="30"/>
        <v/>
      </c>
      <c r="AC58" s="450" t="str">
        <f t="shared" ca="1" si="30"/>
        <v/>
      </c>
      <c r="AD58" s="450" t="str">
        <f t="shared" ca="1" si="30"/>
        <v/>
      </c>
      <c r="AE58" s="450" t="str">
        <f t="shared" ca="1" si="30"/>
        <v/>
      </c>
      <c r="AF58" s="450" t="str">
        <f t="shared" ca="1" si="30"/>
        <v/>
      </c>
      <c r="AG58" s="450" t="str">
        <f t="shared" ca="1" si="30"/>
        <v/>
      </c>
      <c r="AH58" s="450" t="str">
        <f t="shared" ca="1" si="30"/>
        <v/>
      </c>
      <c r="AI58" s="450" t="str">
        <f t="shared" ref="AI58:BJ58" ca="1" si="31">IF($B$58=0,0,$B$58*AI37)</f>
        <v/>
      </c>
      <c r="AJ58" s="450" t="str">
        <f t="shared" ca="1" si="31"/>
        <v/>
      </c>
      <c r="AK58" s="450" t="str">
        <f t="shared" ca="1" si="31"/>
        <v/>
      </c>
      <c r="AL58" s="450" t="str">
        <f t="shared" ca="1" si="31"/>
        <v/>
      </c>
      <c r="AM58" s="450" t="str">
        <f t="shared" ca="1" si="31"/>
        <v/>
      </c>
      <c r="AN58" s="450" t="str">
        <f t="shared" ca="1" si="31"/>
        <v/>
      </c>
      <c r="AO58" s="450" t="str">
        <f t="shared" ca="1" si="31"/>
        <v/>
      </c>
      <c r="AP58" s="450" t="str">
        <f t="shared" ca="1" si="31"/>
        <v/>
      </c>
      <c r="AQ58" s="450" t="str">
        <f t="shared" ca="1" si="31"/>
        <v/>
      </c>
      <c r="AR58" s="450" t="str">
        <f t="shared" ca="1" si="31"/>
        <v/>
      </c>
      <c r="AS58" s="450" t="str">
        <f t="shared" ca="1" si="31"/>
        <v/>
      </c>
      <c r="AT58" s="450" t="str">
        <f t="shared" ca="1" si="31"/>
        <v/>
      </c>
      <c r="AU58" s="450" t="str">
        <f t="shared" ca="1" si="31"/>
        <v/>
      </c>
      <c r="AV58" s="450" t="str">
        <f t="shared" ca="1" si="31"/>
        <v/>
      </c>
      <c r="AW58" s="450" t="str">
        <f t="shared" ca="1" si="31"/>
        <v/>
      </c>
      <c r="AX58" s="450" t="str">
        <f t="shared" ca="1" si="31"/>
        <v/>
      </c>
      <c r="AY58" s="450" t="str">
        <f t="shared" ca="1" si="31"/>
        <v/>
      </c>
      <c r="AZ58" s="450" t="str">
        <f t="shared" ca="1" si="31"/>
        <v/>
      </c>
      <c r="BA58" s="450" t="str">
        <f t="shared" ca="1" si="31"/>
        <v/>
      </c>
      <c r="BB58" s="450" t="str">
        <f t="shared" ca="1" si="31"/>
        <v/>
      </c>
      <c r="BC58" s="450" t="str">
        <f t="shared" ca="1" si="31"/>
        <v/>
      </c>
      <c r="BD58" s="450" t="str">
        <f t="shared" ca="1" si="31"/>
        <v/>
      </c>
      <c r="BE58" s="450" t="str">
        <f t="shared" ca="1" si="31"/>
        <v/>
      </c>
      <c r="BF58" s="450" t="str">
        <f t="shared" ca="1" si="31"/>
        <v/>
      </c>
      <c r="BG58" s="450" t="str">
        <f t="shared" ca="1" si="31"/>
        <v/>
      </c>
      <c r="BH58" s="450" t="str">
        <f t="shared" ca="1" si="31"/>
        <v/>
      </c>
      <c r="BI58" s="450" t="str">
        <f t="shared" ca="1" si="31"/>
        <v/>
      </c>
      <c r="BJ58" s="450" t="str">
        <f t="shared" ca="1" si="31"/>
        <v/>
      </c>
      <c r="BK58" s="451" t="str">
        <f t="shared" ca="1" si="3"/>
        <v/>
      </c>
    </row>
    <row r="59" spans="1:63" ht="15" customHeight="1" x14ac:dyDescent="0.25">
      <c r="A59" s="438" t="s">
        <v>775</v>
      </c>
      <c r="B59" s="440" t="str">
        <f ca="1">'Feasibility Study'!AQ73/1000</f>
        <v/>
      </c>
      <c r="C59" s="450" t="str">
        <f t="shared" ref="C59:AH59" ca="1" si="32">IF($B$59=0,0,$B$59*C38)</f>
        <v/>
      </c>
      <c r="D59" s="450" t="str">
        <f t="shared" ca="1" si="32"/>
        <v/>
      </c>
      <c r="E59" s="450" t="str">
        <f t="shared" ca="1" si="32"/>
        <v/>
      </c>
      <c r="F59" s="450" t="str">
        <f t="shared" ca="1" si="32"/>
        <v/>
      </c>
      <c r="G59" s="450" t="str">
        <f t="shared" ca="1" si="32"/>
        <v/>
      </c>
      <c r="H59" s="450" t="str">
        <f t="shared" ca="1" si="32"/>
        <v/>
      </c>
      <c r="I59" s="450" t="str">
        <f t="shared" ca="1" si="32"/>
        <v/>
      </c>
      <c r="J59" s="450" t="str">
        <f t="shared" ca="1" si="32"/>
        <v/>
      </c>
      <c r="K59" s="450" t="str">
        <f t="shared" ca="1" si="32"/>
        <v/>
      </c>
      <c r="L59" s="450" t="str">
        <f t="shared" ca="1" si="32"/>
        <v/>
      </c>
      <c r="M59" s="450" t="str">
        <f t="shared" ca="1" si="32"/>
        <v/>
      </c>
      <c r="N59" s="450" t="str">
        <f t="shared" ca="1" si="32"/>
        <v/>
      </c>
      <c r="O59" s="450" t="str">
        <f t="shared" ca="1" si="32"/>
        <v/>
      </c>
      <c r="P59" s="450" t="str">
        <f t="shared" ca="1" si="32"/>
        <v/>
      </c>
      <c r="Q59" s="450" t="str">
        <f t="shared" ca="1" si="32"/>
        <v/>
      </c>
      <c r="R59" s="450" t="str">
        <f t="shared" ca="1" si="32"/>
        <v/>
      </c>
      <c r="S59" s="450" t="str">
        <f t="shared" ca="1" si="32"/>
        <v/>
      </c>
      <c r="T59" s="450" t="str">
        <f t="shared" ca="1" si="32"/>
        <v/>
      </c>
      <c r="U59" s="450" t="str">
        <f t="shared" ca="1" si="32"/>
        <v/>
      </c>
      <c r="V59" s="450" t="str">
        <f t="shared" ca="1" si="32"/>
        <v/>
      </c>
      <c r="W59" s="450" t="str">
        <f t="shared" ca="1" si="32"/>
        <v/>
      </c>
      <c r="X59" s="450" t="str">
        <f t="shared" ca="1" si="32"/>
        <v/>
      </c>
      <c r="Y59" s="450" t="str">
        <f t="shared" ca="1" si="32"/>
        <v/>
      </c>
      <c r="Z59" s="450" t="str">
        <f t="shared" ca="1" si="32"/>
        <v/>
      </c>
      <c r="AA59" s="450" t="str">
        <f t="shared" ca="1" si="32"/>
        <v/>
      </c>
      <c r="AB59" s="450" t="str">
        <f t="shared" ca="1" si="32"/>
        <v/>
      </c>
      <c r="AC59" s="450" t="str">
        <f t="shared" ca="1" si="32"/>
        <v/>
      </c>
      <c r="AD59" s="450" t="str">
        <f t="shared" ca="1" si="32"/>
        <v/>
      </c>
      <c r="AE59" s="450" t="str">
        <f t="shared" ca="1" si="32"/>
        <v/>
      </c>
      <c r="AF59" s="450" t="str">
        <f t="shared" ca="1" si="32"/>
        <v/>
      </c>
      <c r="AG59" s="450" t="str">
        <f t="shared" ca="1" si="32"/>
        <v/>
      </c>
      <c r="AH59" s="450" t="str">
        <f t="shared" ca="1" si="32"/>
        <v/>
      </c>
      <c r="AI59" s="450" t="str">
        <f t="shared" ref="AI59:BJ59" ca="1" si="33">IF($B$59=0,0,$B$59*AI38)</f>
        <v/>
      </c>
      <c r="AJ59" s="450" t="str">
        <f t="shared" ca="1" si="33"/>
        <v/>
      </c>
      <c r="AK59" s="450" t="str">
        <f t="shared" ca="1" si="33"/>
        <v/>
      </c>
      <c r="AL59" s="450" t="str">
        <f t="shared" ca="1" si="33"/>
        <v/>
      </c>
      <c r="AM59" s="450" t="str">
        <f t="shared" ca="1" si="33"/>
        <v/>
      </c>
      <c r="AN59" s="450" t="str">
        <f t="shared" ca="1" si="33"/>
        <v/>
      </c>
      <c r="AO59" s="450" t="str">
        <f t="shared" ca="1" si="33"/>
        <v/>
      </c>
      <c r="AP59" s="450" t="str">
        <f t="shared" ca="1" si="33"/>
        <v/>
      </c>
      <c r="AQ59" s="450" t="str">
        <f t="shared" ca="1" si="33"/>
        <v/>
      </c>
      <c r="AR59" s="450" t="str">
        <f t="shared" ca="1" si="33"/>
        <v/>
      </c>
      <c r="AS59" s="450" t="str">
        <f t="shared" ca="1" si="33"/>
        <v/>
      </c>
      <c r="AT59" s="450" t="str">
        <f t="shared" ca="1" si="33"/>
        <v/>
      </c>
      <c r="AU59" s="450" t="str">
        <f t="shared" ca="1" si="33"/>
        <v/>
      </c>
      <c r="AV59" s="450" t="str">
        <f t="shared" ca="1" si="33"/>
        <v/>
      </c>
      <c r="AW59" s="450" t="str">
        <f t="shared" ca="1" si="33"/>
        <v/>
      </c>
      <c r="AX59" s="450" t="str">
        <f t="shared" ca="1" si="33"/>
        <v/>
      </c>
      <c r="AY59" s="450" t="str">
        <f t="shared" ca="1" si="33"/>
        <v/>
      </c>
      <c r="AZ59" s="450" t="str">
        <f t="shared" ca="1" si="33"/>
        <v/>
      </c>
      <c r="BA59" s="450" t="str">
        <f t="shared" ca="1" si="33"/>
        <v/>
      </c>
      <c r="BB59" s="450" t="str">
        <f t="shared" ca="1" si="33"/>
        <v/>
      </c>
      <c r="BC59" s="450" t="str">
        <f t="shared" ca="1" si="33"/>
        <v/>
      </c>
      <c r="BD59" s="450" t="str">
        <f t="shared" ca="1" si="33"/>
        <v/>
      </c>
      <c r="BE59" s="450" t="str">
        <f t="shared" ca="1" si="33"/>
        <v/>
      </c>
      <c r="BF59" s="450" t="str">
        <f t="shared" ca="1" si="33"/>
        <v/>
      </c>
      <c r="BG59" s="450" t="str">
        <f t="shared" ca="1" si="33"/>
        <v/>
      </c>
      <c r="BH59" s="450" t="str">
        <f t="shared" ca="1" si="33"/>
        <v/>
      </c>
      <c r="BI59" s="450" t="str">
        <f t="shared" ca="1" si="33"/>
        <v/>
      </c>
      <c r="BJ59" s="450" t="str">
        <f t="shared" ca="1" si="33"/>
        <v/>
      </c>
      <c r="BK59" s="451" t="str">
        <f t="shared" ca="1" si="3"/>
        <v/>
      </c>
    </row>
    <row r="60" spans="1:63" ht="15" customHeight="1" x14ac:dyDescent="0.25">
      <c r="A60" s="438" t="s">
        <v>776</v>
      </c>
      <c r="B60" s="440" t="str">
        <f ca="1">'Feasibility Study'!AU73/1000</f>
        <v/>
      </c>
      <c r="C60" s="450" t="str">
        <f t="shared" ref="C60:AH60" ca="1" si="34">IF($B$60=0,0,$B$60*C39)</f>
        <v/>
      </c>
      <c r="D60" s="450" t="str">
        <f t="shared" ca="1" si="34"/>
        <v/>
      </c>
      <c r="E60" s="450" t="str">
        <f t="shared" ca="1" si="34"/>
        <v/>
      </c>
      <c r="F60" s="450" t="str">
        <f t="shared" ca="1" si="34"/>
        <v/>
      </c>
      <c r="G60" s="450" t="str">
        <f t="shared" ca="1" si="34"/>
        <v/>
      </c>
      <c r="H60" s="450" t="str">
        <f t="shared" ca="1" si="34"/>
        <v/>
      </c>
      <c r="I60" s="450" t="str">
        <f t="shared" ca="1" si="34"/>
        <v/>
      </c>
      <c r="J60" s="450" t="str">
        <f t="shared" ca="1" si="34"/>
        <v/>
      </c>
      <c r="K60" s="450" t="str">
        <f t="shared" ca="1" si="34"/>
        <v/>
      </c>
      <c r="L60" s="450" t="str">
        <f t="shared" ca="1" si="34"/>
        <v/>
      </c>
      <c r="M60" s="450" t="str">
        <f t="shared" ca="1" si="34"/>
        <v/>
      </c>
      <c r="N60" s="450" t="str">
        <f t="shared" ca="1" si="34"/>
        <v/>
      </c>
      <c r="O60" s="450" t="str">
        <f t="shared" ca="1" si="34"/>
        <v/>
      </c>
      <c r="P60" s="450" t="str">
        <f t="shared" ca="1" si="34"/>
        <v/>
      </c>
      <c r="Q60" s="450" t="str">
        <f t="shared" ca="1" si="34"/>
        <v/>
      </c>
      <c r="R60" s="450" t="str">
        <f t="shared" ca="1" si="34"/>
        <v/>
      </c>
      <c r="S60" s="450" t="str">
        <f t="shared" ca="1" si="34"/>
        <v/>
      </c>
      <c r="T60" s="450" t="str">
        <f t="shared" ca="1" si="34"/>
        <v/>
      </c>
      <c r="U60" s="450" t="str">
        <f t="shared" ca="1" si="34"/>
        <v/>
      </c>
      <c r="V60" s="450" t="str">
        <f t="shared" ca="1" si="34"/>
        <v/>
      </c>
      <c r="W60" s="450" t="str">
        <f t="shared" ca="1" si="34"/>
        <v/>
      </c>
      <c r="X60" s="450" t="str">
        <f t="shared" ca="1" si="34"/>
        <v/>
      </c>
      <c r="Y60" s="450" t="str">
        <f t="shared" ca="1" si="34"/>
        <v/>
      </c>
      <c r="Z60" s="450" t="str">
        <f t="shared" ca="1" si="34"/>
        <v/>
      </c>
      <c r="AA60" s="450" t="str">
        <f t="shared" ca="1" si="34"/>
        <v/>
      </c>
      <c r="AB60" s="450" t="str">
        <f t="shared" ca="1" si="34"/>
        <v/>
      </c>
      <c r="AC60" s="450" t="str">
        <f t="shared" ca="1" si="34"/>
        <v/>
      </c>
      <c r="AD60" s="450" t="str">
        <f t="shared" ca="1" si="34"/>
        <v/>
      </c>
      <c r="AE60" s="450" t="str">
        <f t="shared" ca="1" si="34"/>
        <v/>
      </c>
      <c r="AF60" s="450" t="str">
        <f t="shared" ca="1" si="34"/>
        <v/>
      </c>
      <c r="AG60" s="450" t="str">
        <f t="shared" ca="1" si="34"/>
        <v/>
      </c>
      <c r="AH60" s="450" t="str">
        <f t="shared" ca="1" si="34"/>
        <v/>
      </c>
      <c r="AI60" s="450" t="str">
        <f t="shared" ref="AI60:BJ60" ca="1" si="35">IF($B$60=0,0,$B$60*AI39)</f>
        <v/>
      </c>
      <c r="AJ60" s="450" t="str">
        <f t="shared" ca="1" si="35"/>
        <v/>
      </c>
      <c r="AK60" s="450" t="str">
        <f t="shared" ca="1" si="35"/>
        <v/>
      </c>
      <c r="AL60" s="450" t="str">
        <f t="shared" ca="1" si="35"/>
        <v/>
      </c>
      <c r="AM60" s="450" t="str">
        <f t="shared" ca="1" si="35"/>
        <v/>
      </c>
      <c r="AN60" s="450" t="str">
        <f t="shared" ca="1" si="35"/>
        <v/>
      </c>
      <c r="AO60" s="450" t="str">
        <f t="shared" ca="1" si="35"/>
        <v/>
      </c>
      <c r="AP60" s="450" t="str">
        <f t="shared" ca="1" si="35"/>
        <v/>
      </c>
      <c r="AQ60" s="450" t="str">
        <f t="shared" ca="1" si="35"/>
        <v/>
      </c>
      <c r="AR60" s="450" t="str">
        <f t="shared" ca="1" si="35"/>
        <v/>
      </c>
      <c r="AS60" s="450" t="str">
        <f t="shared" ca="1" si="35"/>
        <v/>
      </c>
      <c r="AT60" s="450" t="str">
        <f t="shared" ca="1" si="35"/>
        <v/>
      </c>
      <c r="AU60" s="450" t="str">
        <f t="shared" ca="1" si="35"/>
        <v/>
      </c>
      <c r="AV60" s="450" t="str">
        <f t="shared" ca="1" si="35"/>
        <v/>
      </c>
      <c r="AW60" s="450" t="str">
        <f t="shared" ca="1" si="35"/>
        <v/>
      </c>
      <c r="AX60" s="450" t="str">
        <f t="shared" ca="1" si="35"/>
        <v/>
      </c>
      <c r="AY60" s="450" t="str">
        <f t="shared" ca="1" si="35"/>
        <v/>
      </c>
      <c r="AZ60" s="450" t="str">
        <f t="shared" ca="1" si="35"/>
        <v/>
      </c>
      <c r="BA60" s="450" t="str">
        <f t="shared" ca="1" si="35"/>
        <v/>
      </c>
      <c r="BB60" s="450" t="str">
        <f t="shared" ca="1" si="35"/>
        <v/>
      </c>
      <c r="BC60" s="450" t="str">
        <f t="shared" ca="1" si="35"/>
        <v/>
      </c>
      <c r="BD60" s="450" t="str">
        <f t="shared" ca="1" si="35"/>
        <v/>
      </c>
      <c r="BE60" s="450" t="str">
        <f t="shared" ca="1" si="35"/>
        <v/>
      </c>
      <c r="BF60" s="450" t="str">
        <f t="shared" ca="1" si="35"/>
        <v/>
      </c>
      <c r="BG60" s="450" t="str">
        <f t="shared" ca="1" si="35"/>
        <v/>
      </c>
      <c r="BH60" s="450" t="str">
        <f t="shared" ca="1" si="35"/>
        <v/>
      </c>
      <c r="BI60" s="450" t="str">
        <f t="shared" ca="1" si="35"/>
        <v/>
      </c>
      <c r="BJ60" s="450" t="str">
        <f t="shared" ca="1" si="35"/>
        <v/>
      </c>
      <c r="BK60" s="451" t="str">
        <f t="shared" ca="1" si="3"/>
        <v/>
      </c>
    </row>
    <row r="61" spans="1:63" ht="15" customHeight="1" x14ac:dyDescent="0.25">
      <c r="A61" s="438" t="s">
        <v>777</v>
      </c>
      <c r="B61" s="440" t="str">
        <f ca="1">'Feasibility Study'!AW73/1000</f>
        <v/>
      </c>
      <c r="C61" s="450" t="str">
        <f t="shared" ref="C61:AH61" ca="1" si="36">IF($B$61=0,0,$B$61*C40)</f>
        <v/>
      </c>
      <c r="D61" s="450" t="str">
        <f t="shared" ca="1" si="36"/>
        <v/>
      </c>
      <c r="E61" s="450" t="str">
        <f t="shared" ca="1" si="36"/>
        <v/>
      </c>
      <c r="F61" s="450" t="str">
        <f t="shared" ca="1" si="36"/>
        <v/>
      </c>
      <c r="G61" s="450" t="str">
        <f t="shared" ca="1" si="36"/>
        <v/>
      </c>
      <c r="H61" s="450" t="str">
        <f t="shared" ca="1" si="36"/>
        <v/>
      </c>
      <c r="I61" s="450" t="str">
        <f t="shared" ca="1" si="36"/>
        <v/>
      </c>
      <c r="J61" s="450" t="str">
        <f t="shared" ca="1" si="36"/>
        <v/>
      </c>
      <c r="K61" s="450" t="str">
        <f t="shared" ca="1" si="36"/>
        <v/>
      </c>
      <c r="L61" s="450" t="str">
        <f t="shared" ca="1" si="36"/>
        <v/>
      </c>
      <c r="M61" s="450" t="str">
        <f t="shared" ca="1" si="36"/>
        <v/>
      </c>
      <c r="N61" s="450" t="str">
        <f t="shared" ca="1" si="36"/>
        <v/>
      </c>
      <c r="O61" s="450" t="str">
        <f t="shared" ca="1" si="36"/>
        <v/>
      </c>
      <c r="P61" s="450" t="str">
        <f t="shared" ca="1" si="36"/>
        <v/>
      </c>
      <c r="Q61" s="450" t="str">
        <f t="shared" ca="1" si="36"/>
        <v/>
      </c>
      <c r="R61" s="450" t="str">
        <f t="shared" ca="1" si="36"/>
        <v/>
      </c>
      <c r="S61" s="450" t="str">
        <f t="shared" ca="1" si="36"/>
        <v/>
      </c>
      <c r="T61" s="450" t="str">
        <f t="shared" ca="1" si="36"/>
        <v/>
      </c>
      <c r="U61" s="450" t="str">
        <f t="shared" ca="1" si="36"/>
        <v/>
      </c>
      <c r="V61" s="450" t="str">
        <f t="shared" ca="1" si="36"/>
        <v/>
      </c>
      <c r="W61" s="450" t="str">
        <f t="shared" ca="1" si="36"/>
        <v/>
      </c>
      <c r="X61" s="450" t="str">
        <f t="shared" ca="1" si="36"/>
        <v/>
      </c>
      <c r="Y61" s="450" t="str">
        <f t="shared" ca="1" si="36"/>
        <v/>
      </c>
      <c r="Z61" s="450" t="str">
        <f t="shared" ca="1" si="36"/>
        <v/>
      </c>
      <c r="AA61" s="450" t="str">
        <f t="shared" ca="1" si="36"/>
        <v/>
      </c>
      <c r="AB61" s="450" t="str">
        <f t="shared" ca="1" si="36"/>
        <v/>
      </c>
      <c r="AC61" s="450" t="str">
        <f t="shared" ca="1" si="36"/>
        <v/>
      </c>
      <c r="AD61" s="450" t="str">
        <f t="shared" ca="1" si="36"/>
        <v/>
      </c>
      <c r="AE61" s="450" t="str">
        <f t="shared" ca="1" si="36"/>
        <v/>
      </c>
      <c r="AF61" s="450" t="str">
        <f t="shared" ca="1" si="36"/>
        <v/>
      </c>
      <c r="AG61" s="450" t="str">
        <f t="shared" ca="1" si="36"/>
        <v/>
      </c>
      <c r="AH61" s="450" t="str">
        <f t="shared" ca="1" si="36"/>
        <v/>
      </c>
      <c r="AI61" s="450" t="str">
        <f t="shared" ref="AI61:BJ61" ca="1" si="37">IF($B$61=0,0,$B$61*AI40)</f>
        <v/>
      </c>
      <c r="AJ61" s="450" t="str">
        <f t="shared" ca="1" si="37"/>
        <v/>
      </c>
      <c r="AK61" s="450" t="str">
        <f t="shared" ca="1" si="37"/>
        <v/>
      </c>
      <c r="AL61" s="450" t="str">
        <f t="shared" ca="1" si="37"/>
        <v/>
      </c>
      <c r="AM61" s="450" t="str">
        <f t="shared" ca="1" si="37"/>
        <v/>
      </c>
      <c r="AN61" s="450" t="str">
        <f t="shared" ca="1" si="37"/>
        <v/>
      </c>
      <c r="AO61" s="450" t="str">
        <f t="shared" ca="1" si="37"/>
        <v/>
      </c>
      <c r="AP61" s="450" t="str">
        <f t="shared" ca="1" si="37"/>
        <v/>
      </c>
      <c r="AQ61" s="450" t="str">
        <f t="shared" ca="1" si="37"/>
        <v/>
      </c>
      <c r="AR61" s="450" t="str">
        <f t="shared" ca="1" si="37"/>
        <v/>
      </c>
      <c r="AS61" s="450" t="str">
        <f t="shared" ca="1" si="37"/>
        <v/>
      </c>
      <c r="AT61" s="450" t="str">
        <f t="shared" ca="1" si="37"/>
        <v/>
      </c>
      <c r="AU61" s="450" t="str">
        <f t="shared" ca="1" si="37"/>
        <v/>
      </c>
      <c r="AV61" s="450" t="str">
        <f t="shared" ca="1" si="37"/>
        <v/>
      </c>
      <c r="AW61" s="450" t="str">
        <f t="shared" ca="1" si="37"/>
        <v/>
      </c>
      <c r="AX61" s="450" t="str">
        <f t="shared" ca="1" si="37"/>
        <v/>
      </c>
      <c r="AY61" s="450" t="str">
        <f t="shared" ca="1" si="37"/>
        <v/>
      </c>
      <c r="AZ61" s="450" t="str">
        <f t="shared" ca="1" si="37"/>
        <v/>
      </c>
      <c r="BA61" s="450" t="str">
        <f t="shared" ca="1" si="37"/>
        <v/>
      </c>
      <c r="BB61" s="450" t="str">
        <f t="shared" ca="1" si="37"/>
        <v/>
      </c>
      <c r="BC61" s="450" t="str">
        <f t="shared" ca="1" si="37"/>
        <v/>
      </c>
      <c r="BD61" s="450" t="str">
        <f t="shared" ca="1" si="37"/>
        <v/>
      </c>
      <c r="BE61" s="450" t="str">
        <f t="shared" ca="1" si="37"/>
        <v/>
      </c>
      <c r="BF61" s="450" t="str">
        <f t="shared" ca="1" si="37"/>
        <v/>
      </c>
      <c r="BG61" s="450" t="str">
        <f t="shared" ca="1" si="37"/>
        <v/>
      </c>
      <c r="BH61" s="450" t="str">
        <f t="shared" ca="1" si="37"/>
        <v/>
      </c>
      <c r="BI61" s="450" t="str">
        <f t="shared" ca="1" si="37"/>
        <v/>
      </c>
      <c r="BJ61" s="450" t="str">
        <f t="shared" ca="1" si="37"/>
        <v/>
      </c>
      <c r="BK61" s="451" t="str">
        <f t="shared" ca="1" si="3"/>
        <v/>
      </c>
    </row>
    <row r="62" spans="1:63" ht="15" customHeight="1" x14ac:dyDescent="0.25">
      <c r="A62" s="452" t="s">
        <v>781</v>
      </c>
      <c r="C62" s="453" t="str">
        <f t="shared" ref="C62:AH62" ca="1" si="38">SUM(C44:C61)</f>
        <v/>
      </c>
      <c r="D62" s="453" t="str">
        <f t="shared" ca="1" si="38"/>
        <v/>
      </c>
      <c r="E62" s="453" t="str">
        <f t="shared" ca="1" si="38"/>
        <v/>
      </c>
      <c r="F62" s="453" t="str">
        <f t="shared" ca="1" si="38"/>
        <v/>
      </c>
      <c r="G62" s="453" t="str">
        <f t="shared" ca="1" si="38"/>
        <v/>
      </c>
      <c r="H62" s="453" t="str">
        <f t="shared" ca="1" si="38"/>
        <v/>
      </c>
      <c r="I62" s="453" t="str">
        <f t="shared" ca="1" si="38"/>
        <v/>
      </c>
      <c r="J62" s="453" t="str">
        <f t="shared" ca="1" si="38"/>
        <v/>
      </c>
      <c r="K62" s="453" t="str">
        <f t="shared" ca="1" si="38"/>
        <v/>
      </c>
      <c r="L62" s="453" t="str">
        <f t="shared" ca="1" si="38"/>
        <v/>
      </c>
      <c r="M62" s="453" t="str">
        <f t="shared" ca="1" si="38"/>
        <v/>
      </c>
      <c r="N62" s="453" t="str">
        <f t="shared" ca="1" si="38"/>
        <v/>
      </c>
      <c r="O62" s="453" t="str">
        <f t="shared" ca="1" si="38"/>
        <v/>
      </c>
      <c r="P62" s="453" t="str">
        <f t="shared" ca="1" si="38"/>
        <v/>
      </c>
      <c r="Q62" s="453" t="str">
        <f t="shared" ca="1" si="38"/>
        <v/>
      </c>
      <c r="R62" s="453" t="str">
        <f t="shared" ca="1" si="38"/>
        <v/>
      </c>
      <c r="S62" s="453" t="str">
        <f t="shared" ca="1" si="38"/>
        <v/>
      </c>
      <c r="T62" s="453" t="str">
        <f t="shared" ca="1" si="38"/>
        <v/>
      </c>
      <c r="U62" s="453" t="str">
        <f t="shared" ca="1" si="38"/>
        <v/>
      </c>
      <c r="V62" s="453" t="str">
        <f t="shared" ca="1" si="38"/>
        <v/>
      </c>
      <c r="W62" s="453" t="str">
        <f t="shared" ca="1" si="38"/>
        <v/>
      </c>
      <c r="X62" s="453" t="str">
        <f t="shared" ca="1" si="38"/>
        <v/>
      </c>
      <c r="Y62" s="453" t="str">
        <f t="shared" ca="1" si="38"/>
        <v/>
      </c>
      <c r="Z62" s="453" t="str">
        <f t="shared" ca="1" si="38"/>
        <v/>
      </c>
      <c r="AA62" s="453" t="str">
        <f t="shared" ca="1" si="38"/>
        <v/>
      </c>
      <c r="AB62" s="453" t="str">
        <f t="shared" ca="1" si="38"/>
        <v/>
      </c>
      <c r="AC62" s="453" t="str">
        <f t="shared" ca="1" si="38"/>
        <v/>
      </c>
      <c r="AD62" s="453" t="str">
        <f t="shared" ca="1" si="38"/>
        <v/>
      </c>
      <c r="AE62" s="453" t="str">
        <f t="shared" ca="1" si="38"/>
        <v/>
      </c>
      <c r="AF62" s="453" t="str">
        <f t="shared" ca="1" si="38"/>
        <v/>
      </c>
      <c r="AG62" s="453" t="str">
        <f t="shared" ca="1" si="38"/>
        <v/>
      </c>
      <c r="AH62" s="453" t="str">
        <f t="shared" ca="1" si="38"/>
        <v/>
      </c>
      <c r="AI62" s="453" t="str">
        <f t="shared" ref="AI62:BJ62" ca="1" si="39">SUM(AI44:AI61)</f>
        <v/>
      </c>
      <c r="AJ62" s="453" t="str">
        <f t="shared" ca="1" si="39"/>
        <v/>
      </c>
      <c r="AK62" s="453" t="str">
        <f t="shared" ca="1" si="39"/>
        <v/>
      </c>
      <c r="AL62" s="453" t="str">
        <f t="shared" ca="1" si="39"/>
        <v/>
      </c>
      <c r="AM62" s="453" t="str">
        <f t="shared" ca="1" si="39"/>
        <v/>
      </c>
      <c r="AN62" s="453" t="str">
        <f t="shared" ca="1" si="39"/>
        <v/>
      </c>
      <c r="AO62" s="453" t="str">
        <f t="shared" ca="1" si="39"/>
        <v/>
      </c>
      <c r="AP62" s="453" t="str">
        <f t="shared" ca="1" si="39"/>
        <v/>
      </c>
      <c r="AQ62" s="453" t="str">
        <f t="shared" ca="1" si="39"/>
        <v/>
      </c>
      <c r="AR62" s="453" t="str">
        <f t="shared" ca="1" si="39"/>
        <v/>
      </c>
      <c r="AS62" s="453" t="str">
        <f t="shared" ca="1" si="39"/>
        <v/>
      </c>
      <c r="AT62" s="453" t="str">
        <f t="shared" ca="1" si="39"/>
        <v/>
      </c>
      <c r="AU62" s="453" t="str">
        <f t="shared" ca="1" si="39"/>
        <v/>
      </c>
      <c r="AV62" s="453" t="str">
        <f t="shared" ca="1" si="39"/>
        <v/>
      </c>
      <c r="AW62" s="453" t="str">
        <f t="shared" ca="1" si="39"/>
        <v/>
      </c>
      <c r="AX62" s="453" t="str">
        <f t="shared" ca="1" si="39"/>
        <v/>
      </c>
      <c r="AY62" s="453" t="str">
        <f t="shared" ca="1" si="39"/>
        <v/>
      </c>
      <c r="AZ62" s="453" t="str">
        <f t="shared" ca="1" si="39"/>
        <v/>
      </c>
      <c r="BA62" s="453" t="str">
        <f t="shared" ca="1" si="39"/>
        <v/>
      </c>
      <c r="BB62" s="453" t="str">
        <f t="shared" ca="1" si="39"/>
        <v/>
      </c>
      <c r="BC62" s="453" t="str">
        <f t="shared" ca="1" si="39"/>
        <v/>
      </c>
      <c r="BD62" s="453" t="str">
        <f t="shared" ca="1" si="39"/>
        <v/>
      </c>
      <c r="BE62" s="453" t="str">
        <f t="shared" ca="1" si="39"/>
        <v/>
      </c>
      <c r="BF62" s="453" t="str">
        <f t="shared" ca="1" si="39"/>
        <v/>
      </c>
      <c r="BG62" s="453" t="str">
        <f t="shared" ca="1" si="39"/>
        <v/>
      </c>
      <c r="BH62" s="453" t="str">
        <f t="shared" ca="1" si="39"/>
        <v/>
      </c>
      <c r="BI62" s="453" t="str">
        <f t="shared" ca="1" si="39"/>
        <v/>
      </c>
      <c r="BJ62" s="453" t="str">
        <f t="shared" ca="1" si="39"/>
        <v/>
      </c>
      <c r="BK62" s="453" t="str">
        <f t="shared" ca="1" si="3"/>
        <v/>
      </c>
    </row>
    <row r="64" spans="1:63" ht="15" customHeight="1" x14ac:dyDescent="0.25">
      <c r="A64" s="660" t="s">
        <v>782</v>
      </c>
      <c r="B64" s="627"/>
      <c r="C64" s="627"/>
      <c r="D64" s="627"/>
      <c r="E64" s="627"/>
      <c r="F64" s="627"/>
      <c r="G64" s="627"/>
      <c r="H64" s="627"/>
      <c r="I64" s="627"/>
      <c r="J64" s="627"/>
      <c r="K64" s="627"/>
      <c r="L64" s="627"/>
      <c r="M64" s="627"/>
      <c r="N64" s="627"/>
      <c r="O64" s="627"/>
      <c r="P64" s="627"/>
      <c r="Q64" s="627"/>
      <c r="R64" s="627"/>
      <c r="S64" s="627"/>
      <c r="T64" s="627"/>
      <c r="U64" s="627"/>
      <c r="V64" s="627"/>
      <c r="W64" s="627"/>
      <c r="X64" s="627"/>
      <c r="Y64" s="627"/>
      <c r="Z64" s="627"/>
      <c r="AA64" s="627"/>
      <c r="AB64" s="627"/>
      <c r="AC64" s="627"/>
      <c r="AD64" s="627"/>
      <c r="AE64" s="627"/>
      <c r="AF64" s="627"/>
      <c r="AG64" s="627"/>
      <c r="AH64" s="627"/>
      <c r="AI64" s="627"/>
      <c r="AJ64" s="627"/>
      <c r="AK64" s="627"/>
      <c r="AL64" s="627"/>
      <c r="AM64" s="627"/>
      <c r="AN64" s="627"/>
      <c r="AO64" s="627"/>
      <c r="AP64" s="627"/>
      <c r="AQ64" s="627"/>
      <c r="AR64" s="627"/>
      <c r="AS64" s="627"/>
      <c r="AT64" s="627"/>
      <c r="AU64" s="627"/>
      <c r="AV64" s="627"/>
      <c r="AW64" s="627"/>
      <c r="AX64" s="627"/>
      <c r="AY64" s="627"/>
      <c r="AZ64" s="627"/>
      <c r="BA64" s="627"/>
      <c r="BB64" s="627"/>
      <c r="BC64" s="627"/>
      <c r="BD64" s="627"/>
      <c r="BE64" s="627"/>
      <c r="BF64" s="627"/>
      <c r="BG64" s="627"/>
      <c r="BH64" s="627"/>
      <c r="BI64" s="627"/>
      <c r="BJ64" s="627"/>
      <c r="BK64" s="627"/>
    </row>
    <row r="65" spans="1:63" ht="15" customHeight="1" x14ac:dyDescent="0.25">
      <c r="A65" s="454" t="s">
        <v>783</v>
      </c>
      <c r="B65" s="454" t="s">
        <v>780</v>
      </c>
      <c r="C65" s="455" t="s">
        <v>744</v>
      </c>
      <c r="D65" s="455" t="s">
        <v>745</v>
      </c>
      <c r="E65" s="455" t="s">
        <v>746</v>
      </c>
      <c r="F65" s="455" t="s">
        <v>747</v>
      </c>
      <c r="G65" s="455" t="s">
        <v>748</v>
      </c>
      <c r="H65" s="455" t="s">
        <v>749</v>
      </c>
      <c r="I65" s="455" t="s">
        <v>750</v>
      </c>
      <c r="J65" s="455" t="s">
        <v>751</v>
      </c>
      <c r="K65" s="455" t="s">
        <v>752</v>
      </c>
      <c r="L65" s="455" t="s">
        <v>753</v>
      </c>
      <c r="M65" s="455" t="s">
        <v>754</v>
      </c>
      <c r="N65" s="455" t="s">
        <v>755</v>
      </c>
      <c r="O65" s="455" t="s">
        <v>744</v>
      </c>
      <c r="P65" s="455" t="s">
        <v>745</v>
      </c>
      <c r="Q65" s="455" t="s">
        <v>746</v>
      </c>
      <c r="R65" s="455" t="s">
        <v>747</v>
      </c>
      <c r="S65" s="455" t="s">
        <v>748</v>
      </c>
      <c r="T65" s="455" t="s">
        <v>749</v>
      </c>
      <c r="U65" s="455" t="s">
        <v>750</v>
      </c>
      <c r="V65" s="455" t="s">
        <v>751</v>
      </c>
      <c r="W65" s="455" t="s">
        <v>752</v>
      </c>
      <c r="X65" s="455" t="s">
        <v>753</v>
      </c>
      <c r="Y65" s="455" t="s">
        <v>754</v>
      </c>
      <c r="Z65" s="455" t="s">
        <v>755</v>
      </c>
      <c r="AA65" s="455" t="s">
        <v>744</v>
      </c>
      <c r="AB65" s="455" t="s">
        <v>745</v>
      </c>
      <c r="AC65" s="455" t="s">
        <v>746</v>
      </c>
      <c r="AD65" s="455" t="s">
        <v>747</v>
      </c>
      <c r="AE65" s="455" t="s">
        <v>748</v>
      </c>
      <c r="AF65" s="455" t="s">
        <v>749</v>
      </c>
      <c r="AG65" s="455" t="s">
        <v>750</v>
      </c>
      <c r="AH65" s="455" t="s">
        <v>751</v>
      </c>
      <c r="AI65" s="455" t="s">
        <v>752</v>
      </c>
      <c r="AJ65" s="455" t="s">
        <v>753</v>
      </c>
      <c r="AK65" s="455" t="s">
        <v>754</v>
      </c>
      <c r="AL65" s="455" t="s">
        <v>755</v>
      </c>
      <c r="AM65" s="455" t="s">
        <v>744</v>
      </c>
      <c r="AN65" s="455" t="s">
        <v>745</v>
      </c>
      <c r="AO65" s="455" t="s">
        <v>746</v>
      </c>
      <c r="AP65" s="455" t="s">
        <v>747</v>
      </c>
      <c r="AQ65" s="455" t="s">
        <v>748</v>
      </c>
      <c r="AR65" s="455" t="s">
        <v>749</v>
      </c>
      <c r="AS65" s="455" t="s">
        <v>750</v>
      </c>
      <c r="AT65" s="455" t="s">
        <v>751</v>
      </c>
      <c r="AU65" s="455" t="s">
        <v>752</v>
      </c>
      <c r="AV65" s="455" t="s">
        <v>753</v>
      </c>
      <c r="AW65" s="455" t="s">
        <v>754</v>
      </c>
      <c r="AX65" s="455" t="s">
        <v>755</v>
      </c>
      <c r="AY65" s="455" t="s">
        <v>744</v>
      </c>
      <c r="AZ65" s="455" t="s">
        <v>745</v>
      </c>
      <c r="BA65" s="455" t="s">
        <v>746</v>
      </c>
      <c r="BB65" s="455" t="s">
        <v>747</v>
      </c>
      <c r="BC65" s="455" t="s">
        <v>748</v>
      </c>
      <c r="BD65" s="455" t="s">
        <v>749</v>
      </c>
      <c r="BE65" s="455" t="s">
        <v>750</v>
      </c>
      <c r="BF65" s="455" t="s">
        <v>751</v>
      </c>
      <c r="BG65" s="455" t="s">
        <v>752</v>
      </c>
      <c r="BH65" s="455" t="s">
        <v>753</v>
      </c>
      <c r="BI65" s="455" t="s">
        <v>754</v>
      </c>
      <c r="BJ65" s="455" t="s">
        <v>755</v>
      </c>
      <c r="BK65" s="454" t="s">
        <v>780</v>
      </c>
    </row>
    <row r="66" spans="1:63" ht="15" customHeight="1" x14ac:dyDescent="0.25">
      <c r="A66" s="456" t="s">
        <v>784</v>
      </c>
      <c r="B66" s="440">
        <f>'Feasibility Study'!AY82/1000*0.1</f>
        <v>0</v>
      </c>
      <c r="C66" s="440">
        <f>$B$66/1</f>
        <v>0</v>
      </c>
      <c r="D66" s="457" t="s">
        <v>785</v>
      </c>
      <c r="E66" s="457" t="s">
        <v>785</v>
      </c>
      <c r="F66" s="457" t="s">
        <v>785</v>
      </c>
      <c r="G66" s="457" t="s">
        <v>785</v>
      </c>
      <c r="H66" s="457" t="s">
        <v>785</v>
      </c>
      <c r="I66" s="457" t="s">
        <v>785</v>
      </c>
      <c r="J66" s="457" t="s">
        <v>785</v>
      </c>
      <c r="K66" s="457" t="s">
        <v>785</v>
      </c>
      <c r="L66" s="457" t="s">
        <v>785</v>
      </c>
      <c r="M66" s="457" t="s">
        <v>785</v>
      </c>
      <c r="N66" s="457" t="s">
        <v>785</v>
      </c>
      <c r="O66" s="457" t="s">
        <v>785</v>
      </c>
      <c r="P66" s="457" t="s">
        <v>785</v>
      </c>
      <c r="Q66" s="457" t="s">
        <v>785</v>
      </c>
      <c r="R66" s="457" t="s">
        <v>785</v>
      </c>
      <c r="S66" s="457" t="s">
        <v>785</v>
      </c>
      <c r="T66" s="457" t="s">
        <v>785</v>
      </c>
      <c r="U66" s="457" t="s">
        <v>785</v>
      </c>
      <c r="V66" s="457" t="s">
        <v>785</v>
      </c>
      <c r="W66" s="457" t="s">
        <v>785</v>
      </c>
      <c r="X66" s="457" t="s">
        <v>785</v>
      </c>
      <c r="Y66" s="457" t="s">
        <v>785</v>
      </c>
      <c r="Z66" s="457" t="s">
        <v>785</v>
      </c>
      <c r="AA66" s="457" t="s">
        <v>785</v>
      </c>
      <c r="AB66" s="457" t="s">
        <v>785</v>
      </c>
      <c r="AC66" s="457" t="s">
        <v>785</v>
      </c>
      <c r="AD66" s="457" t="s">
        <v>785</v>
      </c>
      <c r="AE66" s="457" t="s">
        <v>785</v>
      </c>
      <c r="AF66" s="457" t="s">
        <v>785</v>
      </c>
      <c r="AG66" s="457" t="s">
        <v>785</v>
      </c>
      <c r="AH66" s="457" t="s">
        <v>785</v>
      </c>
      <c r="AI66" s="457" t="s">
        <v>785</v>
      </c>
      <c r="AJ66" s="457" t="s">
        <v>785</v>
      </c>
      <c r="AK66" s="457" t="s">
        <v>785</v>
      </c>
      <c r="AL66" s="457" t="s">
        <v>785</v>
      </c>
      <c r="AM66" s="457" t="s">
        <v>785</v>
      </c>
      <c r="AN66" s="457" t="s">
        <v>785</v>
      </c>
      <c r="AO66" s="457" t="s">
        <v>785</v>
      </c>
      <c r="AP66" s="457" t="s">
        <v>785</v>
      </c>
      <c r="AQ66" s="457" t="s">
        <v>785</v>
      </c>
      <c r="AR66" s="457" t="s">
        <v>785</v>
      </c>
      <c r="AS66" s="457" t="s">
        <v>785</v>
      </c>
      <c r="AT66" s="457" t="s">
        <v>785</v>
      </c>
      <c r="AU66" s="457" t="s">
        <v>785</v>
      </c>
      <c r="AV66" s="457" t="s">
        <v>785</v>
      </c>
      <c r="AW66" s="457" t="s">
        <v>785</v>
      </c>
      <c r="AX66" s="457" t="s">
        <v>785</v>
      </c>
      <c r="AY66" s="457" t="s">
        <v>785</v>
      </c>
      <c r="AZ66" s="457" t="s">
        <v>785</v>
      </c>
      <c r="BA66" s="457" t="s">
        <v>785</v>
      </c>
      <c r="BB66" s="457" t="s">
        <v>785</v>
      </c>
      <c r="BC66" s="457" t="s">
        <v>785</v>
      </c>
      <c r="BD66" s="457" t="s">
        <v>785</v>
      </c>
      <c r="BE66" s="457" t="s">
        <v>785</v>
      </c>
      <c r="BF66" s="457" t="s">
        <v>785</v>
      </c>
      <c r="BG66" s="457" t="s">
        <v>785</v>
      </c>
      <c r="BH66" s="457" t="s">
        <v>785</v>
      </c>
      <c r="BI66" s="457" t="s">
        <v>785</v>
      </c>
      <c r="BJ66" s="457" t="s">
        <v>785</v>
      </c>
      <c r="BK66" s="458">
        <f>SUM(C66:BJ66)</f>
        <v>0</v>
      </c>
    </row>
    <row r="67" spans="1:63" ht="15" customHeight="1" x14ac:dyDescent="0.25">
      <c r="A67" s="456" t="s">
        <v>786</v>
      </c>
      <c r="B67" s="440">
        <f>'Feasibility Study'!AY82/1000*0.45</f>
        <v>0</v>
      </c>
      <c r="C67" s="457" t="s">
        <v>785</v>
      </c>
      <c r="D67" s="440">
        <f>$B$67/5</f>
        <v>0</v>
      </c>
      <c r="E67" s="440">
        <f>$B$67/5</f>
        <v>0</v>
      </c>
      <c r="F67" s="440">
        <f>$B$67/5</f>
        <v>0</v>
      </c>
      <c r="G67" s="440">
        <f>$B$67/5</f>
        <v>0</v>
      </c>
      <c r="H67" s="440">
        <f>$B$67/5</f>
        <v>0</v>
      </c>
      <c r="I67" s="457" t="s">
        <v>785</v>
      </c>
      <c r="J67" s="457" t="s">
        <v>785</v>
      </c>
      <c r="K67" s="457" t="s">
        <v>785</v>
      </c>
      <c r="L67" s="457" t="s">
        <v>785</v>
      </c>
      <c r="M67" s="457" t="s">
        <v>785</v>
      </c>
      <c r="N67" s="457" t="s">
        <v>785</v>
      </c>
      <c r="O67" s="457" t="s">
        <v>785</v>
      </c>
      <c r="P67" s="457" t="s">
        <v>785</v>
      </c>
      <c r="Q67" s="457" t="s">
        <v>785</v>
      </c>
      <c r="R67" s="457" t="s">
        <v>785</v>
      </c>
      <c r="S67" s="457" t="s">
        <v>785</v>
      </c>
      <c r="T67" s="457" t="s">
        <v>785</v>
      </c>
      <c r="U67" s="457" t="s">
        <v>785</v>
      </c>
      <c r="V67" s="457" t="s">
        <v>785</v>
      </c>
      <c r="W67" s="457" t="s">
        <v>785</v>
      </c>
      <c r="X67" s="457" t="s">
        <v>785</v>
      </c>
      <c r="Y67" s="457" t="s">
        <v>785</v>
      </c>
      <c r="Z67" s="457" t="s">
        <v>785</v>
      </c>
      <c r="AA67" s="457" t="s">
        <v>785</v>
      </c>
      <c r="AB67" s="457" t="s">
        <v>785</v>
      </c>
      <c r="AC67" s="457" t="s">
        <v>785</v>
      </c>
      <c r="AD67" s="457" t="s">
        <v>785</v>
      </c>
      <c r="AE67" s="457" t="s">
        <v>785</v>
      </c>
      <c r="AF67" s="457" t="s">
        <v>785</v>
      </c>
      <c r="AG67" s="457" t="s">
        <v>785</v>
      </c>
      <c r="AH67" s="457" t="s">
        <v>785</v>
      </c>
      <c r="AI67" s="457" t="s">
        <v>785</v>
      </c>
      <c r="AJ67" s="457" t="s">
        <v>785</v>
      </c>
      <c r="AK67" s="457" t="s">
        <v>785</v>
      </c>
      <c r="AL67" s="457" t="s">
        <v>785</v>
      </c>
      <c r="AM67" s="457" t="s">
        <v>785</v>
      </c>
      <c r="AN67" s="457" t="s">
        <v>785</v>
      </c>
      <c r="AO67" s="457" t="s">
        <v>785</v>
      </c>
      <c r="AP67" s="457" t="s">
        <v>785</v>
      </c>
      <c r="AQ67" s="457" t="s">
        <v>785</v>
      </c>
      <c r="AR67" s="457" t="s">
        <v>785</v>
      </c>
      <c r="AS67" s="457" t="s">
        <v>785</v>
      </c>
      <c r="AT67" s="457" t="s">
        <v>785</v>
      </c>
      <c r="AU67" s="457" t="s">
        <v>785</v>
      </c>
      <c r="AV67" s="457" t="s">
        <v>785</v>
      </c>
      <c r="AW67" s="457" t="s">
        <v>785</v>
      </c>
      <c r="AX67" s="457" t="s">
        <v>785</v>
      </c>
      <c r="AY67" s="457" t="s">
        <v>785</v>
      </c>
      <c r="AZ67" s="457" t="s">
        <v>785</v>
      </c>
      <c r="BA67" s="457" t="s">
        <v>785</v>
      </c>
      <c r="BB67" s="457" t="s">
        <v>785</v>
      </c>
      <c r="BC67" s="457" t="s">
        <v>785</v>
      </c>
      <c r="BD67" s="457" t="s">
        <v>785</v>
      </c>
      <c r="BE67" s="457" t="s">
        <v>785</v>
      </c>
      <c r="BF67" s="457" t="s">
        <v>785</v>
      </c>
      <c r="BG67" s="457" t="s">
        <v>785</v>
      </c>
      <c r="BH67" s="457" t="s">
        <v>785</v>
      </c>
      <c r="BI67" s="457" t="s">
        <v>785</v>
      </c>
      <c r="BJ67" s="457" t="s">
        <v>785</v>
      </c>
      <c r="BK67" s="458">
        <f>SUM(C67:BJ67)</f>
        <v>0</v>
      </c>
    </row>
    <row r="68" spans="1:63" ht="15" customHeight="1" x14ac:dyDescent="0.25">
      <c r="A68" s="456" t="s">
        <v>787</v>
      </c>
      <c r="B68" s="440">
        <f>'Feasibility Study'!AY82/1000*0.45</f>
        <v>0</v>
      </c>
      <c r="C68" s="457" t="s">
        <v>785</v>
      </c>
      <c r="D68" s="457" t="s">
        <v>785</v>
      </c>
      <c r="E68" s="457" t="s">
        <v>785</v>
      </c>
      <c r="F68" s="457" t="s">
        <v>785</v>
      </c>
      <c r="G68" s="457" t="s">
        <v>785</v>
      </c>
      <c r="H68" s="457" t="s">
        <v>785</v>
      </c>
      <c r="I68" s="440">
        <f t="shared" ref="I68:N68" si="40">$B$68/6</f>
        <v>0</v>
      </c>
      <c r="J68" s="440">
        <f t="shared" si="40"/>
        <v>0</v>
      </c>
      <c r="K68" s="440">
        <f t="shared" si="40"/>
        <v>0</v>
      </c>
      <c r="L68" s="440">
        <f t="shared" si="40"/>
        <v>0</v>
      </c>
      <c r="M68" s="440">
        <f t="shared" si="40"/>
        <v>0</v>
      </c>
      <c r="N68" s="440">
        <f t="shared" si="40"/>
        <v>0</v>
      </c>
      <c r="O68" s="457" t="s">
        <v>785</v>
      </c>
      <c r="P68" s="457" t="s">
        <v>785</v>
      </c>
      <c r="Q68" s="457" t="s">
        <v>785</v>
      </c>
      <c r="R68" s="457" t="s">
        <v>785</v>
      </c>
      <c r="S68" s="457" t="s">
        <v>785</v>
      </c>
      <c r="T68" s="457" t="s">
        <v>785</v>
      </c>
      <c r="U68" s="457" t="s">
        <v>785</v>
      </c>
      <c r="V68" s="457" t="s">
        <v>785</v>
      </c>
      <c r="W68" s="457" t="s">
        <v>785</v>
      </c>
      <c r="X68" s="457" t="s">
        <v>785</v>
      </c>
      <c r="Y68" s="457" t="s">
        <v>785</v>
      </c>
      <c r="Z68" s="457" t="s">
        <v>785</v>
      </c>
      <c r="AA68" s="457" t="s">
        <v>785</v>
      </c>
      <c r="AB68" s="457" t="s">
        <v>785</v>
      </c>
      <c r="AC68" s="457" t="s">
        <v>785</v>
      </c>
      <c r="AD68" s="457" t="s">
        <v>785</v>
      </c>
      <c r="AE68" s="457" t="s">
        <v>785</v>
      </c>
      <c r="AF68" s="457" t="s">
        <v>785</v>
      </c>
      <c r="AG68" s="457" t="s">
        <v>785</v>
      </c>
      <c r="AH68" s="457" t="s">
        <v>785</v>
      </c>
      <c r="AI68" s="457" t="s">
        <v>785</v>
      </c>
      <c r="AJ68" s="457" t="s">
        <v>785</v>
      </c>
      <c r="AK68" s="457" t="s">
        <v>785</v>
      </c>
      <c r="AL68" s="457" t="s">
        <v>785</v>
      </c>
      <c r="AM68" s="457" t="s">
        <v>785</v>
      </c>
      <c r="AN68" s="457" t="s">
        <v>785</v>
      </c>
      <c r="AO68" s="457" t="s">
        <v>785</v>
      </c>
      <c r="AP68" s="457" t="s">
        <v>785</v>
      </c>
      <c r="AQ68" s="457" t="s">
        <v>785</v>
      </c>
      <c r="AR68" s="457" t="s">
        <v>785</v>
      </c>
      <c r="AS68" s="457" t="s">
        <v>785</v>
      </c>
      <c r="AT68" s="457" t="s">
        <v>785</v>
      </c>
      <c r="AU68" s="457" t="s">
        <v>785</v>
      </c>
      <c r="AV68" s="457" t="s">
        <v>785</v>
      </c>
      <c r="AW68" s="457" t="s">
        <v>785</v>
      </c>
      <c r="AX68" s="457" t="s">
        <v>785</v>
      </c>
      <c r="AY68" s="457" t="s">
        <v>785</v>
      </c>
      <c r="AZ68" s="457" t="s">
        <v>785</v>
      </c>
      <c r="BA68" s="457" t="s">
        <v>785</v>
      </c>
      <c r="BB68" s="457" t="s">
        <v>785</v>
      </c>
      <c r="BC68" s="457" t="s">
        <v>785</v>
      </c>
      <c r="BD68" s="457" t="s">
        <v>785</v>
      </c>
      <c r="BE68" s="457" t="s">
        <v>785</v>
      </c>
      <c r="BF68" s="457" t="s">
        <v>785</v>
      </c>
      <c r="BG68" s="457" t="s">
        <v>785</v>
      </c>
      <c r="BH68" s="457" t="s">
        <v>785</v>
      </c>
      <c r="BI68" s="457" t="s">
        <v>785</v>
      </c>
      <c r="BJ68" s="457" t="s">
        <v>785</v>
      </c>
      <c r="BK68" s="458">
        <f>SUM(C68:BJ68)</f>
        <v>0</v>
      </c>
    </row>
    <row r="69" spans="1:63" ht="15" customHeight="1" x14ac:dyDescent="0.25">
      <c r="A69" s="456" t="s">
        <v>788</v>
      </c>
      <c r="B69" s="440">
        <f>'Feasibility Study'!AY82/1000*0.15</f>
        <v>0</v>
      </c>
      <c r="C69" s="457" t="s">
        <v>785</v>
      </c>
      <c r="D69" s="457" t="s">
        <v>785</v>
      </c>
      <c r="E69" s="457" t="s">
        <v>785</v>
      </c>
      <c r="F69" s="457" t="s">
        <v>785</v>
      </c>
      <c r="G69" s="457" t="s">
        <v>785</v>
      </c>
      <c r="H69" s="457" t="s">
        <v>785</v>
      </c>
      <c r="I69" s="457" t="s">
        <v>785</v>
      </c>
      <c r="J69" s="457" t="s">
        <v>785</v>
      </c>
      <c r="K69" s="457" t="s">
        <v>785</v>
      </c>
      <c r="L69" s="457" t="s">
        <v>785</v>
      </c>
      <c r="M69" s="457" t="s">
        <v>785</v>
      </c>
      <c r="N69" s="440">
        <f>$B$69/1</f>
        <v>0</v>
      </c>
      <c r="O69" s="457" t="s">
        <v>785</v>
      </c>
      <c r="P69" s="457" t="s">
        <v>785</v>
      </c>
      <c r="Q69" s="457" t="s">
        <v>785</v>
      </c>
      <c r="R69" s="457" t="s">
        <v>785</v>
      </c>
      <c r="S69" s="457" t="s">
        <v>785</v>
      </c>
      <c r="T69" s="457" t="s">
        <v>785</v>
      </c>
      <c r="U69" s="457" t="s">
        <v>785</v>
      </c>
      <c r="V69" s="457" t="s">
        <v>785</v>
      </c>
      <c r="W69" s="457" t="s">
        <v>785</v>
      </c>
      <c r="X69" s="457" t="s">
        <v>785</v>
      </c>
      <c r="Y69" s="457" t="s">
        <v>785</v>
      </c>
      <c r="Z69" s="457" t="s">
        <v>785</v>
      </c>
      <c r="AA69" s="457" t="s">
        <v>785</v>
      </c>
      <c r="AB69" s="457" t="s">
        <v>785</v>
      </c>
      <c r="AC69" s="457" t="s">
        <v>785</v>
      </c>
      <c r="AD69" s="457" t="s">
        <v>785</v>
      </c>
      <c r="AE69" s="457" t="s">
        <v>785</v>
      </c>
      <c r="AF69" s="457" t="s">
        <v>785</v>
      </c>
      <c r="AG69" s="457" t="s">
        <v>785</v>
      </c>
      <c r="AH69" s="457" t="s">
        <v>785</v>
      </c>
      <c r="AI69" s="457" t="s">
        <v>785</v>
      </c>
      <c r="AJ69" s="457" t="s">
        <v>785</v>
      </c>
      <c r="AK69" s="457" t="s">
        <v>785</v>
      </c>
      <c r="AL69" s="457" t="s">
        <v>785</v>
      </c>
      <c r="AM69" s="457" t="s">
        <v>785</v>
      </c>
      <c r="AN69" s="457" t="s">
        <v>785</v>
      </c>
      <c r="AO69" s="457" t="s">
        <v>785</v>
      </c>
      <c r="AP69" s="457" t="s">
        <v>785</v>
      </c>
      <c r="AQ69" s="457" t="s">
        <v>785</v>
      </c>
      <c r="AR69" s="457" t="s">
        <v>785</v>
      </c>
      <c r="AS69" s="457" t="s">
        <v>785</v>
      </c>
      <c r="AT69" s="457" t="s">
        <v>785</v>
      </c>
      <c r="AU69" s="457" t="s">
        <v>785</v>
      </c>
      <c r="AV69" s="457" t="s">
        <v>785</v>
      </c>
      <c r="AW69" s="457" t="s">
        <v>785</v>
      </c>
      <c r="AX69" s="457" t="s">
        <v>785</v>
      </c>
      <c r="AY69" s="457" t="s">
        <v>785</v>
      </c>
      <c r="AZ69" s="457" t="s">
        <v>785</v>
      </c>
      <c r="BA69" s="457" t="s">
        <v>785</v>
      </c>
      <c r="BB69" s="457" t="s">
        <v>785</v>
      </c>
      <c r="BC69" s="457" t="s">
        <v>785</v>
      </c>
      <c r="BD69" s="457" t="s">
        <v>785</v>
      </c>
      <c r="BE69" s="457" t="s">
        <v>785</v>
      </c>
      <c r="BF69" s="457" t="s">
        <v>785</v>
      </c>
      <c r="BG69" s="457" t="s">
        <v>785</v>
      </c>
      <c r="BH69" s="457" t="s">
        <v>785</v>
      </c>
      <c r="BI69" s="457" t="s">
        <v>785</v>
      </c>
      <c r="BJ69" s="457" t="s">
        <v>785</v>
      </c>
      <c r="BK69" s="458">
        <f>SUM(C69:BJ69)</f>
        <v>0</v>
      </c>
    </row>
    <row r="70" spans="1:63" ht="15" customHeight="1" x14ac:dyDescent="0.25">
      <c r="A70" s="459" t="s">
        <v>789</v>
      </c>
      <c r="C70" s="458">
        <f t="shared" ref="C70:AH70" si="41">IF(ISNUMBER(C66),C66,0)+IF(ISNUMBER(C67),C67,0)+IF(ISNUMBER(C68),C68,0)+IF(ISNUMBER(C69),C69,0)</f>
        <v>0</v>
      </c>
      <c r="D70" s="458">
        <f t="shared" si="41"/>
        <v>0</v>
      </c>
      <c r="E70" s="458">
        <f t="shared" si="41"/>
        <v>0</v>
      </c>
      <c r="F70" s="458">
        <f t="shared" si="41"/>
        <v>0</v>
      </c>
      <c r="G70" s="458">
        <f t="shared" si="41"/>
        <v>0</v>
      </c>
      <c r="H70" s="458">
        <f t="shared" si="41"/>
        <v>0</v>
      </c>
      <c r="I70" s="458">
        <f t="shared" si="41"/>
        <v>0</v>
      </c>
      <c r="J70" s="458">
        <f t="shared" si="41"/>
        <v>0</v>
      </c>
      <c r="K70" s="458">
        <f t="shared" si="41"/>
        <v>0</v>
      </c>
      <c r="L70" s="458">
        <f t="shared" si="41"/>
        <v>0</v>
      </c>
      <c r="M70" s="458">
        <f t="shared" si="41"/>
        <v>0</v>
      </c>
      <c r="N70" s="458">
        <f t="shared" si="41"/>
        <v>0</v>
      </c>
      <c r="O70" s="458">
        <f t="shared" si="41"/>
        <v>0</v>
      </c>
      <c r="P70" s="458">
        <f t="shared" si="41"/>
        <v>0</v>
      </c>
      <c r="Q70" s="458">
        <f t="shared" si="41"/>
        <v>0</v>
      </c>
      <c r="R70" s="458">
        <f t="shared" si="41"/>
        <v>0</v>
      </c>
      <c r="S70" s="458">
        <f t="shared" si="41"/>
        <v>0</v>
      </c>
      <c r="T70" s="458">
        <f t="shared" si="41"/>
        <v>0</v>
      </c>
      <c r="U70" s="458">
        <f t="shared" si="41"/>
        <v>0</v>
      </c>
      <c r="V70" s="458">
        <f t="shared" si="41"/>
        <v>0</v>
      </c>
      <c r="W70" s="458">
        <f t="shared" si="41"/>
        <v>0</v>
      </c>
      <c r="X70" s="458">
        <f t="shared" si="41"/>
        <v>0</v>
      </c>
      <c r="Y70" s="458">
        <f t="shared" si="41"/>
        <v>0</v>
      </c>
      <c r="Z70" s="458">
        <f t="shared" si="41"/>
        <v>0</v>
      </c>
      <c r="AA70" s="458">
        <f t="shared" si="41"/>
        <v>0</v>
      </c>
      <c r="AB70" s="458">
        <f t="shared" si="41"/>
        <v>0</v>
      </c>
      <c r="AC70" s="458">
        <f t="shared" si="41"/>
        <v>0</v>
      </c>
      <c r="AD70" s="458">
        <f t="shared" si="41"/>
        <v>0</v>
      </c>
      <c r="AE70" s="458">
        <f t="shared" si="41"/>
        <v>0</v>
      </c>
      <c r="AF70" s="458">
        <f t="shared" si="41"/>
        <v>0</v>
      </c>
      <c r="AG70" s="458">
        <f t="shared" si="41"/>
        <v>0</v>
      </c>
      <c r="AH70" s="458">
        <f t="shared" si="41"/>
        <v>0</v>
      </c>
      <c r="AI70" s="458">
        <f t="shared" ref="AI70:BJ70" si="42">IF(ISNUMBER(AI66),AI66,0)+IF(ISNUMBER(AI67),AI67,0)+IF(ISNUMBER(AI68),AI68,0)+IF(ISNUMBER(AI69),AI69,0)</f>
        <v>0</v>
      </c>
      <c r="AJ70" s="458">
        <f t="shared" si="42"/>
        <v>0</v>
      </c>
      <c r="AK70" s="458">
        <f t="shared" si="42"/>
        <v>0</v>
      </c>
      <c r="AL70" s="458">
        <f t="shared" si="42"/>
        <v>0</v>
      </c>
      <c r="AM70" s="458">
        <f t="shared" si="42"/>
        <v>0</v>
      </c>
      <c r="AN70" s="458">
        <f t="shared" si="42"/>
        <v>0</v>
      </c>
      <c r="AO70" s="458">
        <f t="shared" si="42"/>
        <v>0</v>
      </c>
      <c r="AP70" s="458">
        <f t="shared" si="42"/>
        <v>0</v>
      </c>
      <c r="AQ70" s="458">
        <f t="shared" si="42"/>
        <v>0</v>
      </c>
      <c r="AR70" s="458">
        <f t="shared" si="42"/>
        <v>0</v>
      </c>
      <c r="AS70" s="458">
        <f t="shared" si="42"/>
        <v>0</v>
      </c>
      <c r="AT70" s="458">
        <f t="shared" si="42"/>
        <v>0</v>
      </c>
      <c r="AU70" s="458">
        <f t="shared" si="42"/>
        <v>0</v>
      </c>
      <c r="AV70" s="458">
        <f t="shared" si="42"/>
        <v>0</v>
      </c>
      <c r="AW70" s="458">
        <f t="shared" si="42"/>
        <v>0</v>
      </c>
      <c r="AX70" s="458">
        <f t="shared" si="42"/>
        <v>0</v>
      </c>
      <c r="AY70" s="458">
        <f t="shared" si="42"/>
        <v>0</v>
      </c>
      <c r="AZ70" s="458">
        <f t="shared" si="42"/>
        <v>0</v>
      </c>
      <c r="BA70" s="458">
        <f t="shared" si="42"/>
        <v>0</v>
      </c>
      <c r="BB70" s="458">
        <f t="shared" si="42"/>
        <v>0</v>
      </c>
      <c r="BC70" s="458">
        <f t="shared" si="42"/>
        <v>0</v>
      </c>
      <c r="BD70" s="458">
        <f t="shared" si="42"/>
        <v>0</v>
      </c>
      <c r="BE70" s="458">
        <f t="shared" si="42"/>
        <v>0</v>
      </c>
      <c r="BF70" s="458">
        <f t="shared" si="42"/>
        <v>0</v>
      </c>
      <c r="BG70" s="458">
        <f t="shared" si="42"/>
        <v>0</v>
      </c>
      <c r="BH70" s="458">
        <f t="shared" si="42"/>
        <v>0</v>
      </c>
      <c r="BI70" s="458">
        <f t="shared" si="42"/>
        <v>0</v>
      </c>
      <c r="BJ70" s="458">
        <f t="shared" si="42"/>
        <v>0</v>
      </c>
      <c r="BK70" s="458">
        <f>SUM(C70:BJ70)</f>
        <v>0</v>
      </c>
    </row>
    <row r="72" spans="1:63" ht="15" customHeight="1" x14ac:dyDescent="0.25">
      <c r="A72" s="660" t="s">
        <v>790</v>
      </c>
      <c r="B72" s="627"/>
      <c r="C72" s="627"/>
      <c r="D72" s="627"/>
      <c r="E72" s="627"/>
      <c r="F72" s="627"/>
      <c r="G72" s="627"/>
      <c r="H72" s="627"/>
      <c r="I72" s="627"/>
      <c r="J72" s="627"/>
      <c r="K72" s="627"/>
      <c r="L72" s="627"/>
      <c r="M72" s="627"/>
      <c r="N72" s="627"/>
      <c r="O72" s="627"/>
      <c r="P72" s="627"/>
      <c r="Q72" s="627"/>
      <c r="R72" s="627"/>
      <c r="S72" s="627"/>
      <c r="T72" s="627"/>
      <c r="U72" s="627"/>
      <c r="V72" s="627"/>
      <c r="W72" s="627"/>
      <c r="X72" s="627"/>
      <c r="Y72" s="627"/>
      <c r="Z72" s="627"/>
      <c r="AA72" s="627"/>
      <c r="AB72" s="627"/>
      <c r="AC72" s="627"/>
      <c r="AD72" s="627"/>
      <c r="AE72" s="627"/>
      <c r="AF72" s="627"/>
      <c r="AG72" s="627"/>
      <c r="AH72" s="627"/>
      <c r="AI72" s="627"/>
      <c r="AJ72" s="627"/>
      <c r="AK72" s="627"/>
      <c r="AL72" s="627"/>
      <c r="AM72" s="627"/>
      <c r="AN72" s="627"/>
      <c r="AO72" s="627"/>
      <c r="AP72" s="627"/>
      <c r="AQ72" s="627"/>
      <c r="AR72" s="627"/>
      <c r="AS72" s="627"/>
      <c r="AT72" s="627"/>
      <c r="AU72" s="627"/>
      <c r="AV72" s="627"/>
      <c r="AW72" s="627"/>
      <c r="AX72" s="627"/>
      <c r="AY72" s="627"/>
      <c r="AZ72" s="627"/>
      <c r="BA72" s="627"/>
      <c r="BB72" s="627"/>
      <c r="BC72" s="627"/>
      <c r="BD72" s="627"/>
      <c r="BE72" s="627"/>
      <c r="BF72" s="627"/>
      <c r="BG72" s="627"/>
      <c r="BH72" s="627"/>
      <c r="BI72" s="627"/>
      <c r="BJ72" s="627"/>
      <c r="BK72" s="627"/>
    </row>
    <row r="73" spans="1:63" ht="15" customHeight="1" x14ac:dyDescent="0.25">
      <c r="A73" s="454" t="s">
        <v>783</v>
      </c>
      <c r="B73" s="454" t="s">
        <v>791</v>
      </c>
      <c r="C73" s="455" t="s">
        <v>744</v>
      </c>
      <c r="D73" s="455" t="s">
        <v>745</v>
      </c>
      <c r="E73" s="455" t="s">
        <v>746</v>
      </c>
      <c r="F73" s="455" t="s">
        <v>747</v>
      </c>
      <c r="G73" s="455" t="s">
        <v>748</v>
      </c>
      <c r="H73" s="455" t="s">
        <v>749</v>
      </c>
      <c r="I73" s="455" t="s">
        <v>750</v>
      </c>
      <c r="J73" s="455" t="s">
        <v>751</v>
      </c>
      <c r="K73" s="455" t="s">
        <v>752</v>
      </c>
      <c r="L73" s="455" t="s">
        <v>753</v>
      </c>
      <c r="M73" s="455" t="s">
        <v>754</v>
      </c>
      <c r="N73" s="455" t="s">
        <v>755</v>
      </c>
      <c r="O73" s="455" t="s">
        <v>744</v>
      </c>
      <c r="P73" s="455" t="s">
        <v>745</v>
      </c>
      <c r="Q73" s="455" t="s">
        <v>746</v>
      </c>
      <c r="R73" s="455" t="s">
        <v>747</v>
      </c>
      <c r="S73" s="455" t="s">
        <v>748</v>
      </c>
      <c r="T73" s="455" t="s">
        <v>749</v>
      </c>
      <c r="U73" s="455" t="s">
        <v>750</v>
      </c>
      <c r="V73" s="455" t="s">
        <v>751</v>
      </c>
      <c r="W73" s="455" t="s">
        <v>752</v>
      </c>
      <c r="X73" s="455" t="s">
        <v>753</v>
      </c>
      <c r="Y73" s="455" t="s">
        <v>754</v>
      </c>
      <c r="Z73" s="455" t="s">
        <v>755</v>
      </c>
      <c r="AA73" s="455" t="s">
        <v>744</v>
      </c>
      <c r="AB73" s="455" t="s">
        <v>745</v>
      </c>
      <c r="AC73" s="455" t="s">
        <v>746</v>
      </c>
      <c r="AD73" s="455" t="s">
        <v>747</v>
      </c>
      <c r="AE73" s="455" t="s">
        <v>748</v>
      </c>
      <c r="AF73" s="455" t="s">
        <v>749</v>
      </c>
      <c r="AG73" s="455" t="s">
        <v>750</v>
      </c>
      <c r="AH73" s="455" t="s">
        <v>751</v>
      </c>
      <c r="AI73" s="455" t="s">
        <v>752</v>
      </c>
      <c r="AJ73" s="455" t="s">
        <v>753</v>
      </c>
      <c r="AK73" s="455" t="s">
        <v>754</v>
      </c>
      <c r="AL73" s="455" t="s">
        <v>755</v>
      </c>
      <c r="AM73" s="455" t="s">
        <v>744</v>
      </c>
      <c r="AN73" s="455" t="s">
        <v>745</v>
      </c>
      <c r="AO73" s="455" t="s">
        <v>746</v>
      </c>
      <c r="AP73" s="455" t="s">
        <v>747</v>
      </c>
      <c r="AQ73" s="455" t="s">
        <v>748</v>
      </c>
      <c r="AR73" s="455" t="s">
        <v>749</v>
      </c>
      <c r="AS73" s="455" t="s">
        <v>750</v>
      </c>
      <c r="AT73" s="455" t="s">
        <v>751</v>
      </c>
      <c r="AU73" s="455" t="s">
        <v>752</v>
      </c>
      <c r="AV73" s="455" t="s">
        <v>753</v>
      </c>
      <c r="AW73" s="455" t="s">
        <v>754</v>
      </c>
      <c r="AX73" s="455" t="s">
        <v>755</v>
      </c>
      <c r="AY73" s="455" t="s">
        <v>744</v>
      </c>
      <c r="AZ73" s="455" t="s">
        <v>745</v>
      </c>
      <c r="BA73" s="455" t="s">
        <v>746</v>
      </c>
      <c r="BB73" s="455" t="s">
        <v>747</v>
      </c>
      <c r="BC73" s="455" t="s">
        <v>748</v>
      </c>
      <c r="BD73" s="455" t="s">
        <v>749</v>
      </c>
      <c r="BE73" s="455" t="s">
        <v>750</v>
      </c>
      <c r="BF73" s="455" t="s">
        <v>751</v>
      </c>
      <c r="BG73" s="455" t="s">
        <v>752</v>
      </c>
      <c r="BH73" s="455" t="s">
        <v>753</v>
      </c>
      <c r="BI73" s="455" t="s">
        <v>754</v>
      </c>
      <c r="BJ73" s="455" t="s">
        <v>755</v>
      </c>
      <c r="BK73" s="454" t="s">
        <v>780</v>
      </c>
    </row>
    <row r="74" spans="1:63" ht="15" customHeight="1" x14ac:dyDescent="0.25">
      <c r="A74" s="456" t="s">
        <v>792</v>
      </c>
      <c r="B74" s="440" t="e">
        <f>'Feasibility Study'!AY87/1000*0.55</f>
        <v>#DIV/0!</v>
      </c>
      <c r="C74" s="450" t="e">
        <f>$B$74*0.011013</f>
        <v>#DIV/0!</v>
      </c>
      <c r="D74" s="450" t="e">
        <f>$B$74*0.013216</f>
        <v>#DIV/0!</v>
      </c>
      <c r="E74" s="450" t="e">
        <f>$B$74*0.015418</f>
        <v>#DIV/0!</v>
      </c>
      <c r="F74" s="450" t="e">
        <f>$B$74*0.017621</f>
        <v>#DIV/0!</v>
      </c>
      <c r="G74" s="450" t="e">
        <f>$B$74*0.019824</f>
        <v>#DIV/0!</v>
      </c>
      <c r="H74" s="450" t="e">
        <f>$B$74*0.022026</f>
        <v>#DIV/0!</v>
      </c>
      <c r="I74" s="450" t="e">
        <f>$B$74*0.024229</f>
        <v>#DIV/0!</v>
      </c>
      <c r="J74" s="450" t="e">
        <f>$B$74*0.026432</f>
        <v>#DIV/0!</v>
      </c>
      <c r="K74" s="450" t="e">
        <f>$B$74*0.028634</f>
        <v>#DIV/0!</v>
      </c>
      <c r="L74" s="450" t="e">
        <f>$B$74*0.028634</f>
        <v>#DIV/0!</v>
      </c>
      <c r="M74" s="450" t="e">
        <f>$B$74*0.028634</f>
        <v>#DIV/0!</v>
      </c>
      <c r="N74" s="450" t="e">
        <f>$B$74*0.028634</f>
        <v>#DIV/0!</v>
      </c>
      <c r="O74" s="450" t="e">
        <f t="shared" ref="O74:V74" si="43">$B$74*0.030837</f>
        <v>#DIV/0!</v>
      </c>
      <c r="P74" s="450" t="e">
        <f t="shared" si="43"/>
        <v>#DIV/0!</v>
      </c>
      <c r="Q74" s="450" t="e">
        <f t="shared" si="43"/>
        <v>#DIV/0!</v>
      </c>
      <c r="R74" s="450" t="e">
        <f t="shared" si="43"/>
        <v>#DIV/0!</v>
      </c>
      <c r="S74" s="450" t="e">
        <f t="shared" si="43"/>
        <v>#DIV/0!</v>
      </c>
      <c r="T74" s="450" t="e">
        <f t="shared" si="43"/>
        <v>#DIV/0!</v>
      </c>
      <c r="U74" s="450" t="e">
        <f t="shared" si="43"/>
        <v>#DIV/0!</v>
      </c>
      <c r="V74" s="450" t="e">
        <f t="shared" si="43"/>
        <v>#DIV/0!</v>
      </c>
      <c r="W74" s="450" t="e">
        <f>$B$74*0.028634</f>
        <v>#DIV/0!</v>
      </c>
      <c r="X74" s="450" t="e">
        <f>$B$74*0.028634</f>
        <v>#DIV/0!</v>
      </c>
      <c r="Y74" s="450" t="e">
        <f>$B$74*0.026432</f>
        <v>#DIV/0!</v>
      </c>
      <c r="Z74" s="450" t="e">
        <f>$B$74*0.026432</f>
        <v>#DIV/0!</v>
      </c>
      <c r="AA74" s="450" t="e">
        <f>$B$74*0.026432</f>
        <v>#DIV/0!</v>
      </c>
      <c r="AB74" s="450" t="e">
        <f>$B$74*0.024229</f>
        <v>#DIV/0!</v>
      </c>
      <c r="AC74" s="450" t="e">
        <f>$B$74*0.024229</f>
        <v>#DIV/0!</v>
      </c>
      <c r="AD74" s="450" t="e">
        <f>$B$74*0.024229</f>
        <v>#DIV/0!</v>
      </c>
      <c r="AE74" s="450" t="e">
        <f>$B$74*0.022026</f>
        <v>#DIV/0!</v>
      </c>
      <c r="AF74" s="450" t="e">
        <f>$B$74*0.022026</f>
        <v>#DIV/0!</v>
      </c>
      <c r="AG74" s="450" t="e">
        <f>$B$74*0.022026</f>
        <v>#DIV/0!</v>
      </c>
      <c r="AH74" s="450" t="e">
        <f>$B$74*0.019824</f>
        <v>#DIV/0!</v>
      </c>
      <c r="AI74" s="450" t="e">
        <f>$B$74*0.019824</f>
        <v>#DIV/0!</v>
      </c>
      <c r="AJ74" s="450" t="e">
        <f>$B$74*0.019824</f>
        <v>#DIV/0!</v>
      </c>
      <c r="AK74" s="450" t="e">
        <f>$B$74*0.017621</f>
        <v>#DIV/0!</v>
      </c>
      <c r="AL74" s="450" t="e">
        <f>$B$74*0.017621</f>
        <v>#DIV/0!</v>
      </c>
      <c r="AM74" s="450" t="e">
        <f>$B$74*0.017621</f>
        <v>#DIV/0!</v>
      </c>
      <c r="AN74" s="450" t="e">
        <f>$B$74*0.015418</f>
        <v>#DIV/0!</v>
      </c>
      <c r="AO74" s="450" t="e">
        <f>$B$74*0.015418</f>
        <v>#DIV/0!</v>
      </c>
      <c r="AP74" s="450" t="e">
        <f>$B$74*0.013216</f>
        <v>#DIV/0!</v>
      </c>
      <c r="AQ74" s="450" t="e">
        <f>$B$74*0.013216</f>
        <v>#DIV/0!</v>
      </c>
      <c r="AR74" s="450" t="e">
        <f>$B$74*0.011013</f>
        <v>#DIV/0!</v>
      </c>
      <c r="AS74" s="450" t="e">
        <f>$B$74*0.011013</f>
        <v>#DIV/0!</v>
      </c>
      <c r="AT74" s="450" t="e">
        <f>$B$74*0.008811</f>
        <v>#DIV/0!</v>
      </c>
      <c r="AU74" s="450" t="e">
        <f>$B$74*0.006608</f>
        <v>#DIV/0!</v>
      </c>
      <c r="AV74" s="450" t="e">
        <f>$B$74*0.004405</f>
        <v>#DIV/0!</v>
      </c>
      <c r="AW74" s="450" t="e">
        <f>$B$74*0.002203</f>
        <v>#DIV/0!</v>
      </c>
      <c r="AX74" s="457" t="s">
        <v>785</v>
      </c>
      <c r="AY74" s="457" t="s">
        <v>785</v>
      </c>
      <c r="AZ74" s="457" t="s">
        <v>785</v>
      </c>
      <c r="BA74" s="457" t="s">
        <v>785</v>
      </c>
      <c r="BB74" s="457" t="s">
        <v>785</v>
      </c>
      <c r="BC74" s="457" t="s">
        <v>785</v>
      </c>
      <c r="BD74" s="457" t="s">
        <v>785</v>
      </c>
      <c r="BE74" s="457" t="s">
        <v>785</v>
      </c>
      <c r="BF74" s="457" t="s">
        <v>785</v>
      </c>
      <c r="BG74" s="457" t="s">
        <v>785</v>
      </c>
      <c r="BH74" s="457" t="s">
        <v>785</v>
      </c>
      <c r="BI74" s="457" t="s">
        <v>785</v>
      </c>
      <c r="BJ74" s="457" t="s">
        <v>785</v>
      </c>
      <c r="BK74" s="458" t="e">
        <f t="shared" ref="BK74:BK79" si="44">SUM(C74:BJ74)</f>
        <v>#DIV/0!</v>
      </c>
    </row>
    <row r="75" spans="1:63" ht="15" customHeight="1" x14ac:dyDescent="0.25">
      <c r="A75" s="456" t="s">
        <v>793</v>
      </c>
      <c r="B75" s="440" t="e">
        <f>'Feasibility Study'!AY87/1000*0.15</f>
        <v>#DIV/0!</v>
      </c>
      <c r="C75" s="450" t="e">
        <f>$B$75*0.011013</f>
        <v>#DIV/0!</v>
      </c>
      <c r="D75" s="450" t="e">
        <f>$B$75*0.013216</f>
        <v>#DIV/0!</v>
      </c>
      <c r="E75" s="450" t="e">
        <f>$B$75*0.015418</f>
        <v>#DIV/0!</v>
      </c>
      <c r="F75" s="450" t="e">
        <f>$B$75*0.017621</f>
        <v>#DIV/0!</v>
      </c>
      <c r="G75" s="450" t="e">
        <f>$B$75*0.019824</f>
        <v>#DIV/0!</v>
      </c>
      <c r="H75" s="450" t="e">
        <f>$B$75*0.022026</f>
        <v>#DIV/0!</v>
      </c>
      <c r="I75" s="450" t="e">
        <f>$B$75*0.024229</f>
        <v>#DIV/0!</v>
      </c>
      <c r="J75" s="450" t="e">
        <f>$B$75*0.026432</f>
        <v>#DIV/0!</v>
      </c>
      <c r="K75" s="450" t="e">
        <f>$B$75*0.028634</f>
        <v>#DIV/0!</v>
      </c>
      <c r="L75" s="450" t="e">
        <f>$B$75*0.028634</f>
        <v>#DIV/0!</v>
      </c>
      <c r="M75" s="450" t="e">
        <f>$B$75*0.028634</f>
        <v>#DIV/0!</v>
      </c>
      <c r="N75" s="450" t="e">
        <f>$B$75*0.028634</f>
        <v>#DIV/0!</v>
      </c>
      <c r="O75" s="450" t="e">
        <f t="shared" ref="O75:V75" si="45">$B$75*0.030837</f>
        <v>#DIV/0!</v>
      </c>
      <c r="P75" s="450" t="e">
        <f t="shared" si="45"/>
        <v>#DIV/0!</v>
      </c>
      <c r="Q75" s="450" t="e">
        <f t="shared" si="45"/>
        <v>#DIV/0!</v>
      </c>
      <c r="R75" s="450" t="e">
        <f t="shared" si="45"/>
        <v>#DIV/0!</v>
      </c>
      <c r="S75" s="450" t="e">
        <f t="shared" si="45"/>
        <v>#DIV/0!</v>
      </c>
      <c r="T75" s="450" t="e">
        <f t="shared" si="45"/>
        <v>#DIV/0!</v>
      </c>
      <c r="U75" s="450" t="e">
        <f t="shared" si="45"/>
        <v>#DIV/0!</v>
      </c>
      <c r="V75" s="450" t="e">
        <f t="shared" si="45"/>
        <v>#DIV/0!</v>
      </c>
      <c r="W75" s="450" t="e">
        <f>$B$75*0.028634</f>
        <v>#DIV/0!</v>
      </c>
      <c r="X75" s="450" t="e">
        <f>$B$75*0.028634</f>
        <v>#DIV/0!</v>
      </c>
      <c r="Y75" s="450" t="e">
        <f>$B$75*0.026432</f>
        <v>#DIV/0!</v>
      </c>
      <c r="Z75" s="450" t="e">
        <f>$B$75*0.026432</f>
        <v>#DIV/0!</v>
      </c>
      <c r="AA75" s="450" t="e">
        <f>$B$75*0.026432</f>
        <v>#DIV/0!</v>
      </c>
      <c r="AB75" s="450" t="e">
        <f>$B$75*0.024229</f>
        <v>#DIV/0!</v>
      </c>
      <c r="AC75" s="450" t="e">
        <f>$B$75*0.024229</f>
        <v>#DIV/0!</v>
      </c>
      <c r="AD75" s="450" t="e">
        <f>$B$75*0.024229</f>
        <v>#DIV/0!</v>
      </c>
      <c r="AE75" s="450" t="e">
        <f>$B$75*0.022026</f>
        <v>#DIV/0!</v>
      </c>
      <c r="AF75" s="450" t="e">
        <f>$B$75*0.022026</f>
        <v>#DIV/0!</v>
      </c>
      <c r="AG75" s="450" t="e">
        <f>$B$75*0.022026</f>
        <v>#DIV/0!</v>
      </c>
      <c r="AH75" s="450" t="e">
        <f>$B$75*0.019824</f>
        <v>#DIV/0!</v>
      </c>
      <c r="AI75" s="450" t="e">
        <f>$B$75*0.019824</f>
        <v>#DIV/0!</v>
      </c>
      <c r="AJ75" s="450" t="e">
        <f>$B$75*0.019824</f>
        <v>#DIV/0!</v>
      </c>
      <c r="AK75" s="450" t="e">
        <f>$B$75*0.017621</f>
        <v>#DIV/0!</v>
      </c>
      <c r="AL75" s="450" t="e">
        <f>$B$75*0.017621</f>
        <v>#DIV/0!</v>
      </c>
      <c r="AM75" s="450" t="e">
        <f>$B$75*0.017621</f>
        <v>#DIV/0!</v>
      </c>
      <c r="AN75" s="450" t="e">
        <f>$B$75*0.015418</f>
        <v>#DIV/0!</v>
      </c>
      <c r="AO75" s="450" t="e">
        <f>$B$75*0.015418</f>
        <v>#DIV/0!</v>
      </c>
      <c r="AP75" s="450" t="e">
        <f>$B$75*0.013216</f>
        <v>#DIV/0!</v>
      </c>
      <c r="AQ75" s="450" t="e">
        <f>$B$75*0.013216</f>
        <v>#DIV/0!</v>
      </c>
      <c r="AR75" s="450" t="e">
        <f>$B$75*0.011013</f>
        <v>#DIV/0!</v>
      </c>
      <c r="AS75" s="450" t="e">
        <f>$B$75*0.011013</f>
        <v>#DIV/0!</v>
      </c>
      <c r="AT75" s="450" t="e">
        <f>$B$75*0.008811</f>
        <v>#DIV/0!</v>
      </c>
      <c r="AU75" s="450" t="e">
        <f>$B$75*0.006608</f>
        <v>#DIV/0!</v>
      </c>
      <c r="AV75" s="450" t="e">
        <f>$B$75*0.004405</f>
        <v>#DIV/0!</v>
      </c>
      <c r="AW75" s="450" t="e">
        <f>$B$75*0.002203</f>
        <v>#DIV/0!</v>
      </c>
      <c r="AX75" s="457" t="s">
        <v>785</v>
      </c>
      <c r="AY75" s="457" t="s">
        <v>785</v>
      </c>
      <c r="AZ75" s="457" t="s">
        <v>785</v>
      </c>
      <c r="BA75" s="457" t="s">
        <v>785</v>
      </c>
      <c r="BB75" s="457" t="s">
        <v>785</v>
      </c>
      <c r="BC75" s="457" t="s">
        <v>785</v>
      </c>
      <c r="BD75" s="457" t="s">
        <v>785</v>
      </c>
      <c r="BE75" s="457" t="s">
        <v>785</v>
      </c>
      <c r="BF75" s="457" t="s">
        <v>785</v>
      </c>
      <c r="BG75" s="457" t="s">
        <v>785</v>
      </c>
      <c r="BH75" s="457" t="s">
        <v>785</v>
      </c>
      <c r="BI75" s="457" t="s">
        <v>785</v>
      </c>
      <c r="BJ75" s="457" t="s">
        <v>785</v>
      </c>
      <c r="BK75" s="458" t="e">
        <f t="shared" si="44"/>
        <v>#DIV/0!</v>
      </c>
    </row>
    <row r="76" spans="1:63" ht="15" customHeight="1" x14ac:dyDescent="0.25">
      <c r="A76" s="456" t="s">
        <v>794</v>
      </c>
      <c r="B76" s="440" t="e">
        <f>'Feasibility Study'!AY87/1000*0.15</f>
        <v>#DIV/0!</v>
      </c>
      <c r="C76" s="450" t="e">
        <f>$B$76*0.011013</f>
        <v>#DIV/0!</v>
      </c>
      <c r="D76" s="450" t="e">
        <f>$B$76*0.013216</f>
        <v>#DIV/0!</v>
      </c>
      <c r="E76" s="450" t="e">
        <f>$B$76*0.015418</f>
        <v>#DIV/0!</v>
      </c>
      <c r="F76" s="450" t="e">
        <f>$B$76*0.017621</f>
        <v>#DIV/0!</v>
      </c>
      <c r="G76" s="450" t="e">
        <f>$B$76*0.019824</f>
        <v>#DIV/0!</v>
      </c>
      <c r="H76" s="450" t="e">
        <f>$B$76*0.022026</f>
        <v>#DIV/0!</v>
      </c>
      <c r="I76" s="450" t="e">
        <f>$B$76*0.024229</f>
        <v>#DIV/0!</v>
      </c>
      <c r="J76" s="450" t="e">
        <f>$B$76*0.026432</f>
        <v>#DIV/0!</v>
      </c>
      <c r="K76" s="450" t="e">
        <f>$B$76*0.028634</f>
        <v>#DIV/0!</v>
      </c>
      <c r="L76" s="450" t="e">
        <f>$B$76*0.028634</f>
        <v>#DIV/0!</v>
      </c>
      <c r="M76" s="450" t="e">
        <f>$B$76*0.028634</f>
        <v>#DIV/0!</v>
      </c>
      <c r="N76" s="450" t="e">
        <f>$B$76*0.028634</f>
        <v>#DIV/0!</v>
      </c>
      <c r="O76" s="450" t="e">
        <f t="shared" ref="O76:V76" si="46">$B$76*0.030837</f>
        <v>#DIV/0!</v>
      </c>
      <c r="P76" s="450" t="e">
        <f t="shared" si="46"/>
        <v>#DIV/0!</v>
      </c>
      <c r="Q76" s="450" t="e">
        <f t="shared" si="46"/>
        <v>#DIV/0!</v>
      </c>
      <c r="R76" s="450" t="e">
        <f t="shared" si="46"/>
        <v>#DIV/0!</v>
      </c>
      <c r="S76" s="450" t="e">
        <f t="shared" si="46"/>
        <v>#DIV/0!</v>
      </c>
      <c r="T76" s="450" t="e">
        <f t="shared" si="46"/>
        <v>#DIV/0!</v>
      </c>
      <c r="U76" s="450" t="e">
        <f t="shared" si="46"/>
        <v>#DIV/0!</v>
      </c>
      <c r="V76" s="450" t="e">
        <f t="shared" si="46"/>
        <v>#DIV/0!</v>
      </c>
      <c r="W76" s="450" t="e">
        <f>$B$76*0.028634</f>
        <v>#DIV/0!</v>
      </c>
      <c r="X76" s="450" t="e">
        <f>$B$76*0.028634</f>
        <v>#DIV/0!</v>
      </c>
      <c r="Y76" s="450" t="e">
        <f>$B$76*0.026432</f>
        <v>#DIV/0!</v>
      </c>
      <c r="Z76" s="450" t="e">
        <f>$B$76*0.026432</f>
        <v>#DIV/0!</v>
      </c>
      <c r="AA76" s="450" t="e">
        <f>$B$76*0.026432</f>
        <v>#DIV/0!</v>
      </c>
      <c r="AB76" s="450" t="e">
        <f>$B$76*0.024229</f>
        <v>#DIV/0!</v>
      </c>
      <c r="AC76" s="450" t="e">
        <f>$B$76*0.024229</f>
        <v>#DIV/0!</v>
      </c>
      <c r="AD76" s="450" t="e">
        <f>$B$76*0.024229</f>
        <v>#DIV/0!</v>
      </c>
      <c r="AE76" s="450" t="e">
        <f>$B$76*0.022026</f>
        <v>#DIV/0!</v>
      </c>
      <c r="AF76" s="450" t="e">
        <f>$B$76*0.022026</f>
        <v>#DIV/0!</v>
      </c>
      <c r="AG76" s="450" t="e">
        <f>$B$76*0.022026</f>
        <v>#DIV/0!</v>
      </c>
      <c r="AH76" s="450" t="e">
        <f>$B$76*0.019824</f>
        <v>#DIV/0!</v>
      </c>
      <c r="AI76" s="450" t="e">
        <f>$B$76*0.019824</f>
        <v>#DIV/0!</v>
      </c>
      <c r="AJ76" s="450" t="e">
        <f>$B$76*0.019824</f>
        <v>#DIV/0!</v>
      </c>
      <c r="AK76" s="450" t="e">
        <f>$B$76*0.017621</f>
        <v>#DIV/0!</v>
      </c>
      <c r="AL76" s="450" t="e">
        <f>$B$76*0.017621</f>
        <v>#DIV/0!</v>
      </c>
      <c r="AM76" s="450" t="e">
        <f>$B$76*0.017621</f>
        <v>#DIV/0!</v>
      </c>
      <c r="AN76" s="450" t="e">
        <f>$B$76*0.015418</f>
        <v>#DIV/0!</v>
      </c>
      <c r="AO76" s="450" t="e">
        <f>$B$76*0.015418</f>
        <v>#DIV/0!</v>
      </c>
      <c r="AP76" s="450" t="e">
        <f>$B$76*0.013216</f>
        <v>#DIV/0!</v>
      </c>
      <c r="AQ76" s="450" t="e">
        <f>$B$76*0.013216</f>
        <v>#DIV/0!</v>
      </c>
      <c r="AR76" s="450" t="e">
        <f>$B$76*0.011013</f>
        <v>#DIV/0!</v>
      </c>
      <c r="AS76" s="450" t="e">
        <f>$B$76*0.011013</f>
        <v>#DIV/0!</v>
      </c>
      <c r="AT76" s="450" t="e">
        <f>$B$76*0.008811</f>
        <v>#DIV/0!</v>
      </c>
      <c r="AU76" s="450" t="e">
        <f>$B$76*0.006608</f>
        <v>#DIV/0!</v>
      </c>
      <c r="AV76" s="450" t="e">
        <f>$B$76*0.004405</f>
        <v>#DIV/0!</v>
      </c>
      <c r="AW76" s="450" t="e">
        <f>$B$76*0.002203</f>
        <v>#DIV/0!</v>
      </c>
      <c r="AX76" s="457" t="s">
        <v>785</v>
      </c>
      <c r="AY76" s="457" t="s">
        <v>785</v>
      </c>
      <c r="AZ76" s="457" t="s">
        <v>785</v>
      </c>
      <c r="BA76" s="457" t="s">
        <v>785</v>
      </c>
      <c r="BB76" s="457" t="s">
        <v>785</v>
      </c>
      <c r="BC76" s="457" t="s">
        <v>785</v>
      </c>
      <c r="BD76" s="457" t="s">
        <v>785</v>
      </c>
      <c r="BE76" s="457" t="s">
        <v>785</v>
      </c>
      <c r="BF76" s="457" t="s">
        <v>785</v>
      </c>
      <c r="BG76" s="457" t="s">
        <v>785</v>
      </c>
      <c r="BH76" s="457" t="s">
        <v>785</v>
      </c>
      <c r="BI76" s="457" t="s">
        <v>785</v>
      </c>
      <c r="BJ76" s="457" t="s">
        <v>785</v>
      </c>
      <c r="BK76" s="458" t="e">
        <f t="shared" si="44"/>
        <v>#DIV/0!</v>
      </c>
    </row>
    <row r="77" spans="1:63" ht="15" customHeight="1" x14ac:dyDescent="0.25">
      <c r="A77" s="456" t="s">
        <v>795</v>
      </c>
      <c r="B77" s="440" t="e">
        <f>'Feasibility Study'!AY87/1000*0.13</f>
        <v>#DIV/0!</v>
      </c>
      <c r="C77" s="450" t="e">
        <f>$B$77*0.011013</f>
        <v>#DIV/0!</v>
      </c>
      <c r="D77" s="450" t="e">
        <f>$B$77*0.013216</f>
        <v>#DIV/0!</v>
      </c>
      <c r="E77" s="450" t="e">
        <f>$B$77*0.015418</f>
        <v>#DIV/0!</v>
      </c>
      <c r="F77" s="450" t="e">
        <f>$B$77*0.017621</f>
        <v>#DIV/0!</v>
      </c>
      <c r="G77" s="450" t="e">
        <f>$B$77*0.019824</f>
        <v>#DIV/0!</v>
      </c>
      <c r="H77" s="450" t="e">
        <f>$B$77*0.022026</f>
        <v>#DIV/0!</v>
      </c>
      <c r="I77" s="450" t="e">
        <f>$B$77*0.024229</f>
        <v>#DIV/0!</v>
      </c>
      <c r="J77" s="450" t="e">
        <f>$B$77*0.026432</f>
        <v>#DIV/0!</v>
      </c>
      <c r="K77" s="450" t="e">
        <f>$B$77*0.028634</f>
        <v>#DIV/0!</v>
      </c>
      <c r="L77" s="450" t="e">
        <f>$B$77*0.028634</f>
        <v>#DIV/0!</v>
      </c>
      <c r="M77" s="450" t="e">
        <f>$B$77*0.028634</f>
        <v>#DIV/0!</v>
      </c>
      <c r="N77" s="450" t="e">
        <f>$B$77*0.028634</f>
        <v>#DIV/0!</v>
      </c>
      <c r="O77" s="450" t="e">
        <f t="shared" ref="O77:V77" si="47">$B$77*0.030837</f>
        <v>#DIV/0!</v>
      </c>
      <c r="P77" s="450" t="e">
        <f t="shared" si="47"/>
        <v>#DIV/0!</v>
      </c>
      <c r="Q77" s="450" t="e">
        <f t="shared" si="47"/>
        <v>#DIV/0!</v>
      </c>
      <c r="R77" s="450" t="e">
        <f t="shared" si="47"/>
        <v>#DIV/0!</v>
      </c>
      <c r="S77" s="450" t="e">
        <f t="shared" si="47"/>
        <v>#DIV/0!</v>
      </c>
      <c r="T77" s="450" t="e">
        <f t="shared" si="47"/>
        <v>#DIV/0!</v>
      </c>
      <c r="U77" s="450" t="e">
        <f t="shared" si="47"/>
        <v>#DIV/0!</v>
      </c>
      <c r="V77" s="450" t="e">
        <f t="shared" si="47"/>
        <v>#DIV/0!</v>
      </c>
      <c r="W77" s="450" t="e">
        <f>$B$77*0.028634</f>
        <v>#DIV/0!</v>
      </c>
      <c r="X77" s="450" t="e">
        <f>$B$77*0.028634</f>
        <v>#DIV/0!</v>
      </c>
      <c r="Y77" s="450" t="e">
        <f>$B$77*0.026432</f>
        <v>#DIV/0!</v>
      </c>
      <c r="Z77" s="450" t="e">
        <f>$B$77*0.026432</f>
        <v>#DIV/0!</v>
      </c>
      <c r="AA77" s="450" t="e">
        <f>$B$77*0.026432</f>
        <v>#DIV/0!</v>
      </c>
      <c r="AB77" s="450" t="e">
        <f>$B$77*0.024229</f>
        <v>#DIV/0!</v>
      </c>
      <c r="AC77" s="450" t="e">
        <f>$B$77*0.024229</f>
        <v>#DIV/0!</v>
      </c>
      <c r="AD77" s="450" t="e">
        <f>$B$77*0.024229</f>
        <v>#DIV/0!</v>
      </c>
      <c r="AE77" s="450" t="e">
        <f>$B$77*0.022026</f>
        <v>#DIV/0!</v>
      </c>
      <c r="AF77" s="450" t="e">
        <f>$B$77*0.022026</f>
        <v>#DIV/0!</v>
      </c>
      <c r="AG77" s="450" t="e">
        <f>$B$77*0.022026</f>
        <v>#DIV/0!</v>
      </c>
      <c r="AH77" s="450" t="e">
        <f>$B$77*0.019824</f>
        <v>#DIV/0!</v>
      </c>
      <c r="AI77" s="450" t="e">
        <f>$B$77*0.019824</f>
        <v>#DIV/0!</v>
      </c>
      <c r="AJ77" s="450" t="e">
        <f>$B$77*0.019824</f>
        <v>#DIV/0!</v>
      </c>
      <c r="AK77" s="450" t="e">
        <f>$B$77*0.017621</f>
        <v>#DIV/0!</v>
      </c>
      <c r="AL77" s="450" t="e">
        <f>$B$77*0.017621</f>
        <v>#DIV/0!</v>
      </c>
      <c r="AM77" s="450" t="e">
        <f>$B$77*0.017621</f>
        <v>#DIV/0!</v>
      </c>
      <c r="AN77" s="450" t="e">
        <f>$B$77*0.015418</f>
        <v>#DIV/0!</v>
      </c>
      <c r="AO77" s="450" t="e">
        <f>$B$77*0.015418</f>
        <v>#DIV/0!</v>
      </c>
      <c r="AP77" s="450" t="e">
        <f>$B$77*0.013216</f>
        <v>#DIV/0!</v>
      </c>
      <c r="AQ77" s="450" t="e">
        <f>$B$77*0.013216</f>
        <v>#DIV/0!</v>
      </c>
      <c r="AR77" s="450" t="e">
        <f>$B$77*0.011013</f>
        <v>#DIV/0!</v>
      </c>
      <c r="AS77" s="450" t="e">
        <f>$B$77*0.011013</f>
        <v>#DIV/0!</v>
      </c>
      <c r="AT77" s="450" t="e">
        <f>$B$77*0.008811</f>
        <v>#DIV/0!</v>
      </c>
      <c r="AU77" s="450" t="e">
        <f>$B$77*0.006608</f>
        <v>#DIV/0!</v>
      </c>
      <c r="AV77" s="450" t="e">
        <f>$B$77*0.004405</f>
        <v>#DIV/0!</v>
      </c>
      <c r="AW77" s="450" t="e">
        <f>$B$77*0.002203</f>
        <v>#DIV/0!</v>
      </c>
      <c r="AX77" s="457" t="s">
        <v>785</v>
      </c>
      <c r="AY77" s="457" t="s">
        <v>785</v>
      </c>
      <c r="AZ77" s="457" t="s">
        <v>785</v>
      </c>
      <c r="BA77" s="457" t="s">
        <v>785</v>
      </c>
      <c r="BB77" s="457" t="s">
        <v>785</v>
      </c>
      <c r="BC77" s="457" t="s">
        <v>785</v>
      </c>
      <c r="BD77" s="457" t="s">
        <v>785</v>
      </c>
      <c r="BE77" s="457" t="s">
        <v>785</v>
      </c>
      <c r="BF77" s="457" t="s">
        <v>785</v>
      </c>
      <c r="BG77" s="457" t="s">
        <v>785</v>
      </c>
      <c r="BH77" s="457" t="s">
        <v>785</v>
      </c>
      <c r="BI77" s="457" t="s">
        <v>785</v>
      </c>
      <c r="BJ77" s="457" t="s">
        <v>785</v>
      </c>
      <c r="BK77" s="458" t="e">
        <f t="shared" si="44"/>
        <v>#DIV/0!</v>
      </c>
    </row>
    <row r="78" spans="1:63" ht="15" customHeight="1" x14ac:dyDescent="0.25">
      <c r="A78" s="456" t="s">
        <v>796</v>
      </c>
      <c r="B78" s="440" t="e">
        <f>'Feasibility Study'!AY87/1000*0.065</f>
        <v>#DIV/0!</v>
      </c>
      <c r="C78" s="450" t="e">
        <f>$B$78*0.011013</f>
        <v>#DIV/0!</v>
      </c>
      <c r="D78" s="450" t="e">
        <f>$B$78*0.013216</f>
        <v>#DIV/0!</v>
      </c>
      <c r="E78" s="450" t="e">
        <f>$B$78*0.015418</f>
        <v>#DIV/0!</v>
      </c>
      <c r="F78" s="450" t="e">
        <f>$B$78*0.017621</f>
        <v>#DIV/0!</v>
      </c>
      <c r="G78" s="450" t="e">
        <f>$B$78*0.019824</f>
        <v>#DIV/0!</v>
      </c>
      <c r="H78" s="450" t="e">
        <f>$B$78*0.022026</f>
        <v>#DIV/0!</v>
      </c>
      <c r="I78" s="450" t="e">
        <f>$B$78*0.024229</f>
        <v>#DIV/0!</v>
      </c>
      <c r="J78" s="450" t="e">
        <f>$B$78*0.026432</f>
        <v>#DIV/0!</v>
      </c>
      <c r="K78" s="450" t="e">
        <f>$B$78*0.028634</f>
        <v>#DIV/0!</v>
      </c>
      <c r="L78" s="450" t="e">
        <f>$B$78*0.028634</f>
        <v>#DIV/0!</v>
      </c>
      <c r="M78" s="450" t="e">
        <f>$B$78*0.028634</f>
        <v>#DIV/0!</v>
      </c>
      <c r="N78" s="450" t="e">
        <f>$B$78*0.028634</f>
        <v>#DIV/0!</v>
      </c>
      <c r="O78" s="450" t="e">
        <f t="shared" ref="O78:V78" si="48">$B$78*0.030837</f>
        <v>#DIV/0!</v>
      </c>
      <c r="P78" s="450" t="e">
        <f t="shared" si="48"/>
        <v>#DIV/0!</v>
      </c>
      <c r="Q78" s="450" t="e">
        <f t="shared" si="48"/>
        <v>#DIV/0!</v>
      </c>
      <c r="R78" s="450" t="e">
        <f t="shared" si="48"/>
        <v>#DIV/0!</v>
      </c>
      <c r="S78" s="450" t="e">
        <f t="shared" si="48"/>
        <v>#DIV/0!</v>
      </c>
      <c r="T78" s="450" t="e">
        <f t="shared" si="48"/>
        <v>#DIV/0!</v>
      </c>
      <c r="U78" s="450" t="e">
        <f t="shared" si="48"/>
        <v>#DIV/0!</v>
      </c>
      <c r="V78" s="450" t="e">
        <f t="shared" si="48"/>
        <v>#DIV/0!</v>
      </c>
      <c r="W78" s="450" t="e">
        <f>$B$78*0.028634</f>
        <v>#DIV/0!</v>
      </c>
      <c r="X78" s="450" t="e">
        <f>$B$78*0.028634</f>
        <v>#DIV/0!</v>
      </c>
      <c r="Y78" s="450" t="e">
        <f>$B$78*0.026432</f>
        <v>#DIV/0!</v>
      </c>
      <c r="Z78" s="450" t="e">
        <f>$B$78*0.026432</f>
        <v>#DIV/0!</v>
      </c>
      <c r="AA78" s="450" t="e">
        <f>$B$78*0.026432</f>
        <v>#DIV/0!</v>
      </c>
      <c r="AB78" s="450" t="e">
        <f>$B$78*0.024229</f>
        <v>#DIV/0!</v>
      </c>
      <c r="AC78" s="450" t="e">
        <f>$B$78*0.024229</f>
        <v>#DIV/0!</v>
      </c>
      <c r="AD78" s="450" t="e">
        <f>$B$78*0.024229</f>
        <v>#DIV/0!</v>
      </c>
      <c r="AE78" s="450" t="e">
        <f>$B$78*0.022026</f>
        <v>#DIV/0!</v>
      </c>
      <c r="AF78" s="450" t="e">
        <f>$B$78*0.022026</f>
        <v>#DIV/0!</v>
      </c>
      <c r="AG78" s="450" t="e">
        <f>$B$78*0.022026</f>
        <v>#DIV/0!</v>
      </c>
      <c r="AH78" s="450" t="e">
        <f>$B$78*0.019824</f>
        <v>#DIV/0!</v>
      </c>
      <c r="AI78" s="450" t="e">
        <f>$B$78*0.019824</f>
        <v>#DIV/0!</v>
      </c>
      <c r="AJ78" s="450" t="e">
        <f>$B$78*0.019824</f>
        <v>#DIV/0!</v>
      </c>
      <c r="AK78" s="450" t="e">
        <f>$B$78*0.017621</f>
        <v>#DIV/0!</v>
      </c>
      <c r="AL78" s="450" t="e">
        <f>$B$78*0.017621</f>
        <v>#DIV/0!</v>
      </c>
      <c r="AM78" s="450" t="e">
        <f>$B$78*0.017621</f>
        <v>#DIV/0!</v>
      </c>
      <c r="AN78" s="450" t="e">
        <f>$B$78*0.015418</f>
        <v>#DIV/0!</v>
      </c>
      <c r="AO78" s="450" t="e">
        <f>$B$78*0.015418</f>
        <v>#DIV/0!</v>
      </c>
      <c r="AP78" s="450" t="e">
        <f>$B$78*0.013216</f>
        <v>#DIV/0!</v>
      </c>
      <c r="AQ78" s="450" t="e">
        <f>$B$78*0.013216</f>
        <v>#DIV/0!</v>
      </c>
      <c r="AR78" s="450" t="e">
        <f>$B$78*0.011013</f>
        <v>#DIV/0!</v>
      </c>
      <c r="AS78" s="450" t="e">
        <f>$B$78*0.011013</f>
        <v>#DIV/0!</v>
      </c>
      <c r="AT78" s="450" t="e">
        <f>$B$78*0.008811</f>
        <v>#DIV/0!</v>
      </c>
      <c r="AU78" s="450" t="e">
        <f>$B$78*0.006608</f>
        <v>#DIV/0!</v>
      </c>
      <c r="AV78" s="450" t="e">
        <f>$B$78*0.004405</f>
        <v>#DIV/0!</v>
      </c>
      <c r="AW78" s="450" t="e">
        <f>$B$78*0.002203</f>
        <v>#DIV/0!</v>
      </c>
      <c r="AX78" s="457" t="s">
        <v>785</v>
      </c>
      <c r="AY78" s="457" t="s">
        <v>785</v>
      </c>
      <c r="AZ78" s="457" t="s">
        <v>785</v>
      </c>
      <c r="BA78" s="457" t="s">
        <v>785</v>
      </c>
      <c r="BB78" s="457" t="s">
        <v>785</v>
      </c>
      <c r="BC78" s="457" t="s">
        <v>785</v>
      </c>
      <c r="BD78" s="457" t="s">
        <v>785</v>
      </c>
      <c r="BE78" s="457" t="s">
        <v>785</v>
      </c>
      <c r="BF78" s="457" t="s">
        <v>785</v>
      </c>
      <c r="BG78" s="457" t="s">
        <v>785</v>
      </c>
      <c r="BH78" s="457" t="s">
        <v>785</v>
      </c>
      <c r="BI78" s="457" t="s">
        <v>785</v>
      </c>
      <c r="BJ78" s="457" t="s">
        <v>785</v>
      </c>
      <c r="BK78" s="458" t="e">
        <f t="shared" si="44"/>
        <v>#DIV/0!</v>
      </c>
    </row>
    <row r="79" spans="1:63" ht="15" customHeight="1" x14ac:dyDescent="0.25">
      <c r="A79" s="459" t="s">
        <v>797</v>
      </c>
      <c r="C79" s="458">
        <f t="shared" ref="C79:AH79" si="49">IF(ISNUMBER(C74),C74,0)+IF(ISNUMBER(C75),C75,0)+IF(ISNUMBER(C76),C76,0)+IF(ISNUMBER(C77),C77,0)+IF(ISNUMBER(C78),C78,0)</f>
        <v>0</v>
      </c>
      <c r="D79" s="458">
        <f t="shared" si="49"/>
        <v>0</v>
      </c>
      <c r="E79" s="458">
        <f t="shared" si="49"/>
        <v>0</v>
      </c>
      <c r="F79" s="458">
        <f t="shared" si="49"/>
        <v>0</v>
      </c>
      <c r="G79" s="458">
        <f t="shared" si="49"/>
        <v>0</v>
      </c>
      <c r="H79" s="458">
        <f t="shared" si="49"/>
        <v>0</v>
      </c>
      <c r="I79" s="458">
        <f t="shared" si="49"/>
        <v>0</v>
      </c>
      <c r="J79" s="458">
        <f t="shared" si="49"/>
        <v>0</v>
      </c>
      <c r="K79" s="458">
        <f t="shared" si="49"/>
        <v>0</v>
      </c>
      <c r="L79" s="458">
        <f t="shared" si="49"/>
        <v>0</v>
      </c>
      <c r="M79" s="458">
        <f t="shared" si="49"/>
        <v>0</v>
      </c>
      <c r="N79" s="458">
        <f t="shared" si="49"/>
        <v>0</v>
      </c>
      <c r="O79" s="458">
        <f t="shared" si="49"/>
        <v>0</v>
      </c>
      <c r="P79" s="458">
        <f t="shared" si="49"/>
        <v>0</v>
      </c>
      <c r="Q79" s="458">
        <f t="shared" si="49"/>
        <v>0</v>
      </c>
      <c r="R79" s="458">
        <f t="shared" si="49"/>
        <v>0</v>
      </c>
      <c r="S79" s="458">
        <f t="shared" si="49"/>
        <v>0</v>
      </c>
      <c r="T79" s="458">
        <f t="shared" si="49"/>
        <v>0</v>
      </c>
      <c r="U79" s="458">
        <f t="shared" si="49"/>
        <v>0</v>
      </c>
      <c r="V79" s="458">
        <f t="shared" si="49"/>
        <v>0</v>
      </c>
      <c r="W79" s="458">
        <f t="shared" si="49"/>
        <v>0</v>
      </c>
      <c r="X79" s="458">
        <f t="shared" si="49"/>
        <v>0</v>
      </c>
      <c r="Y79" s="458">
        <f t="shared" si="49"/>
        <v>0</v>
      </c>
      <c r="Z79" s="458">
        <f t="shared" si="49"/>
        <v>0</v>
      </c>
      <c r="AA79" s="458">
        <f t="shared" si="49"/>
        <v>0</v>
      </c>
      <c r="AB79" s="458">
        <f t="shared" si="49"/>
        <v>0</v>
      </c>
      <c r="AC79" s="458">
        <f t="shared" si="49"/>
        <v>0</v>
      </c>
      <c r="AD79" s="458">
        <f t="shared" si="49"/>
        <v>0</v>
      </c>
      <c r="AE79" s="458">
        <f t="shared" si="49"/>
        <v>0</v>
      </c>
      <c r="AF79" s="458">
        <f t="shared" si="49"/>
        <v>0</v>
      </c>
      <c r="AG79" s="458">
        <f t="shared" si="49"/>
        <v>0</v>
      </c>
      <c r="AH79" s="458">
        <f t="shared" si="49"/>
        <v>0</v>
      </c>
      <c r="AI79" s="458">
        <f t="shared" ref="AI79:BJ79" si="50">IF(ISNUMBER(AI74),AI74,0)+IF(ISNUMBER(AI75),AI75,0)+IF(ISNUMBER(AI76),AI76,0)+IF(ISNUMBER(AI77),AI77,0)+IF(ISNUMBER(AI78),AI78,0)</f>
        <v>0</v>
      </c>
      <c r="AJ79" s="458">
        <f t="shared" si="50"/>
        <v>0</v>
      </c>
      <c r="AK79" s="458">
        <f t="shared" si="50"/>
        <v>0</v>
      </c>
      <c r="AL79" s="458">
        <f t="shared" si="50"/>
        <v>0</v>
      </c>
      <c r="AM79" s="458">
        <f t="shared" si="50"/>
        <v>0</v>
      </c>
      <c r="AN79" s="458">
        <f t="shared" si="50"/>
        <v>0</v>
      </c>
      <c r="AO79" s="458">
        <f t="shared" si="50"/>
        <v>0</v>
      </c>
      <c r="AP79" s="458">
        <f t="shared" si="50"/>
        <v>0</v>
      </c>
      <c r="AQ79" s="458">
        <f t="shared" si="50"/>
        <v>0</v>
      </c>
      <c r="AR79" s="458">
        <f t="shared" si="50"/>
        <v>0</v>
      </c>
      <c r="AS79" s="458">
        <f t="shared" si="50"/>
        <v>0</v>
      </c>
      <c r="AT79" s="458">
        <f t="shared" si="50"/>
        <v>0</v>
      </c>
      <c r="AU79" s="458">
        <f t="shared" si="50"/>
        <v>0</v>
      </c>
      <c r="AV79" s="458">
        <f t="shared" si="50"/>
        <v>0</v>
      </c>
      <c r="AW79" s="458">
        <f t="shared" si="50"/>
        <v>0</v>
      </c>
      <c r="AX79" s="458">
        <f t="shared" si="50"/>
        <v>0</v>
      </c>
      <c r="AY79" s="458">
        <f t="shared" si="50"/>
        <v>0</v>
      </c>
      <c r="AZ79" s="458">
        <f t="shared" si="50"/>
        <v>0</v>
      </c>
      <c r="BA79" s="458">
        <f t="shared" si="50"/>
        <v>0</v>
      </c>
      <c r="BB79" s="458">
        <f t="shared" si="50"/>
        <v>0</v>
      </c>
      <c r="BC79" s="458">
        <f t="shared" si="50"/>
        <v>0</v>
      </c>
      <c r="BD79" s="458">
        <f t="shared" si="50"/>
        <v>0</v>
      </c>
      <c r="BE79" s="458">
        <f t="shared" si="50"/>
        <v>0</v>
      </c>
      <c r="BF79" s="458">
        <f t="shared" si="50"/>
        <v>0</v>
      </c>
      <c r="BG79" s="458">
        <f t="shared" si="50"/>
        <v>0</v>
      </c>
      <c r="BH79" s="458">
        <f t="shared" si="50"/>
        <v>0</v>
      </c>
      <c r="BI79" s="458">
        <f t="shared" si="50"/>
        <v>0</v>
      </c>
      <c r="BJ79" s="458">
        <f t="shared" si="50"/>
        <v>0</v>
      </c>
      <c r="BK79" s="458">
        <f t="shared" si="44"/>
        <v>0</v>
      </c>
    </row>
    <row r="81" spans="1:63" ht="15" customHeight="1" x14ac:dyDescent="0.25">
      <c r="A81" s="660" t="s">
        <v>798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27"/>
      <c r="AB81" s="627"/>
      <c r="AC81" s="627"/>
      <c r="AD81" s="627"/>
      <c r="AE81" s="627"/>
      <c r="AF81" s="627"/>
      <c r="AG81" s="627"/>
      <c r="AH81" s="627"/>
      <c r="AI81" s="627"/>
      <c r="AJ81" s="627"/>
      <c r="AK81" s="627"/>
      <c r="AL81" s="627"/>
      <c r="AM81" s="627"/>
      <c r="AN81" s="627"/>
      <c r="AO81" s="627"/>
      <c r="AP81" s="627"/>
      <c r="AQ81" s="627"/>
      <c r="AR81" s="627"/>
      <c r="AS81" s="627"/>
      <c r="AT81" s="627"/>
      <c r="AU81" s="627"/>
      <c r="AV81" s="627"/>
      <c r="AW81" s="627"/>
      <c r="AX81" s="627"/>
      <c r="AY81" s="627"/>
      <c r="AZ81" s="627"/>
      <c r="BA81" s="627"/>
      <c r="BB81" s="627"/>
      <c r="BC81" s="627"/>
      <c r="BD81" s="627"/>
      <c r="BE81" s="627"/>
      <c r="BF81" s="627"/>
      <c r="BG81" s="627"/>
      <c r="BH81" s="627"/>
      <c r="BI81" s="627"/>
      <c r="BJ81" s="627"/>
      <c r="BK81" s="627"/>
    </row>
    <row r="82" spans="1:63" ht="15" customHeight="1" x14ac:dyDescent="0.25">
      <c r="A82" s="454" t="s">
        <v>783</v>
      </c>
      <c r="B82" s="454" t="s">
        <v>791</v>
      </c>
      <c r="C82" s="455" t="s">
        <v>744</v>
      </c>
      <c r="D82" s="455" t="s">
        <v>745</v>
      </c>
      <c r="E82" s="455" t="s">
        <v>746</v>
      </c>
      <c r="F82" s="455" t="s">
        <v>747</v>
      </c>
      <c r="G82" s="455" t="s">
        <v>748</v>
      </c>
      <c r="H82" s="455" t="s">
        <v>749</v>
      </c>
      <c r="I82" s="455" t="s">
        <v>750</v>
      </c>
      <c r="J82" s="455" t="s">
        <v>751</v>
      </c>
      <c r="K82" s="455" t="s">
        <v>752</v>
      </c>
      <c r="L82" s="455" t="s">
        <v>753</v>
      </c>
      <c r="M82" s="455" t="s">
        <v>754</v>
      </c>
      <c r="N82" s="455" t="s">
        <v>755</v>
      </c>
      <c r="O82" s="455" t="s">
        <v>744</v>
      </c>
      <c r="P82" s="455" t="s">
        <v>745</v>
      </c>
      <c r="Q82" s="455" t="s">
        <v>746</v>
      </c>
      <c r="R82" s="455" t="s">
        <v>747</v>
      </c>
      <c r="S82" s="455" t="s">
        <v>748</v>
      </c>
      <c r="T82" s="455" t="s">
        <v>749</v>
      </c>
      <c r="U82" s="455" t="s">
        <v>750</v>
      </c>
      <c r="V82" s="455" t="s">
        <v>751</v>
      </c>
      <c r="W82" s="455" t="s">
        <v>752</v>
      </c>
      <c r="X82" s="455" t="s">
        <v>753</v>
      </c>
      <c r="Y82" s="455" t="s">
        <v>754</v>
      </c>
      <c r="Z82" s="455" t="s">
        <v>755</v>
      </c>
      <c r="AA82" s="455" t="s">
        <v>744</v>
      </c>
      <c r="AB82" s="455" t="s">
        <v>745</v>
      </c>
      <c r="AC82" s="455" t="s">
        <v>746</v>
      </c>
      <c r="AD82" s="455" t="s">
        <v>747</v>
      </c>
      <c r="AE82" s="455" t="s">
        <v>748</v>
      </c>
      <c r="AF82" s="455" t="s">
        <v>749</v>
      </c>
      <c r="AG82" s="455" t="s">
        <v>750</v>
      </c>
      <c r="AH82" s="455" t="s">
        <v>751</v>
      </c>
      <c r="AI82" s="455" t="s">
        <v>752</v>
      </c>
      <c r="AJ82" s="455" t="s">
        <v>753</v>
      </c>
      <c r="AK82" s="455" t="s">
        <v>754</v>
      </c>
      <c r="AL82" s="455" t="s">
        <v>755</v>
      </c>
      <c r="AM82" s="455" t="s">
        <v>744</v>
      </c>
      <c r="AN82" s="455" t="s">
        <v>745</v>
      </c>
      <c r="AO82" s="455" t="s">
        <v>746</v>
      </c>
      <c r="AP82" s="455" t="s">
        <v>747</v>
      </c>
      <c r="AQ82" s="455" t="s">
        <v>748</v>
      </c>
      <c r="AR82" s="455" t="s">
        <v>749</v>
      </c>
      <c r="AS82" s="455" t="s">
        <v>750</v>
      </c>
      <c r="AT82" s="455" t="s">
        <v>751</v>
      </c>
      <c r="AU82" s="455" t="s">
        <v>752</v>
      </c>
      <c r="AV82" s="455" t="s">
        <v>753</v>
      </c>
      <c r="AW82" s="455" t="s">
        <v>754</v>
      </c>
      <c r="AX82" s="455" t="s">
        <v>755</v>
      </c>
      <c r="AY82" s="455" t="s">
        <v>744</v>
      </c>
      <c r="AZ82" s="455" t="s">
        <v>745</v>
      </c>
      <c r="BA82" s="455" t="s">
        <v>746</v>
      </c>
      <c r="BB82" s="455" t="s">
        <v>747</v>
      </c>
      <c r="BC82" s="455" t="s">
        <v>748</v>
      </c>
      <c r="BD82" s="455" t="s">
        <v>749</v>
      </c>
      <c r="BE82" s="455" t="s">
        <v>750</v>
      </c>
      <c r="BF82" s="455" t="s">
        <v>751</v>
      </c>
      <c r="BG82" s="455" t="s">
        <v>752</v>
      </c>
      <c r="BH82" s="455" t="s">
        <v>753</v>
      </c>
      <c r="BI82" s="455" t="s">
        <v>754</v>
      </c>
      <c r="BJ82" s="455" t="s">
        <v>755</v>
      </c>
      <c r="BK82" s="454" t="s">
        <v>780</v>
      </c>
    </row>
    <row r="83" spans="1:63" ht="15" customHeight="1" x14ac:dyDescent="0.25">
      <c r="A83" s="456" t="s">
        <v>799</v>
      </c>
      <c r="B83" s="440">
        <f>'Feasibility Study'!AY73/1000*0.04</f>
        <v>0</v>
      </c>
      <c r="C83" s="450">
        <f t="shared" ref="C83:AH83" si="51">IF($B$83=0,0,$B$83/60)</f>
        <v>0</v>
      </c>
      <c r="D83" s="450">
        <f t="shared" si="51"/>
        <v>0</v>
      </c>
      <c r="E83" s="450">
        <f t="shared" si="51"/>
        <v>0</v>
      </c>
      <c r="F83" s="450">
        <f t="shared" si="51"/>
        <v>0</v>
      </c>
      <c r="G83" s="450">
        <f t="shared" si="51"/>
        <v>0</v>
      </c>
      <c r="H83" s="450">
        <f t="shared" si="51"/>
        <v>0</v>
      </c>
      <c r="I83" s="450">
        <f t="shared" si="51"/>
        <v>0</v>
      </c>
      <c r="J83" s="450">
        <f t="shared" si="51"/>
        <v>0</v>
      </c>
      <c r="K83" s="450">
        <f t="shared" si="51"/>
        <v>0</v>
      </c>
      <c r="L83" s="450">
        <f t="shared" si="51"/>
        <v>0</v>
      </c>
      <c r="M83" s="450">
        <f t="shared" si="51"/>
        <v>0</v>
      </c>
      <c r="N83" s="450">
        <f t="shared" si="51"/>
        <v>0</v>
      </c>
      <c r="O83" s="450">
        <f t="shared" si="51"/>
        <v>0</v>
      </c>
      <c r="P83" s="450">
        <f t="shared" si="51"/>
        <v>0</v>
      </c>
      <c r="Q83" s="450">
        <f t="shared" si="51"/>
        <v>0</v>
      </c>
      <c r="R83" s="450">
        <f t="shared" si="51"/>
        <v>0</v>
      </c>
      <c r="S83" s="450">
        <f t="shared" si="51"/>
        <v>0</v>
      </c>
      <c r="T83" s="450">
        <f t="shared" si="51"/>
        <v>0</v>
      </c>
      <c r="U83" s="450">
        <f t="shared" si="51"/>
        <v>0</v>
      </c>
      <c r="V83" s="450">
        <f t="shared" si="51"/>
        <v>0</v>
      </c>
      <c r="W83" s="450">
        <f t="shared" si="51"/>
        <v>0</v>
      </c>
      <c r="X83" s="450">
        <f t="shared" si="51"/>
        <v>0</v>
      </c>
      <c r="Y83" s="450">
        <f t="shared" si="51"/>
        <v>0</v>
      </c>
      <c r="Z83" s="450">
        <f t="shared" si="51"/>
        <v>0</v>
      </c>
      <c r="AA83" s="450">
        <f t="shared" si="51"/>
        <v>0</v>
      </c>
      <c r="AB83" s="450">
        <f t="shared" si="51"/>
        <v>0</v>
      </c>
      <c r="AC83" s="450">
        <f t="shared" si="51"/>
        <v>0</v>
      </c>
      <c r="AD83" s="450">
        <f t="shared" si="51"/>
        <v>0</v>
      </c>
      <c r="AE83" s="450">
        <f t="shared" si="51"/>
        <v>0</v>
      </c>
      <c r="AF83" s="450">
        <f t="shared" si="51"/>
        <v>0</v>
      </c>
      <c r="AG83" s="450">
        <f t="shared" si="51"/>
        <v>0</v>
      </c>
      <c r="AH83" s="450">
        <f t="shared" si="51"/>
        <v>0</v>
      </c>
      <c r="AI83" s="450">
        <f t="shared" ref="AI83:BJ83" si="52">IF($B$83=0,0,$B$83/60)</f>
        <v>0</v>
      </c>
      <c r="AJ83" s="450">
        <f t="shared" si="52"/>
        <v>0</v>
      </c>
      <c r="AK83" s="450">
        <f t="shared" si="52"/>
        <v>0</v>
      </c>
      <c r="AL83" s="450">
        <f t="shared" si="52"/>
        <v>0</v>
      </c>
      <c r="AM83" s="450">
        <f t="shared" si="52"/>
        <v>0</v>
      </c>
      <c r="AN83" s="450">
        <f t="shared" si="52"/>
        <v>0</v>
      </c>
      <c r="AO83" s="450">
        <f t="shared" si="52"/>
        <v>0</v>
      </c>
      <c r="AP83" s="450">
        <f t="shared" si="52"/>
        <v>0</v>
      </c>
      <c r="AQ83" s="450">
        <f t="shared" si="52"/>
        <v>0</v>
      </c>
      <c r="AR83" s="450">
        <f t="shared" si="52"/>
        <v>0</v>
      </c>
      <c r="AS83" s="450">
        <f t="shared" si="52"/>
        <v>0</v>
      </c>
      <c r="AT83" s="450">
        <f t="shared" si="52"/>
        <v>0</v>
      </c>
      <c r="AU83" s="450">
        <f t="shared" si="52"/>
        <v>0</v>
      </c>
      <c r="AV83" s="450">
        <f t="shared" si="52"/>
        <v>0</v>
      </c>
      <c r="AW83" s="450">
        <f t="shared" si="52"/>
        <v>0</v>
      </c>
      <c r="AX83" s="450">
        <f t="shared" si="52"/>
        <v>0</v>
      </c>
      <c r="AY83" s="450">
        <f t="shared" si="52"/>
        <v>0</v>
      </c>
      <c r="AZ83" s="450">
        <f t="shared" si="52"/>
        <v>0</v>
      </c>
      <c r="BA83" s="450">
        <f t="shared" si="52"/>
        <v>0</v>
      </c>
      <c r="BB83" s="450">
        <f t="shared" si="52"/>
        <v>0</v>
      </c>
      <c r="BC83" s="450">
        <f t="shared" si="52"/>
        <v>0</v>
      </c>
      <c r="BD83" s="450">
        <f t="shared" si="52"/>
        <v>0</v>
      </c>
      <c r="BE83" s="450">
        <f t="shared" si="52"/>
        <v>0</v>
      </c>
      <c r="BF83" s="450">
        <f t="shared" si="52"/>
        <v>0</v>
      </c>
      <c r="BG83" s="450">
        <f t="shared" si="52"/>
        <v>0</v>
      </c>
      <c r="BH83" s="450">
        <f t="shared" si="52"/>
        <v>0</v>
      </c>
      <c r="BI83" s="450">
        <f t="shared" si="52"/>
        <v>0</v>
      </c>
      <c r="BJ83" s="450">
        <f t="shared" si="52"/>
        <v>0</v>
      </c>
      <c r="BK83" s="458">
        <f t="shared" ref="BK83:BK89" si="53">SUM(C83:BJ83)</f>
        <v>0</v>
      </c>
    </row>
    <row r="84" spans="1:63" ht="15" customHeight="1" x14ac:dyDescent="0.25">
      <c r="A84" s="456" t="s">
        <v>800</v>
      </c>
      <c r="B84" s="440">
        <f>'Feasibility Study'!AY73/1000*0.014</f>
        <v>0</v>
      </c>
      <c r="C84" s="450">
        <f t="shared" ref="C84:AH84" si="54">IF($B$84=0,0,$B$84/60)</f>
        <v>0</v>
      </c>
      <c r="D84" s="450">
        <f t="shared" si="54"/>
        <v>0</v>
      </c>
      <c r="E84" s="450">
        <f t="shared" si="54"/>
        <v>0</v>
      </c>
      <c r="F84" s="450">
        <f t="shared" si="54"/>
        <v>0</v>
      </c>
      <c r="G84" s="450">
        <f t="shared" si="54"/>
        <v>0</v>
      </c>
      <c r="H84" s="450">
        <f t="shared" si="54"/>
        <v>0</v>
      </c>
      <c r="I84" s="450">
        <f t="shared" si="54"/>
        <v>0</v>
      </c>
      <c r="J84" s="450">
        <f t="shared" si="54"/>
        <v>0</v>
      </c>
      <c r="K84" s="450">
        <f t="shared" si="54"/>
        <v>0</v>
      </c>
      <c r="L84" s="450">
        <f t="shared" si="54"/>
        <v>0</v>
      </c>
      <c r="M84" s="450">
        <f t="shared" si="54"/>
        <v>0</v>
      </c>
      <c r="N84" s="450">
        <f t="shared" si="54"/>
        <v>0</v>
      </c>
      <c r="O84" s="450">
        <f t="shared" si="54"/>
        <v>0</v>
      </c>
      <c r="P84" s="450">
        <f t="shared" si="54"/>
        <v>0</v>
      </c>
      <c r="Q84" s="450">
        <f t="shared" si="54"/>
        <v>0</v>
      </c>
      <c r="R84" s="450">
        <f t="shared" si="54"/>
        <v>0</v>
      </c>
      <c r="S84" s="450">
        <f t="shared" si="54"/>
        <v>0</v>
      </c>
      <c r="T84" s="450">
        <f t="shared" si="54"/>
        <v>0</v>
      </c>
      <c r="U84" s="450">
        <f t="shared" si="54"/>
        <v>0</v>
      </c>
      <c r="V84" s="450">
        <f t="shared" si="54"/>
        <v>0</v>
      </c>
      <c r="W84" s="450">
        <f t="shared" si="54"/>
        <v>0</v>
      </c>
      <c r="X84" s="450">
        <f t="shared" si="54"/>
        <v>0</v>
      </c>
      <c r="Y84" s="450">
        <f t="shared" si="54"/>
        <v>0</v>
      </c>
      <c r="Z84" s="450">
        <f t="shared" si="54"/>
        <v>0</v>
      </c>
      <c r="AA84" s="450">
        <f t="shared" si="54"/>
        <v>0</v>
      </c>
      <c r="AB84" s="450">
        <f t="shared" si="54"/>
        <v>0</v>
      </c>
      <c r="AC84" s="450">
        <f t="shared" si="54"/>
        <v>0</v>
      </c>
      <c r="AD84" s="450">
        <f t="shared" si="54"/>
        <v>0</v>
      </c>
      <c r="AE84" s="450">
        <f t="shared" si="54"/>
        <v>0</v>
      </c>
      <c r="AF84" s="450">
        <f t="shared" si="54"/>
        <v>0</v>
      </c>
      <c r="AG84" s="450">
        <f t="shared" si="54"/>
        <v>0</v>
      </c>
      <c r="AH84" s="450">
        <f t="shared" si="54"/>
        <v>0</v>
      </c>
      <c r="AI84" s="450">
        <f t="shared" ref="AI84:BJ84" si="55">IF($B$84=0,0,$B$84/60)</f>
        <v>0</v>
      </c>
      <c r="AJ84" s="450">
        <f t="shared" si="55"/>
        <v>0</v>
      </c>
      <c r="AK84" s="450">
        <f t="shared" si="55"/>
        <v>0</v>
      </c>
      <c r="AL84" s="450">
        <f t="shared" si="55"/>
        <v>0</v>
      </c>
      <c r="AM84" s="450">
        <f t="shared" si="55"/>
        <v>0</v>
      </c>
      <c r="AN84" s="450">
        <f t="shared" si="55"/>
        <v>0</v>
      </c>
      <c r="AO84" s="450">
        <f t="shared" si="55"/>
        <v>0</v>
      </c>
      <c r="AP84" s="450">
        <f t="shared" si="55"/>
        <v>0</v>
      </c>
      <c r="AQ84" s="450">
        <f t="shared" si="55"/>
        <v>0</v>
      </c>
      <c r="AR84" s="450">
        <f t="shared" si="55"/>
        <v>0</v>
      </c>
      <c r="AS84" s="450">
        <f t="shared" si="55"/>
        <v>0</v>
      </c>
      <c r="AT84" s="450">
        <f t="shared" si="55"/>
        <v>0</v>
      </c>
      <c r="AU84" s="450">
        <f t="shared" si="55"/>
        <v>0</v>
      </c>
      <c r="AV84" s="450">
        <f t="shared" si="55"/>
        <v>0</v>
      </c>
      <c r="AW84" s="450">
        <f t="shared" si="55"/>
        <v>0</v>
      </c>
      <c r="AX84" s="450">
        <f t="shared" si="55"/>
        <v>0</v>
      </c>
      <c r="AY84" s="450">
        <f t="shared" si="55"/>
        <v>0</v>
      </c>
      <c r="AZ84" s="450">
        <f t="shared" si="55"/>
        <v>0</v>
      </c>
      <c r="BA84" s="450">
        <f t="shared" si="55"/>
        <v>0</v>
      </c>
      <c r="BB84" s="450">
        <f t="shared" si="55"/>
        <v>0</v>
      </c>
      <c r="BC84" s="450">
        <f t="shared" si="55"/>
        <v>0</v>
      </c>
      <c r="BD84" s="450">
        <f t="shared" si="55"/>
        <v>0</v>
      </c>
      <c r="BE84" s="450">
        <f t="shared" si="55"/>
        <v>0</v>
      </c>
      <c r="BF84" s="450">
        <f t="shared" si="55"/>
        <v>0</v>
      </c>
      <c r="BG84" s="450">
        <f t="shared" si="55"/>
        <v>0</v>
      </c>
      <c r="BH84" s="450">
        <f t="shared" si="55"/>
        <v>0</v>
      </c>
      <c r="BI84" s="450">
        <f t="shared" si="55"/>
        <v>0</v>
      </c>
      <c r="BJ84" s="450">
        <f t="shared" si="55"/>
        <v>0</v>
      </c>
      <c r="BK84" s="458">
        <f t="shared" si="53"/>
        <v>0</v>
      </c>
    </row>
    <row r="85" spans="1:63" ht="15" customHeight="1" x14ac:dyDescent="0.25">
      <c r="A85" s="456" t="s">
        <v>801</v>
      </c>
      <c r="B85" s="440">
        <f>'Feasibility Study'!AY73/1000*0.03</f>
        <v>0</v>
      </c>
      <c r="C85" s="450">
        <f t="shared" ref="C85:AH85" si="56">IF($B$85=0,0,$B$85/60)</f>
        <v>0</v>
      </c>
      <c r="D85" s="450">
        <f t="shared" si="56"/>
        <v>0</v>
      </c>
      <c r="E85" s="450">
        <f t="shared" si="56"/>
        <v>0</v>
      </c>
      <c r="F85" s="450">
        <f t="shared" si="56"/>
        <v>0</v>
      </c>
      <c r="G85" s="450">
        <f t="shared" si="56"/>
        <v>0</v>
      </c>
      <c r="H85" s="450">
        <f t="shared" si="56"/>
        <v>0</v>
      </c>
      <c r="I85" s="450">
        <f t="shared" si="56"/>
        <v>0</v>
      </c>
      <c r="J85" s="450">
        <f t="shared" si="56"/>
        <v>0</v>
      </c>
      <c r="K85" s="450">
        <f t="shared" si="56"/>
        <v>0</v>
      </c>
      <c r="L85" s="450">
        <f t="shared" si="56"/>
        <v>0</v>
      </c>
      <c r="M85" s="450">
        <f t="shared" si="56"/>
        <v>0</v>
      </c>
      <c r="N85" s="450">
        <f t="shared" si="56"/>
        <v>0</v>
      </c>
      <c r="O85" s="450">
        <f t="shared" si="56"/>
        <v>0</v>
      </c>
      <c r="P85" s="450">
        <f t="shared" si="56"/>
        <v>0</v>
      </c>
      <c r="Q85" s="450">
        <f t="shared" si="56"/>
        <v>0</v>
      </c>
      <c r="R85" s="450">
        <f t="shared" si="56"/>
        <v>0</v>
      </c>
      <c r="S85" s="450">
        <f t="shared" si="56"/>
        <v>0</v>
      </c>
      <c r="T85" s="450">
        <f t="shared" si="56"/>
        <v>0</v>
      </c>
      <c r="U85" s="450">
        <f t="shared" si="56"/>
        <v>0</v>
      </c>
      <c r="V85" s="450">
        <f t="shared" si="56"/>
        <v>0</v>
      </c>
      <c r="W85" s="450">
        <f t="shared" si="56"/>
        <v>0</v>
      </c>
      <c r="X85" s="450">
        <f t="shared" si="56"/>
        <v>0</v>
      </c>
      <c r="Y85" s="450">
        <f t="shared" si="56"/>
        <v>0</v>
      </c>
      <c r="Z85" s="450">
        <f t="shared" si="56"/>
        <v>0</v>
      </c>
      <c r="AA85" s="450">
        <f t="shared" si="56"/>
        <v>0</v>
      </c>
      <c r="AB85" s="450">
        <f t="shared" si="56"/>
        <v>0</v>
      </c>
      <c r="AC85" s="450">
        <f t="shared" si="56"/>
        <v>0</v>
      </c>
      <c r="AD85" s="450">
        <f t="shared" si="56"/>
        <v>0</v>
      </c>
      <c r="AE85" s="450">
        <f t="shared" si="56"/>
        <v>0</v>
      </c>
      <c r="AF85" s="450">
        <f t="shared" si="56"/>
        <v>0</v>
      </c>
      <c r="AG85" s="450">
        <f t="shared" si="56"/>
        <v>0</v>
      </c>
      <c r="AH85" s="450">
        <f t="shared" si="56"/>
        <v>0</v>
      </c>
      <c r="AI85" s="450">
        <f t="shared" ref="AI85:BJ85" si="57">IF($B$85=0,0,$B$85/60)</f>
        <v>0</v>
      </c>
      <c r="AJ85" s="450">
        <f t="shared" si="57"/>
        <v>0</v>
      </c>
      <c r="AK85" s="450">
        <f t="shared" si="57"/>
        <v>0</v>
      </c>
      <c r="AL85" s="450">
        <f t="shared" si="57"/>
        <v>0</v>
      </c>
      <c r="AM85" s="450">
        <f t="shared" si="57"/>
        <v>0</v>
      </c>
      <c r="AN85" s="450">
        <f t="shared" si="57"/>
        <v>0</v>
      </c>
      <c r="AO85" s="450">
        <f t="shared" si="57"/>
        <v>0</v>
      </c>
      <c r="AP85" s="450">
        <f t="shared" si="57"/>
        <v>0</v>
      </c>
      <c r="AQ85" s="450">
        <f t="shared" si="57"/>
        <v>0</v>
      </c>
      <c r="AR85" s="450">
        <f t="shared" si="57"/>
        <v>0</v>
      </c>
      <c r="AS85" s="450">
        <f t="shared" si="57"/>
        <v>0</v>
      </c>
      <c r="AT85" s="450">
        <f t="shared" si="57"/>
        <v>0</v>
      </c>
      <c r="AU85" s="450">
        <f t="shared" si="57"/>
        <v>0</v>
      </c>
      <c r="AV85" s="450">
        <f t="shared" si="57"/>
        <v>0</v>
      </c>
      <c r="AW85" s="450">
        <f t="shared" si="57"/>
        <v>0</v>
      </c>
      <c r="AX85" s="450">
        <f t="shared" si="57"/>
        <v>0</v>
      </c>
      <c r="AY85" s="450">
        <f t="shared" si="57"/>
        <v>0</v>
      </c>
      <c r="AZ85" s="450">
        <f t="shared" si="57"/>
        <v>0</v>
      </c>
      <c r="BA85" s="450">
        <f t="shared" si="57"/>
        <v>0</v>
      </c>
      <c r="BB85" s="450">
        <f t="shared" si="57"/>
        <v>0</v>
      </c>
      <c r="BC85" s="450">
        <f t="shared" si="57"/>
        <v>0</v>
      </c>
      <c r="BD85" s="450">
        <f t="shared" si="57"/>
        <v>0</v>
      </c>
      <c r="BE85" s="450">
        <f t="shared" si="57"/>
        <v>0</v>
      </c>
      <c r="BF85" s="450">
        <f t="shared" si="57"/>
        <v>0</v>
      </c>
      <c r="BG85" s="450">
        <f t="shared" si="57"/>
        <v>0</v>
      </c>
      <c r="BH85" s="450">
        <f t="shared" si="57"/>
        <v>0</v>
      </c>
      <c r="BI85" s="450">
        <f t="shared" si="57"/>
        <v>0</v>
      </c>
      <c r="BJ85" s="450">
        <f t="shared" si="57"/>
        <v>0</v>
      </c>
      <c r="BK85" s="458">
        <f t="shared" si="53"/>
        <v>0</v>
      </c>
    </row>
    <row r="86" spans="1:63" ht="15" customHeight="1" x14ac:dyDescent="0.25">
      <c r="A86" s="456" t="s">
        <v>802</v>
      </c>
      <c r="B86" s="440">
        <f>'Feasibility Study'!AY73/1000*0.01</f>
        <v>0</v>
      </c>
      <c r="C86" s="450">
        <f t="shared" ref="C86:AH86" si="58">IF($B$86=0,0,$B$86/60)</f>
        <v>0</v>
      </c>
      <c r="D86" s="450">
        <f t="shared" si="58"/>
        <v>0</v>
      </c>
      <c r="E86" s="450">
        <f t="shared" si="58"/>
        <v>0</v>
      </c>
      <c r="F86" s="450">
        <f t="shared" si="58"/>
        <v>0</v>
      </c>
      <c r="G86" s="450">
        <f t="shared" si="58"/>
        <v>0</v>
      </c>
      <c r="H86" s="450">
        <f t="shared" si="58"/>
        <v>0</v>
      </c>
      <c r="I86" s="450">
        <f t="shared" si="58"/>
        <v>0</v>
      </c>
      <c r="J86" s="450">
        <f t="shared" si="58"/>
        <v>0</v>
      </c>
      <c r="K86" s="450">
        <f t="shared" si="58"/>
        <v>0</v>
      </c>
      <c r="L86" s="450">
        <f t="shared" si="58"/>
        <v>0</v>
      </c>
      <c r="M86" s="450">
        <f t="shared" si="58"/>
        <v>0</v>
      </c>
      <c r="N86" s="450">
        <f t="shared" si="58"/>
        <v>0</v>
      </c>
      <c r="O86" s="450">
        <f t="shared" si="58"/>
        <v>0</v>
      </c>
      <c r="P86" s="450">
        <f t="shared" si="58"/>
        <v>0</v>
      </c>
      <c r="Q86" s="450">
        <f t="shared" si="58"/>
        <v>0</v>
      </c>
      <c r="R86" s="450">
        <f t="shared" si="58"/>
        <v>0</v>
      </c>
      <c r="S86" s="450">
        <f t="shared" si="58"/>
        <v>0</v>
      </c>
      <c r="T86" s="450">
        <f t="shared" si="58"/>
        <v>0</v>
      </c>
      <c r="U86" s="450">
        <f t="shared" si="58"/>
        <v>0</v>
      </c>
      <c r="V86" s="450">
        <f t="shared" si="58"/>
        <v>0</v>
      </c>
      <c r="W86" s="450">
        <f t="shared" si="58"/>
        <v>0</v>
      </c>
      <c r="X86" s="450">
        <f t="shared" si="58"/>
        <v>0</v>
      </c>
      <c r="Y86" s="450">
        <f t="shared" si="58"/>
        <v>0</v>
      </c>
      <c r="Z86" s="450">
        <f t="shared" si="58"/>
        <v>0</v>
      </c>
      <c r="AA86" s="450">
        <f t="shared" si="58"/>
        <v>0</v>
      </c>
      <c r="AB86" s="450">
        <f t="shared" si="58"/>
        <v>0</v>
      </c>
      <c r="AC86" s="450">
        <f t="shared" si="58"/>
        <v>0</v>
      </c>
      <c r="AD86" s="450">
        <f t="shared" si="58"/>
        <v>0</v>
      </c>
      <c r="AE86" s="450">
        <f t="shared" si="58"/>
        <v>0</v>
      </c>
      <c r="AF86" s="450">
        <f t="shared" si="58"/>
        <v>0</v>
      </c>
      <c r="AG86" s="450">
        <f t="shared" si="58"/>
        <v>0</v>
      </c>
      <c r="AH86" s="450">
        <f t="shared" si="58"/>
        <v>0</v>
      </c>
      <c r="AI86" s="450">
        <f t="shared" ref="AI86:BJ86" si="59">IF($B$86=0,0,$B$86/60)</f>
        <v>0</v>
      </c>
      <c r="AJ86" s="450">
        <f t="shared" si="59"/>
        <v>0</v>
      </c>
      <c r="AK86" s="450">
        <f t="shared" si="59"/>
        <v>0</v>
      </c>
      <c r="AL86" s="450">
        <f t="shared" si="59"/>
        <v>0</v>
      </c>
      <c r="AM86" s="450">
        <f t="shared" si="59"/>
        <v>0</v>
      </c>
      <c r="AN86" s="450">
        <f t="shared" si="59"/>
        <v>0</v>
      </c>
      <c r="AO86" s="450">
        <f t="shared" si="59"/>
        <v>0</v>
      </c>
      <c r="AP86" s="450">
        <f t="shared" si="59"/>
        <v>0</v>
      </c>
      <c r="AQ86" s="450">
        <f t="shared" si="59"/>
        <v>0</v>
      </c>
      <c r="AR86" s="450">
        <f t="shared" si="59"/>
        <v>0</v>
      </c>
      <c r="AS86" s="450">
        <f t="shared" si="59"/>
        <v>0</v>
      </c>
      <c r="AT86" s="450">
        <f t="shared" si="59"/>
        <v>0</v>
      </c>
      <c r="AU86" s="450">
        <f t="shared" si="59"/>
        <v>0</v>
      </c>
      <c r="AV86" s="450">
        <f t="shared" si="59"/>
        <v>0</v>
      </c>
      <c r="AW86" s="450">
        <f t="shared" si="59"/>
        <v>0</v>
      </c>
      <c r="AX86" s="450">
        <f t="shared" si="59"/>
        <v>0</v>
      </c>
      <c r="AY86" s="450">
        <f t="shared" si="59"/>
        <v>0</v>
      </c>
      <c r="AZ86" s="450">
        <f t="shared" si="59"/>
        <v>0</v>
      </c>
      <c r="BA86" s="450">
        <f t="shared" si="59"/>
        <v>0</v>
      </c>
      <c r="BB86" s="450">
        <f t="shared" si="59"/>
        <v>0</v>
      </c>
      <c r="BC86" s="450">
        <f t="shared" si="59"/>
        <v>0</v>
      </c>
      <c r="BD86" s="450">
        <f t="shared" si="59"/>
        <v>0</v>
      </c>
      <c r="BE86" s="450">
        <f t="shared" si="59"/>
        <v>0</v>
      </c>
      <c r="BF86" s="450">
        <f t="shared" si="59"/>
        <v>0</v>
      </c>
      <c r="BG86" s="450">
        <f t="shared" si="59"/>
        <v>0</v>
      </c>
      <c r="BH86" s="450">
        <f t="shared" si="59"/>
        <v>0</v>
      </c>
      <c r="BI86" s="450">
        <f t="shared" si="59"/>
        <v>0</v>
      </c>
      <c r="BJ86" s="450">
        <f t="shared" si="59"/>
        <v>0</v>
      </c>
      <c r="BK86" s="458">
        <f t="shared" si="53"/>
        <v>0</v>
      </c>
    </row>
    <row r="87" spans="1:63" ht="15" customHeight="1" x14ac:dyDescent="0.25">
      <c r="A87" s="456" t="s">
        <v>803</v>
      </c>
      <c r="B87" s="440" t="e">
        <f>'Feasibility Study'!AY87/1000*0.02</f>
        <v>#DIV/0!</v>
      </c>
      <c r="C87" s="450" t="e">
        <f t="shared" ref="C87:AH87" si="60">IF($B$87=0,0,$B$87/60)</f>
        <v>#DIV/0!</v>
      </c>
      <c r="D87" s="450" t="e">
        <f t="shared" si="60"/>
        <v>#DIV/0!</v>
      </c>
      <c r="E87" s="450" t="e">
        <f t="shared" si="60"/>
        <v>#DIV/0!</v>
      </c>
      <c r="F87" s="450" t="e">
        <f t="shared" si="60"/>
        <v>#DIV/0!</v>
      </c>
      <c r="G87" s="450" t="e">
        <f t="shared" si="60"/>
        <v>#DIV/0!</v>
      </c>
      <c r="H87" s="450" t="e">
        <f t="shared" si="60"/>
        <v>#DIV/0!</v>
      </c>
      <c r="I87" s="450" t="e">
        <f t="shared" si="60"/>
        <v>#DIV/0!</v>
      </c>
      <c r="J87" s="450" t="e">
        <f t="shared" si="60"/>
        <v>#DIV/0!</v>
      </c>
      <c r="K87" s="450" t="e">
        <f t="shared" si="60"/>
        <v>#DIV/0!</v>
      </c>
      <c r="L87" s="450" t="e">
        <f t="shared" si="60"/>
        <v>#DIV/0!</v>
      </c>
      <c r="M87" s="450" t="e">
        <f t="shared" si="60"/>
        <v>#DIV/0!</v>
      </c>
      <c r="N87" s="450" t="e">
        <f t="shared" si="60"/>
        <v>#DIV/0!</v>
      </c>
      <c r="O87" s="450" t="e">
        <f t="shared" si="60"/>
        <v>#DIV/0!</v>
      </c>
      <c r="P87" s="450" t="e">
        <f t="shared" si="60"/>
        <v>#DIV/0!</v>
      </c>
      <c r="Q87" s="450" t="e">
        <f t="shared" si="60"/>
        <v>#DIV/0!</v>
      </c>
      <c r="R87" s="450" t="e">
        <f t="shared" si="60"/>
        <v>#DIV/0!</v>
      </c>
      <c r="S87" s="450" t="e">
        <f t="shared" si="60"/>
        <v>#DIV/0!</v>
      </c>
      <c r="T87" s="450" t="e">
        <f t="shared" si="60"/>
        <v>#DIV/0!</v>
      </c>
      <c r="U87" s="450" t="e">
        <f t="shared" si="60"/>
        <v>#DIV/0!</v>
      </c>
      <c r="V87" s="450" t="e">
        <f t="shared" si="60"/>
        <v>#DIV/0!</v>
      </c>
      <c r="W87" s="450" t="e">
        <f t="shared" si="60"/>
        <v>#DIV/0!</v>
      </c>
      <c r="X87" s="450" t="e">
        <f t="shared" si="60"/>
        <v>#DIV/0!</v>
      </c>
      <c r="Y87" s="450" t="e">
        <f t="shared" si="60"/>
        <v>#DIV/0!</v>
      </c>
      <c r="Z87" s="450" t="e">
        <f t="shared" si="60"/>
        <v>#DIV/0!</v>
      </c>
      <c r="AA87" s="450" t="e">
        <f t="shared" si="60"/>
        <v>#DIV/0!</v>
      </c>
      <c r="AB87" s="450" t="e">
        <f t="shared" si="60"/>
        <v>#DIV/0!</v>
      </c>
      <c r="AC87" s="450" t="e">
        <f t="shared" si="60"/>
        <v>#DIV/0!</v>
      </c>
      <c r="AD87" s="450" t="e">
        <f t="shared" si="60"/>
        <v>#DIV/0!</v>
      </c>
      <c r="AE87" s="450" t="e">
        <f t="shared" si="60"/>
        <v>#DIV/0!</v>
      </c>
      <c r="AF87" s="450" t="e">
        <f t="shared" si="60"/>
        <v>#DIV/0!</v>
      </c>
      <c r="AG87" s="450" t="e">
        <f t="shared" si="60"/>
        <v>#DIV/0!</v>
      </c>
      <c r="AH87" s="450" t="e">
        <f t="shared" si="60"/>
        <v>#DIV/0!</v>
      </c>
      <c r="AI87" s="450" t="e">
        <f t="shared" ref="AI87:BJ87" si="61">IF($B$87=0,0,$B$87/60)</f>
        <v>#DIV/0!</v>
      </c>
      <c r="AJ87" s="450" t="e">
        <f t="shared" si="61"/>
        <v>#DIV/0!</v>
      </c>
      <c r="AK87" s="450" t="e">
        <f t="shared" si="61"/>
        <v>#DIV/0!</v>
      </c>
      <c r="AL87" s="450" t="e">
        <f t="shared" si="61"/>
        <v>#DIV/0!</v>
      </c>
      <c r="AM87" s="450" t="e">
        <f t="shared" si="61"/>
        <v>#DIV/0!</v>
      </c>
      <c r="AN87" s="450" t="e">
        <f t="shared" si="61"/>
        <v>#DIV/0!</v>
      </c>
      <c r="AO87" s="450" t="e">
        <f t="shared" si="61"/>
        <v>#DIV/0!</v>
      </c>
      <c r="AP87" s="450" t="e">
        <f t="shared" si="61"/>
        <v>#DIV/0!</v>
      </c>
      <c r="AQ87" s="450" t="e">
        <f t="shared" si="61"/>
        <v>#DIV/0!</v>
      </c>
      <c r="AR87" s="450" t="e">
        <f t="shared" si="61"/>
        <v>#DIV/0!</v>
      </c>
      <c r="AS87" s="450" t="e">
        <f t="shared" si="61"/>
        <v>#DIV/0!</v>
      </c>
      <c r="AT87" s="450" t="e">
        <f t="shared" si="61"/>
        <v>#DIV/0!</v>
      </c>
      <c r="AU87" s="450" t="e">
        <f t="shared" si="61"/>
        <v>#DIV/0!</v>
      </c>
      <c r="AV87" s="450" t="e">
        <f t="shared" si="61"/>
        <v>#DIV/0!</v>
      </c>
      <c r="AW87" s="450" t="e">
        <f t="shared" si="61"/>
        <v>#DIV/0!</v>
      </c>
      <c r="AX87" s="450" t="e">
        <f t="shared" si="61"/>
        <v>#DIV/0!</v>
      </c>
      <c r="AY87" s="450" t="e">
        <f t="shared" si="61"/>
        <v>#DIV/0!</v>
      </c>
      <c r="AZ87" s="450" t="e">
        <f t="shared" si="61"/>
        <v>#DIV/0!</v>
      </c>
      <c r="BA87" s="450" t="e">
        <f t="shared" si="61"/>
        <v>#DIV/0!</v>
      </c>
      <c r="BB87" s="450" t="e">
        <f t="shared" si="61"/>
        <v>#DIV/0!</v>
      </c>
      <c r="BC87" s="450" t="e">
        <f t="shared" si="61"/>
        <v>#DIV/0!</v>
      </c>
      <c r="BD87" s="450" t="e">
        <f t="shared" si="61"/>
        <v>#DIV/0!</v>
      </c>
      <c r="BE87" s="450" t="e">
        <f t="shared" si="61"/>
        <v>#DIV/0!</v>
      </c>
      <c r="BF87" s="450" t="e">
        <f t="shared" si="61"/>
        <v>#DIV/0!</v>
      </c>
      <c r="BG87" s="450" t="e">
        <f t="shared" si="61"/>
        <v>#DIV/0!</v>
      </c>
      <c r="BH87" s="450" t="e">
        <f t="shared" si="61"/>
        <v>#DIV/0!</v>
      </c>
      <c r="BI87" s="450" t="e">
        <f t="shared" si="61"/>
        <v>#DIV/0!</v>
      </c>
      <c r="BJ87" s="450" t="e">
        <f t="shared" si="61"/>
        <v>#DIV/0!</v>
      </c>
      <c r="BK87" s="458" t="e">
        <f t="shared" si="53"/>
        <v>#DIV/0!</v>
      </c>
    </row>
    <row r="88" spans="1:63" ht="15" customHeight="1" x14ac:dyDescent="0.25">
      <c r="A88" s="456" t="s">
        <v>804</v>
      </c>
      <c r="B88" s="440">
        <f>'Feasibility Study'!AY73/1000*0.03</f>
        <v>0</v>
      </c>
      <c r="C88" s="450">
        <f t="shared" ref="C88:AH88" si="62">IF($B$88=0,0,$B$88/60)</f>
        <v>0</v>
      </c>
      <c r="D88" s="450">
        <f t="shared" si="62"/>
        <v>0</v>
      </c>
      <c r="E88" s="450">
        <f t="shared" si="62"/>
        <v>0</v>
      </c>
      <c r="F88" s="450">
        <f t="shared" si="62"/>
        <v>0</v>
      </c>
      <c r="G88" s="450">
        <f t="shared" si="62"/>
        <v>0</v>
      </c>
      <c r="H88" s="450">
        <f t="shared" si="62"/>
        <v>0</v>
      </c>
      <c r="I88" s="450">
        <f t="shared" si="62"/>
        <v>0</v>
      </c>
      <c r="J88" s="450">
        <f t="shared" si="62"/>
        <v>0</v>
      </c>
      <c r="K88" s="450">
        <f t="shared" si="62"/>
        <v>0</v>
      </c>
      <c r="L88" s="450">
        <f t="shared" si="62"/>
        <v>0</v>
      </c>
      <c r="M88" s="450">
        <f t="shared" si="62"/>
        <v>0</v>
      </c>
      <c r="N88" s="450">
        <f t="shared" si="62"/>
        <v>0</v>
      </c>
      <c r="O88" s="450">
        <f t="shared" si="62"/>
        <v>0</v>
      </c>
      <c r="P88" s="450">
        <f t="shared" si="62"/>
        <v>0</v>
      </c>
      <c r="Q88" s="450">
        <f t="shared" si="62"/>
        <v>0</v>
      </c>
      <c r="R88" s="450">
        <f t="shared" si="62"/>
        <v>0</v>
      </c>
      <c r="S88" s="450">
        <f t="shared" si="62"/>
        <v>0</v>
      </c>
      <c r="T88" s="450">
        <f t="shared" si="62"/>
        <v>0</v>
      </c>
      <c r="U88" s="450">
        <f t="shared" si="62"/>
        <v>0</v>
      </c>
      <c r="V88" s="450">
        <f t="shared" si="62"/>
        <v>0</v>
      </c>
      <c r="W88" s="450">
        <f t="shared" si="62"/>
        <v>0</v>
      </c>
      <c r="X88" s="450">
        <f t="shared" si="62"/>
        <v>0</v>
      </c>
      <c r="Y88" s="450">
        <f t="shared" si="62"/>
        <v>0</v>
      </c>
      <c r="Z88" s="450">
        <f t="shared" si="62"/>
        <v>0</v>
      </c>
      <c r="AA88" s="450">
        <f t="shared" si="62"/>
        <v>0</v>
      </c>
      <c r="AB88" s="450">
        <f t="shared" si="62"/>
        <v>0</v>
      </c>
      <c r="AC88" s="450">
        <f t="shared" si="62"/>
        <v>0</v>
      </c>
      <c r="AD88" s="450">
        <f t="shared" si="62"/>
        <v>0</v>
      </c>
      <c r="AE88" s="450">
        <f t="shared" si="62"/>
        <v>0</v>
      </c>
      <c r="AF88" s="450">
        <f t="shared" si="62"/>
        <v>0</v>
      </c>
      <c r="AG88" s="450">
        <f t="shared" si="62"/>
        <v>0</v>
      </c>
      <c r="AH88" s="450">
        <f t="shared" si="62"/>
        <v>0</v>
      </c>
      <c r="AI88" s="450">
        <f t="shared" ref="AI88:BJ88" si="63">IF($B$88=0,0,$B$88/60)</f>
        <v>0</v>
      </c>
      <c r="AJ88" s="450">
        <f t="shared" si="63"/>
        <v>0</v>
      </c>
      <c r="AK88" s="450">
        <f t="shared" si="63"/>
        <v>0</v>
      </c>
      <c r="AL88" s="450">
        <f t="shared" si="63"/>
        <v>0</v>
      </c>
      <c r="AM88" s="450">
        <f t="shared" si="63"/>
        <v>0</v>
      </c>
      <c r="AN88" s="450">
        <f t="shared" si="63"/>
        <v>0</v>
      </c>
      <c r="AO88" s="450">
        <f t="shared" si="63"/>
        <v>0</v>
      </c>
      <c r="AP88" s="450">
        <f t="shared" si="63"/>
        <v>0</v>
      </c>
      <c r="AQ88" s="450">
        <f t="shared" si="63"/>
        <v>0</v>
      </c>
      <c r="AR88" s="450">
        <f t="shared" si="63"/>
        <v>0</v>
      </c>
      <c r="AS88" s="450">
        <f t="shared" si="63"/>
        <v>0</v>
      </c>
      <c r="AT88" s="450">
        <f t="shared" si="63"/>
        <v>0</v>
      </c>
      <c r="AU88" s="450">
        <f t="shared" si="63"/>
        <v>0</v>
      </c>
      <c r="AV88" s="450">
        <f t="shared" si="63"/>
        <v>0</v>
      </c>
      <c r="AW88" s="450">
        <f t="shared" si="63"/>
        <v>0</v>
      </c>
      <c r="AX88" s="450">
        <f t="shared" si="63"/>
        <v>0</v>
      </c>
      <c r="AY88" s="450">
        <f t="shared" si="63"/>
        <v>0</v>
      </c>
      <c r="AZ88" s="450">
        <f t="shared" si="63"/>
        <v>0</v>
      </c>
      <c r="BA88" s="450">
        <f t="shared" si="63"/>
        <v>0</v>
      </c>
      <c r="BB88" s="450">
        <f t="shared" si="63"/>
        <v>0</v>
      </c>
      <c r="BC88" s="450">
        <f t="shared" si="63"/>
        <v>0</v>
      </c>
      <c r="BD88" s="450">
        <f t="shared" si="63"/>
        <v>0</v>
      </c>
      <c r="BE88" s="450">
        <f t="shared" si="63"/>
        <v>0</v>
      </c>
      <c r="BF88" s="450">
        <f t="shared" si="63"/>
        <v>0</v>
      </c>
      <c r="BG88" s="450">
        <f t="shared" si="63"/>
        <v>0</v>
      </c>
      <c r="BH88" s="450">
        <f t="shared" si="63"/>
        <v>0</v>
      </c>
      <c r="BI88" s="450">
        <f t="shared" si="63"/>
        <v>0</v>
      </c>
      <c r="BJ88" s="450">
        <f t="shared" si="63"/>
        <v>0</v>
      </c>
      <c r="BK88" s="458">
        <f t="shared" si="53"/>
        <v>0</v>
      </c>
    </row>
    <row r="89" spans="1:63" ht="15" customHeight="1" x14ac:dyDescent="0.25">
      <c r="A89" s="459" t="s">
        <v>805</v>
      </c>
      <c r="C89" s="458" t="e">
        <f t="shared" ref="C89:AH89" si="64">C83+C84+C85+C86+C87+C88</f>
        <v>#DIV/0!</v>
      </c>
      <c r="D89" s="458" t="e">
        <f t="shared" si="64"/>
        <v>#DIV/0!</v>
      </c>
      <c r="E89" s="458" t="e">
        <f t="shared" si="64"/>
        <v>#DIV/0!</v>
      </c>
      <c r="F89" s="458" t="e">
        <f t="shared" si="64"/>
        <v>#DIV/0!</v>
      </c>
      <c r="G89" s="458" t="e">
        <f t="shared" si="64"/>
        <v>#DIV/0!</v>
      </c>
      <c r="H89" s="458" t="e">
        <f t="shared" si="64"/>
        <v>#DIV/0!</v>
      </c>
      <c r="I89" s="458" t="e">
        <f t="shared" si="64"/>
        <v>#DIV/0!</v>
      </c>
      <c r="J89" s="458" t="e">
        <f t="shared" si="64"/>
        <v>#DIV/0!</v>
      </c>
      <c r="K89" s="458" t="e">
        <f t="shared" si="64"/>
        <v>#DIV/0!</v>
      </c>
      <c r="L89" s="458" t="e">
        <f t="shared" si="64"/>
        <v>#DIV/0!</v>
      </c>
      <c r="M89" s="458" t="e">
        <f t="shared" si="64"/>
        <v>#DIV/0!</v>
      </c>
      <c r="N89" s="458" t="e">
        <f t="shared" si="64"/>
        <v>#DIV/0!</v>
      </c>
      <c r="O89" s="458" t="e">
        <f t="shared" si="64"/>
        <v>#DIV/0!</v>
      </c>
      <c r="P89" s="458" t="e">
        <f t="shared" si="64"/>
        <v>#DIV/0!</v>
      </c>
      <c r="Q89" s="458" t="e">
        <f t="shared" si="64"/>
        <v>#DIV/0!</v>
      </c>
      <c r="R89" s="458" t="e">
        <f t="shared" si="64"/>
        <v>#DIV/0!</v>
      </c>
      <c r="S89" s="458" t="e">
        <f t="shared" si="64"/>
        <v>#DIV/0!</v>
      </c>
      <c r="T89" s="458" t="e">
        <f t="shared" si="64"/>
        <v>#DIV/0!</v>
      </c>
      <c r="U89" s="458" t="e">
        <f t="shared" si="64"/>
        <v>#DIV/0!</v>
      </c>
      <c r="V89" s="458" t="e">
        <f t="shared" si="64"/>
        <v>#DIV/0!</v>
      </c>
      <c r="W89" s="458" t="e">
        <f t="shared" si="64"/>
        <v>#DIV/0!</v>
      </c>
      <c r="X89" s="458" t="e">
        <f t="shared" si="64"/>
        <v>#DIV/0!</v>
      </c>
      <c r="Y89" s="458" t="e">
        <f t="shared" si="64"/>
        <v>#DIV/0!</v>
      </c>
      <c r="Z89" s="458" t="e">
        <f t="shared" si="64"/>
        <v>#DIV/0!</v>
      </c>
      <c r="AA89" s="458" t="e">
        <f t="shared" si="64"/>
        <v>#DIV/0!</v>
      </c>
      <c r="AB89" s="458" t="e">
        <f t="shared" si="64"/>
        <v>#DIV/0!</v>
      </c>
      <c r="AC89" s="458" t="e">
        <f t="shared" si="64"/>
        <v>#DIV/0!</v>
      </c>
      <c r="AD89" s="458" t="e">
        <f t="shared" si="64"/>
        <v>#DIV/0!</v>
      </c>
      <c r="AE89" s="458" t="e">
        <f t="shared" si="64"/>
        <v>#DIV/0!</v>
      </c>
      <c r="AF89" s="458" t="e">
        <f t="shared" si="64"/>
        <v>#DIV/0!</v>
      </c>
      <c r="AG89" s="458" t="e">
        <f t="shared" si="64"/>
        <v>#DIV/0!</v>
      </c>
      <c r="AH89" s="458" t="e">
        <f t="shared" si="64"/>
        <v>#DIV/0!</v>
      </c>
      <c r="AI89" s="458" t="e">
        <f t="shared" ref="AI89:BJ89" si="65">AI83+AI84+AI85+AI86+AI87+AI88</f>
        <v>#DIV/0!</v>
      </c>
      <c r="AJ89" s="458" t="e">
        <f t="shared" si="65"/>
        <v>#DIV/0!</v>
      </c>
      <c r="AK89" s="458" t="e">
        <f t="shared" si="65"/>
        <v>#DIV/0!</v>
      </c>
      <c r="AL89" s="458" t="e">
        <f t="shared" si="65"/>
        <v>#DIV/0!</v>
      </c>
      <c r="AM89" s="458" t="e">
        <f t="shared" si="65"/>
        <v>#DIV/0!</v>
      </c>
      <c r="AN89" s="458" t="e">
        <f t="shared" si="65"/>
        <v>#DIV/0!</v>
      </c>
      <c r="AO89" s="458" t="e">
        <f t="shared" si="65"/>
        <v>#DIV/0!</v>
      </c>
      <c r="AP89" s="458" t="e">
        <f t="shared" si="65"/>
        <v>#DIV/0!</v>
      </c>
      <c r="AQ89" s="458" t="e">
        <f t="shared" si="65"/>
        <v>#DIV/0!</v>
      </c>
      <c r="AR89" s="458" t="e">
        <f t="shared" si="65"/>
        <v>#DIV/0!</v>
      </c>
      <c r="AS89" s="458" t="e">
        <f t="shared" si="65"/>
        <v>#DIV/0!</v>
      </c>
      <c r="AT89" s="458" t="e">
        <f t="shared" si="65"/>
        <v>#DIV/0!</v>
      </c>
      <c r="AU89" s="458" t="e">
        <f t="shared" si="65"/>
        <v>#DIV/0!</v>
      </c>
      <c r="AV89" s="458" t="e">
        <f t="shared" si="65"/>
        <v>#DIV/0!</v>
      </c>
      <c r="AW89" s="458" t="e">
        <f t="shared" si="65"/>
        <v>#DIV/0!</v>
      </c>
      <c r="AX89" s="458" t="e">
        <f t="shared" si="65"/>
        <v>#DIV/0!</v>
      </c>
      <c r="AY89" s="458" t="e">
        <f t="shared" si="65"/>
        <v>#DIV/0!</v>
      </c>
      <c r="AZ89" s="458" t="e">
        <f t="shared" si="65"/>
        <v>#DIV/0!</v>
      </c>
      <c r="BA89" s="458" t="e">
        <f t="shared" si="65"/>
        <v>#DIV/0!</v>
      </c>
      <c r="BB89" s="458" t="e">
        <f t="shared" si="65"/>
        <v>#DIV/0!</v>
      </c>
      <c r="BC89" s="458" t="e">
        <f t="shared" si="65"/>
        <v>#DIV/0!</v>
      </c>
      <c r="BD89" s="458" t="e">
        <f t="shared" si="65"/>
        <v>#DIV/0!</v>
      </c>
      <c r="BE89" s="458" t="e">
        <f t="shared" si="65"/>
        <v>#DIV/0!</v>
      </c>
      <c r="BF89" s="458" t="e">
        <f t="shared" si="65"/>
        <v>#DIV/0!</v>
      </c>
      <c r="BG89" s="458" t="e">
        <f t="shared" si="65"/>
        <v>#DIV/0!</v>
      </c>
      <c r="BH89" s="458" t="e">
        <f t="shared" si="65"/>
        <v>#DIV/0!</v>
      </c>
      <c r="BI89" s="458" t="e">
        <f t="shared" si="65"/>
        <v>#DIV/0!</v>
      </c>
      <c r="BJ89" s="458" t="e">
        <f t="shared" si="65"/>
        <v>#DIV/0!</v>
      </c>
      <c r="BK89" s="458" t="e">
        <f t="shared" si="53"/>
        <v>#DIV/0!</v>
      </c>
    </row>
    <row r="91" spans="1:63" ht="15" customHeight="1" x14ac:dyDescent="0.25">
      <c r="A91" s="460" t="s">
        <v>806</v>
      </c>
      <c r="C91" s="461" t="e">
        <f t="shared" ref="C91:AH91" si="66">IF(ISNUMBER(C70),C70,0)+IF(ISNUMBER(C79),C79,0)+C89</f>
        <v>#DIV/0!</v>
      </c>
      <c r="D91" s="461" t="e">
        <f t="shared" si="66"/>
        <v>#DIV/0!</v>
      </c>
      <c r="E91" s="461" t="e">
        <f t="shared" si="66"/>
        <v>#DIV/0!</v>
      </c>
      <c r="F91" s="461" t="e">
        <f t="shared" si="66"/>
        <v>#DIV/0!</v>
      </c>
      <c r="G91" s="461" t="e">
        <f t="shared" si="66"/>
        <v>#DIV/0!</v>
      </c>
      <c r="H91" s="461" t="e">
        <f t="shared" si="66"/>
        <v>#DIV/0!</v>
      </c>
      <c r="I91" s="461" t="e">
        <f t="shared" si="66"/>
        <v>#DIV/0!</v>
      </c>
      <c r="J91" s="461" t="e">
        <f t="shared" si="66"/>
        <v>#DIV/0!</v>
      </c>
      <c r="K91" s="461" t="e">
        <f t="shared" si="66"/>
        <v>#DIV/0!</v>
      </c>
      <c r="L91" s="461" t="e">
        <f t="shared" si="66"/>
        <v>#DIV/0!</v>
      </c>
      <c r="M91" s="461" t="e">
        <f t="shared" si="66"/>
        <v>#DIV/0!</v>
      </c>
      <c r="N91" s="461" t="e">
        <f t="shared" si="66"/>
        <v>#DIV/0!</v>
      </c>
      <c r="O91" s="461" t="e">
        <f t="shared" si="66"/>
        <v>#DIV/0!</v>
      </c>
      <c r="P91" s="461" t="e">
        <f t="shared" si="66"/>
        <v>#DIV/0!</v>
      </c>
      <c r="Q91" s="461" t="e">
        <f t="shared" si="66"/>
        <v>#DIV/0!</v>
      </c>
      <c r="R91" s="461" t="e">
        <f t="shared" si="66"/>
        <v>#DIV/0!</v>
      </c>
      <c r="S91" s="461" t="e">
        <f t="shared" si="66"/>
        <v>#DIV/0!</v>
      </c>
      <c r="T91" s="461" t="e">
        <f t="shared" si="66"/>
        <v>#DIV/0!</v>
      </c>
      <c r="U91" s="461" t="e">
        <f t="shared" si="66"/>
        <v>#DIV/0!</v>
      </c>
      <c r="V91" s="461" t="e">
        <f t="shared" si="66"/>
        <v>#DIV/0!</v>
      </c>
      <c r="W91" s="461" t="e">
        <f t="shared" si="66"/>
        <v>#DIV/0!</v>
      </c>
      <c r="X91" s="461" t="e">
        <f t="shared" si="66"/>
        <v>#DIV/0!</v>
      </c>
      <c r="Y91" s="461" t="e">
        <f t="shared" si="66"/>
        <v>#DIV/0!</v>
      </c>
      <c r="Z91" s="461" t="e">
        <f t="shared" si="66"/>
        <v>#DIV/0!</v>
      </c>
      <c r="AA91" s="461" t="e">
        <f t="shared" si="66"/>
        <v>#DIV/0!</v>
      </c>
      <c r="AB91" s="461" t="e">
        <f t="shared" si="66"/>
        <v>#DIV/0!</v>
      </c>
      <c r="AC91" s="461" t="e">
        <f t="shared" si="66"/>
        <v>#DIV/0!</v>
      </c>
      <c r="AD91" s="461" t="e">
        <f t="shared" si="66"/>
        <v>#DIV/0!</v>
      </c>
      <c r="AE91" s="461" t="e">
        <f t="shared" si="66"/>
        <v>#DIV/0!</v>
      </c>
      <c r="AF91" s="461" t="e">
        <f t="shared" si="66"/>
        <v>#DIV/0!</v>
      </c>
      <c r="AG91" s="461" t="e">
        <f t="shared" si="66"/>
        <v>#DIV/0!</v>
      </c>
      <c r="AH91" s="461" t="e">
        <f t="shared" si="66"/>
        <v>#DIV/0!</v>
      </c>
      <c r="AI91" s="461" t="e">
        <f t="shared" ref="AI91:BJ91" si="67">IF(ISNUMBER(AI70),AI70,0)+IF(ISNUMBER(AI79),AI79,0)+AI89</f>
        <v>#DIV/0!</v>
      </c>
      <c r="AJ91" s="461" t="e">
        <f t="shared" si="67"/>
        <v>#DIV/0!</v>
      </c>
      <c r="AK91" s="461" t="e">
        <f t="shared" si="67"/>
        <v>#DIV/0!</v>
      </c>
      <c r="AL91" s="461" t="e">
        <f t="shared" si="67"/>
        <v>#DIV/0!</v>
      </c>
      <c r="AM91" s="461" t="e">
        <f t="shared" si="67"/>
        <v>#DIV/0!</v>
      </c>
      <c r="AN91" s="461" t="e">
        <f t="shared" si="67"/>
        <v>#DIV/0!</v>
      </c>
      <c r="AO91" s="461" t="e">
        <f t="shared" si="67"/>
        <v>#DIV/0!</v>
      </c>
      <c r="AP91" s="461" t="e">
        <f t="shared" si="67"/>
        <v>#DIV/0!</v>
      </c>
      <c r="AQ91" s="461" t="e">
        <f t="shared" si="67"/>
        <v>#DIV/0!</v>
      </c>
      <c r="AR91" s="461" t="e">
        <f t="shared" si="67"/>
        <v>#DIV/0!</v>
      </c>
      <c r="AS91" s="461" t="e">
        <f t="shared" si="67"/>
        <v>#DIV/0!</v>
      </c>
      <c r="AT91" s="461" t="e">
        <f t="shared" si="67"/>
        <v>#DIV/0!</v>
      </c>
      <c r="AU91" s="461" t="e">
        <f t="shared" si="67"/>
        <v>#DIV/0!</v>
      </c>
      <c r="AV91" s="461" t="e">
        <f t="shared" si="67"/>
        <v>#DIV/0!</v>
      </c>
      <c r="AW91" s="461" t="e">
        <f t="shared" si="67"/>
        <v>#DIV/0!</v>
      </c>
      <c r="AX91" s="461" t="e">
        <f t="shared" si="67"/>
        <v>#DIV/0!</v>
      </c>
      <c r="AY91" s="461" t="e">
        <f t="shared" si="67"/>
        <v>#DIV/0!</v>
      </c>
      <c r="AZ91" s="461" t="e">
        <f t="shared" si="67"/>
        <v>#DIV/0!</v>
      </c>
      <c r="BA91" s="461" t="e">
        <f t="shared" si="67"/>
        <v>#DIV/0!</v>
      </c>
      <c r="BB91" s="461" t="e">
        <f t="shared" si="67"/>
        <v>#DIV/0!</v>
      </c>
      <c r="BC91" s="461" t="e">
        <f t="shared" si="67"/>
        <v>#DIV/0!</v>
      </c>
      <c r="BD91" s="461" t="e">
        <f t="shared" si="67"/>
        <v>#DIV/0!</v>
      </c>
      <c r="BE91" s="461" t="e">
        <f t="shared" si="67"/>
        <v>#DIV/0!</v>
      </c>
      <c r="BF91" s="461" t="e">
        <f t="shared" si="67"/>
        <v>#DIV/0!</v>
      </c>
      <c r="BG91" s="461" t="e">
        <f t="shared" si="67"/>
        <v>#DIV/0!</v>
      </c>
      <c r="BH91" s="461" t="e">
        <f t="shared" si="67"/>
        <v>#DIV/0!</v>
      </c>
      <c r="BI91" s="461" t="e">
        <f t="shared" si="67"/>
        <v>#DIV/0!</v>
      </c>
      <c r="BJ91" s="461" t="e">
        <f t="shared" si="67"/>
        <v>#DIV/0!</v>
      </c>
      <c r="BK91" s="461" t="e">
        <f>SUM(C91:BJ91)</f>
        <v>#DIV/0!</v>
      </c>
    </row>
    <row r="93" spans="1:63" ht="15" customHeight="1" x14ac:dyDescent="0.25">
      <c r="A93" s="663" t="s">
        <v>807</v>
      </c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7"/>
      <c r="P93" s="627"/>
      <c r="Q93" s="627"/>
      <c r="R93" s="627"/>
      <c r="S93" s="627"/>
      <c r="T93" s="627"/>
      <c r="U93" s="627"/>
      <c r="V93" s="627"/>
      <c r="W93" s="627"/>
      <c r="X93" s="627"/>
      <c r="Y93" s="627"/>
      <c r="Z93" s="627"/>
      <c r="AA93" s="627"/>
      <c r="AB93" s="627"/>
      <c r="AC93" s="627"/>
      <c r="AD93" s="627"/>
      <c r="AE93" s="627"/>
      <c r="AF93" s="627"/>
      <c r="AG93" s="627"/>
      <c r="AH93" s="627"/>
      <c r="AI93" s="627"/>
      <c r="AJ93" s="627"/>
      <c r="AK93" s="627"/>
      <c r="AL93" s="627"/>
      <c r="AM93" s="627"/>
      <c r="AN93" s="627"/>
      <c r="AO93" s="627"/>
      <c r="AP93" s="627"/>
      <c r="AQ93" s="627"/>
      <c r="AR93" s="627"/>
      <c r="AS93" s="627"/>
      <c r="AT93" s="627"/>
      <c r="AU93" s="627"/>
      <c r="AV93" s="627"/>
      <c r="AW93" s="627"/>
      <c r="AX93" s="627"/>
      <c r="AY93" s="627"/>
      <c r="AZ93" s="627"/>
      <c r="BA93" s="627"/>
      <c r="BB93" s="627"/>
      <c r="BC93" s="627"/>
      <c r="BD93" s="627"/>
      <c r="BE93" s="627"/>
      <c r="BF93" s="627"/>
      <c r="BG93" s="627"/>
      <c r="BH93" s="627"/>
      <c r="BI93" s="627"/>
      <c r="BJ93" s="627"/>
      <c r="BK93" s="627"/>
    </row>
    <row r="94" spans="1:63" ht="15" customHeight="1" x14ac:dyDescent="0.25">
      <c r="A94" s="462" t="s">
        <v>783</v>
      </c>
      <c r="B94" s="462"/>
      <c r="C94" s="463" t="s">
        <v>744</v>
      </c>
      <c r="D94" s="463" t="s">
        <v>745</v>
      </c>
      <c r="E94" s="463" t="s">
        <v>746</v>
      </c>
      <c r="F94" s="463" t="s">
        <v>747</v>
      </c>
      <c r="G94" s="463" t="s">
        <v>748</v>
      </c>
      <c r="H94" s="463" t="s">
        <v>749</v>
      </c>
      <c r="I94" s="463" t="s">
        <v>750</v>
      </c>
      <c r="J94" s="463" t="s">
        <v>751</v>
      </c>
      <c r="K94" s="463" t="s">
        <v>752</v>
      </c>
      <c r="L94" s="463" t="s">
        <v>753</v>
      </c>
      <c r="M94" s="463" t="s">
        <v>754</v>
      </c>
      <c r="N94" s="463" t="s">
        <v>755</v>
      </c>
      <c r="O94" s="463" t="s">
        <v>744</v>
      </c>
      <c r="P94" s="463" t="s">
        <v>745</v>
      </c>
      <c r="Q94" s="463" t="s">
        <v>746</v>
      </c>
      <c r="R94" s="463" t="s">
        <v>747</v>
      </c>
      <c r="S94" s="463" t="s">
        <v>748</v>
      </c>
      <c r="T94" s="463" t="s">
        <v>749</v>
      </c>
      <c r="U94" s="463" t="s">
        <v>750</v>
      </c>
      <c r="V94" s="463" t="s">
        <v>751</v>
      </c>
      <c r="W94" s="463" t="s">
        <v>752</v>
      </c>
      <c r="X94" s="463" t="s">
        <v>753</v>
      </c>
      <c r="Y94" s="463" t="s">
        <v>754</v>
      </c>
      <c r="Z94" s="463" t="s">
        <v>755</v>
      </c>
      <c r="AA94" s="463" t="s">
        <v>744</v>
      </c>
      <c r="AB94" s="463" t="s">
        <v>745</v>
      </c>
      <c r="AC94" s="463" t="s">
        <v>746</v>
      </c>
      <c r="AD94" s="463" t="s">
        <v>747</v>
      </c>
      <c r="AE94" s="463" t="s">
        <v>748</v>
      </c>
      <c r="AF94" s="463" t="s">
        <v>749</v>
      </c>
      <c r="AG94" s="463" t="s">
        <v>750</v>
      </c>
      <c r="AH94" s="463" t="s">
        <v>751</v>
      </c>
      <c r="AI94" s="463" t="s">
        <v>752</v>
      </c>
      <c r="AJ94" s="463" t="s">
        <v>753</v>
      </c>
      <c r="AK94" s="463" t="s">
        <v>754</v>
      </c>
      <c r="AL94" s="463" t="s">
        <v>755</v>
      </c>
      <c r="AM94" s="463" t="s">
        <v>744</v>
      </c>
      <c r="AN94" s="463" t="s">
        <v>745</v>
      </c>
      <c r="AO94" s="463" t="s">
        <v>746</v>
      </c>
      <c r="AP94" s="463" t="s">
        <v>747</v>
      </c>
      <c r="AQ94" s="463" t="s">
        <v>748</v>
      </c>
      <c r="AR94" s="463" t="s">
        <v>749</v>
      </c>
      <c r="AS94" s="463" t="s">
        <v>750</v>
      </c>
      <c r="AT94" s="463" t="s">
        <v>751</v>
      </c>
      <c r="AU94" s="463" t="s">
        <v>752</v>
      </c>
      <c r="AV94" s="463" t="s">
        <v>753</v>
      </c>
      <c r="AW94" s="463" t="s">
        <v>754</v>
      </c>
      <c r="AX94" s="463" t="s">
        <v>755</v>
      </c>
      <c r="AY94" s="463" t="s">
        <v>744</v>
      </c>
      <c r="AZ94" s="463" t="s">
        <v>745</v>
      </c>
      <c r="BA94" s="463" t="s">
        <v>746</v>
      </c>
      <c r="BB94" s="463" t="s">
        <v>747</v>
      </c>
      <c r="BC94" s="463" t="s">
        <v>748</v>
      </c>
      <c r="BD94" s="463" t="s">
        <v>749</v>
      </c>
      <c r="BE94" s="463" t="s">
        <v>750</v>
      </c>
      <c r="BF94" s="463" t="s">
        <v>751</v>
      </c>
      <c r="BG94" s="463" t="s">
        <v>752</v>
      </c>
      <c r="BH94" s="463" t="s">
        <v>753</v>
      </c>
      <c r="BI94" s="463" t="s">
        <v>754</v>
      </c>
      <c r="BJ94" s="463" t="s">
        <v>755</v>
      </c>
      <c r="BK94" s="462" t="s">
        <v>780</v>
      </c>
    </row>
    <row r="95" spans="1:63" ht="15" customHeight="1" x14ac:dyDescent="0.25">
      <c r="A95" s="464" t="s">
        <v>808</v>
      </c>
      <c r="C95" s="465" t="str">
        <f t="shared" ref="C95:AH95" ca="1" si="68">C62</f>
        <v/>
      </c>
      <c r="D95" s="465" t="str">
        <f t="shared" ca="1" si="68"/>
        <v/>
      </c>
      <c r="E95" s="465" t="str">
        <f t="shared" ca="1" si="68"/>
        <v/>
      </c>
      <c r="F95" s="465" t="str">
        <f t="shared" ca="1" si="68"/>
        <v/>
      </c>
      <c r="G95" s="465" t="str">
        <f t="shared" ca="1" si="68"/>
        <v/>
      </c>
      <c r="H95" s="465" t="str">
        <f t="shared" ca="1" si="68"/>
        <v/>
      </c>
      <c r="I95" s="465" t="str">
        <f t="shared" ca="1" si="68"/>
        <v/>
      </c>
      <c r="J95" s="465" t="str">
        <f t="shared" ca="1" si="68"/>
        <v/>
      </c>
      <c r="K95" s="465" t="str">
        <f t="shared" ca="1" si="68"/>
        <v/>
      </c>
      <c r="L95" s="465" t="str">
        <f t="shared" ca="1" si="68"/>
        <v/>
      </c>
      <c r="M95" s="465" t="str">
        <f t="shared" ca="1" si="68"/>
        <v/>
      </c>
      <c r="N95" s="465" t="str">
        <f t="shared" ca="1" si="68"/>
        <v/>
      </c>
      <c r="O95" s="465" t="str">
        <f t="shared" ca="1" si="68"/>
        <v/>
      </c>
      <c r="P95" s="465" t="str">
        <f t="shared" ca="1" si="68"/>
        <v/>
      </c>
      <c r="Q95" s="465" t="str">
        <f t="shared" ca="1" si="68"/>
        <v/>
      </c>
      <c r="R95" s="465" t="str">
        <f t="shared" ca="1" si="68"/>
        <v/>
      </c>
      <c r="S95" s="465" t="str">
        <f t="shared" ca="1" si="68"/>
        <v/>
      </c>
      <c r="T95" s="465" t="str">
        <f t="shared" ca="1" si="68"/>
        <v/>
      </c>
      <c r="U95" s="465" t="str">
        <f t="shared" ca="1" si="68"/>
        <v/>
      </c>
      <c r="V95" s="465" t="str">
        <f t="shared" ca="1" si="68"/>
        <v/>
      </c>
      <c r="W95" s="465" t="str">
        <f t="shared" ca="1" si="68"/>
        <v/>
      </c>
      <c r="X95" s="465" t="str">
        <f t="shared" ca="1" si="68"/>
        <v/>
      </c>
      <c r="Y95" s="465" t="str">
        <f t="shared" ca="1" si="68"/>
        <v/>
      </c>
      <c r="Z95" s="465" t="str">
        <f t="shared" ca="1" si="68"/>
        <v/>
      </c>
      <c r="AA95" s="465" t="str">
        <f t="shared" ca="1" si="68"/>
        <v/>
      </c>
      <c r="AB95" s="465" t="str">
        <f t="shared" ca="1" si="68"/>
        <v/>
      </c>
      <c r="AC95" s="465" t="str">
        <f t="shared" ca="1" si="68"/>
        <v/>
      </c>
      <c r="AD95" s="465" t="str">
        <f t="shared" ca="1" si="68"/>
        <v/>
      </c>
      <c r="AE95" s="465" t="str">
        <f t="shared" ca="1" si="68"/>
        <v/>
      </c>
      <c r="AF95" s="465" t="str">
        <f t="shared" ca="1" si="68"/>
        <v/>
      </c>
      <c r="AG95" s="465" t="str">
        <f t="shared" ca="1" si="68"/>
        <v/>
      </c>
      <c r="AH95" s="465" t="str">
        <f t="shared" ca="1" si="68"/>
        <v/>
      </c>
      <c r="AI95" s="465" t="str">
        <f t="shared" ref="AI95:BJ95" ca="1" si="69">AI62</f>
        <v/>
      </c>
      <c r="AJ95" s="465" t="str">
        <f t="shared" ca="1" si="69"/>
        <v/>
      </c>
      <c r="AK95" s="465" t="str">
        <f t="shared" ca="1" si="69"/>
        <v/>
      </c>
      <c r="AL95" s="465" t="str">
        <f t="shared" ca="1" si="69"/>
        <v/>
      </c>
      <c r="AM95" s="465" t="str">
        <f t="shared" ca="1" si="69"/>
        <v/>
      </c>
      <c r="AN95" s="465" t="str">
        <f t="shared" ca="1" si="69"/>
        <v/>
      </c>
      <c r="AO95" s="465" t="str">
        <f t="shared" ca="1" si="69"/>
        <v/>
      </c>
      <c r="AP95" s="465" t="str">
        <f t="shared" ca="1" si="69"/>
        <v/>
      </c>
      <c r="AQ95" s="465" t="str">
        <f t="shared" ca="1" si="69"/>
        <v/>
      </c>
      <c r="AR95" s="465" t="str">
        <f t="shared" ca="1" si="69"/>
        <v/>
      </c>
      <c r="AS95" s="465" t="str">
        <f t="shared" ca="1" si="69"/>
        <v/>
      </c>
      <c r="AT95" s="465" t="str">
        <f t="shared" ca="1" si="69"/>
        <v/>
      </c>
      <c r="AU95" s="465" t="str">
        <f t="shared" ca="1" si="69"/>
        <v/>
      </c>
      <c r="AV95" s="465" t="str">
        <f t="shared" ca="1" si="69"/>
        <v/>
      </c>
      <c r="AW95" s="465" t="str">
        <f t="shared" ca="1" si="69"/>
        <v/>
      </c>
      <c r="AX95" s="465" t="str">
        <f t="shared" ca="1" si="69"/>
        <v/>
      </c>
      <c r="AY95" s="465" t="str">
        <f t="shared" ca="1" si="69"/>
        <v/>
      </c>
      <c r="AZ95" s="465" t="str">
        <f t="shared" ca="1" si="69"/>
        <v/>
      </c>
      <c r="BA95" s="465" t="str">
        <f t="shared" ca="1" si="69"/>
        <v/>
      </c>
      <c r="BB95" s="465" t="str">
        <f t="shared" ca="1" si="69"/>
        <v/>
      </c>
      <c r="BC95" s="465" t="str">
        <f t="shared" ca="1" si="69"/>
        <v/>
      </c>
      <c r="BD95" s="465" t="str">
        <f t="shared" ca="1" si="69"/>
        <v/>
      </c>
      <c r="BE95" s="465" t="str">
        <f t="shared" ca="1" si="69"/>
        <v/>
      </c>
      <c r="BF95" s="465" t="str">
        <f t="shared" ca="1" si="69"/>
        <v/>
      </c>
      <c r="BG95" s="465" t="str">
        <f t="shared" ca="1" si="69"/>
        <v/>
      </c>
      <c r="BH95" s="465" t="str">
        <f t="shared" ca="1" si="69"/>
        <v/>
      </c>
      <c r="BI95" s="465" t="str">
        <f t="shared" ca="1" si="69"/>
        <v/>
      </c>
      <c r="BJ95" s="465" t="str">
        <f t="shared" ca="1" si="69"/>
        <v/>
      </c>
      <c r="BK95" s="466" t="str">
        <f ca="1">SUM(C95:BJ95)</f>
        <v/>
      </c>
    </row>
    <row r="96" spans="1:63" ht="15" customHeight="1" x14ac:dyDescent="0.25">
      <c r="A96" s="464" t="s">
        <v>809</v>
      </c>
      <c r="C96" s="467" t="e">
        <f t="shared" ref="C96:AH96" si="70">C91</f>
        <v>#DIV/0!</v>
      </c>
      <c r="D96" s="467" t="e">
        <f t="shared" si="70"/>
        <v>#DIV/0!</v>
      </c>
      <c r="E96" s="467" t="e">
        <f t="shared" si="70"/>
        <v>#DIV/0!</v>
      </c>
      <c r="F96" s="467" t="e">
        <f t="shared" si="70"/>
        <v>#DIV/0!</v>
      </c>
      <c r="G96" s="467" t="e">
        <f t="shared" si="70"/>
        <v>#DIV/0!</v>
      </c>
      <c r="H96" s="467" t="e">
        <f t="shared" si="70"/>
        <v>#DIV/0!</v>
      </c>
      <c r="I96" s="467" t="e">
        <f t="shared" si="70"/>
        <v>#DIV/0!</v>
      </c>
      <c r="J96" s="467" t="e">
        <f t="shared" si="70"/>
        <v>#DIV/0!</v>
      </c>
      <c r="K96" s="467" t="e">
        <f t="shared" si="70"/>
        <v>#DIV/0!</v>
      </c>
      <c r="L96" s="467" t="e">
        <f t="shared" si="70"/>
        <v>#DIV/0!</v>
      </c>
      <c r="M96" s="467" t="e">
        <f t="shared" si="70"/>
        <v>#DIV/0!</v>
      </c>
      <c r="N96" s="467" t="e">
        <f t="shared" si="70"/>
        <v>#DIV/0!</v>
      </c>
      <c r="O96" s="467" t="e">
        <f t="shared" si="70"/>
        <v>#DIV/0!</v>
      </c>
      <c r="P96" s="467" t="e">
        <f t="shared" si="70"/>
        <v>#DIV/0!</v>
      </c>
      <c r="Q96" s="467" t="e">
        <f t="shared" si="70"/>
        <v>#DIV/0!</v>
      </c>
      <c r="R96" s="467" t="e">
        <f t="shared" si="70"/>
        <v>#DIV/0!</v>
      </c>
      <c r="S96" s="467" t="e">
        <f t="shared" si="70"/>
        <v>#DIV/0!</v>
      </c>
      <c r="T96" s="467" t="e">
        <f t="shared" si="70"/>
        <v>#DIV/0!</v>
      </c>
      <c r="U96" s="467" t="e">
        <f t="shared" si="70"/>
        <v>#DIV/0!</v>
      </c>
      <c r="V96" s="467" t="e">
        <f t="shared" si="70"/>
        <v>#DIV/0!</v>
      </c>
      <c r="W96" s="467" t="e">
        <f t="shared" si="70"/>
        <v>#DIV/0!</v>
      </c>
      <c r="X96" s="467" t="e">
        <f t="shared" si="70"/>
        <v>#DIV/0!</v>
      </c>
      <c r="Y96" s="467" t="e">
        <f t="shared" si="70"/>
        <v>#DIV/0!</v>
      </c>
      <c r="Z96" s="467" t="e">
        <f t="shared" si="70"/>
        <v>#DIV/0!</v>
      </c>
      <c r="AA96" s="467" t="e">
        <f t="shared" si="70"/>
        <v>#DIV/0!</v>
      </c>
      <c r="AB96" s="467" t="e">
        <f t="shared" si="70"/>
        <v>#DIV/0!</v>
      </c>
      <c r="AC96" s="467" t="e">
        <f t="shared" si="70"/>
        <v>#DIV/0!</v>
      </c>
      <c r="AD96" s="467" t="e">
        <f t="shared" si="70"/>
        <v>#DIV/0!</v>
      </c>
      <c r="AE96" s="467" t="e">
        <f t="shared" si="70"/>
        <v>#DIV/0!</v>
      </c>
      <c r="AF96" s="467" t="e">
        <f t="shared" si="70"/>
        <v>#DIV/0!</v>
      </c>
      <c r="AG96" s="467" t="e">
        <f t="shared" si="70"/>
        <v>#DIV/0!</v>
      </c>
      <c r="AH96" s="467" t="e">
        <f t="shared" si="70"/>
        <v>#DIV/0!</v>
      </c>
      <c r="AI96" s="467" t="e">
        <f t="shared" ref="AI96:BJ96" si="71">AI91</f>
        <v>#DIV/0!</v>
      </c>
      <c r="AJ96" s="467" t="e">
        <f t="shared" si="71"/>
        <v>#DIV/0!</v>
      </c>
      <c r="AK96" s="467" t="e">
        <f t="shared" si="71"/>
        <v>#DIV/0!</v>
      </c>
      <c r="AL96" s="467" t="e">
        <f t="shared" si="71"/>
        <v>#DIV/0!</v>
      </c>
      <c r="AM96" s="467" t="e">
        <f t="shared" si="71"/>
        <v>#DIV/0!</v>
      </c>
      <c r="AN96" s="467" t="e">
        <f t="shared" si="71"/>
        <v>#DIV/0!</v>
      </c>
      <c r="AO96" s="467" t="e">
        <f t="shared" si="71"/>
        <v>#DIV/0!</v>
      </c>
      <c r="AP96" s="467" t="e">
        <f t="shared" si="71"/>
        <v>#DIV/0!</v>
      </c>
      <c r="AQ96" s="467" t="e">
        <f t="shared" si="71"/>
        <v>#DIV/0!</v>
      </c>
      <c r="AR96" s="467" t="e">
        <f t="shared" si="71"/>
        <v>#DIV/0!</v>
      </c>
      <c r="AS96" s="467" t="e">
        <f t="shared" si="71"/>
        <v>#DIV/0!</v>
      </c>
      <c r="AT96" s="467" t="e">
        <f t="shared" si="71"/>
        <v>#DIV/0!</v>
      </c>
      <c r="AU96" s="467" t="e">
        <f t="shared" si="71"/>
        <v>#DIV/0!</v>
      </c>
      <c r="AV96" s="467" t="e">
        <f t="shared" si="71"/>
        <v>#DIV/0!</v>
      </c>
      <c r="AW96" s="467" t="e">
        <f t="shared" si="71"/>
        <v>#DIV/0!</v>
      </c>
      <c r="AX96" s="467" t="e">
        <f t="shared" si="71"/>
        <v>#DIV/0!</v>
      </c>
      <c r="AY96" s="467" t="e">
        <f t="shared" si="71"/>
        <v>#DIV/0!</v>
      </c>
      <c r="AZ96" s="467" t="e">
        <f t="shared" si="71"/>
        <v>#DIV/0!</v>
      </c>
      <c r="BA96" s="467" t="e">
        <f t="shared" si="71"/>
        <v>#DIV/0!</v>
      </c>
      <c r="BB96" s="467" t="e">
        <f t="shared" si="71"/>
        <v>#DIV/0!</v>
      </c>
      <c r="BC96" s="467" t="e">
        <f t="shared" si="71"/>
        <v>#DIV/0!</v>
      </c>
      <c r="BD96" s="467" t="e">
        <f t="shared" si="71"/>
        <v>#DIV/0!</v>
      </c>
      <c r="BE96" s="467" t="e">
        <f t="shared" si="71"/>
        <v>#DIV/0!</v>
      </c>
      <c r="BF96" s="467" t="e">
        <f t="shared" si="71"/>
        <v>#DIV/0!</v>
      </c>
      <c r="BG96" s="467" t="e">
        <f t="shared" si="71"/>
        <v>#DIV/0!</v>
      </c>
      <c r="BH96" s="467" t="e">
        <f t="shared" si="71"/>
        <v>#DIV/0!</v>
      </c>
      <c r="BI96" s="467" t="e">
        <f t="shared" si="71"/>
        <v>#DIV/0!</v>
      </c>
      <c r="BJ96" s="467" t="e">
        <f t="shared" si="71"/>
        <v>#DIV/0!</v>
      </c>
      <c r="BK96" s="468" t="e">
        <f>SUM(C96:BJ96)</f>
        <v>#DIV/0!</v>
      </c>
    </row>
    <row r="97" spans="1:63" ht="15" customHeight="1" x14ac:dyDescent="0.25">
      <c r="A97" s="469" t="s">
        <v>810</v>
      </c>
      <c r="C97" s="470" t="str">
        <f t="shared" ref="C97:AH97" ca="1" si="72">C95-C96</f>
        <v/>
      </c>
      <c r="D97" s="470" t="str">
        <f t="shared" ca="1" si="72"/>
        <v/>
      </c>
      <c r="E97" s="470" t="str">
        <f t="shared" ca="1" si="72"/>
        <v/>
      </c>
      <c r="F97" s="470" t="str">
        <f t="shared" ca="1" si="72"/>
        <v/>
      </c>
      <c r="G97" s="470" t="str">
        <f t="shared" ca="1" si="72"/>
        <v/>
      </c>
      <c r="H97" s="470" t="str">
        <f t="shared" ca="1" si="72"/>
        <v/>
      </c>
      <c r="I97" s="470" t="str">
        <f t="shared" ca="1" si="72"/>
        <v/>
      </c>
      <c r="J97" s="470" t="str">
        <f t="shared" ca="1" si="72"/>
        <v/>
      </c>
      <c r="K97" s="470" t="str">
        <f t="shared" ca="1" si="72"/>
        <v/>
      </c>
      <c r="L97" s="470" t="str">
        <f t="shared" ca="1" si="72"/>
        <v/>
      </c>
      <c r="M97" s="470" t="str">
        <f t="shared" ca="1" si="72"/>
        <v/>
      </c>
      <c r="N97" s="470" t="str">
        <f t="shared" ca="1" si="72"/>
        <v/>
      </c>
      <c r="O97" s="470" t="str">
        <f t="shared" ca="1" si="72"/>
        <v/>
      </c>
      <c r="P97" s="470" t="str">
        <f t="shared" ca="1" si="72"/>
        <v/>
      </c>
      <c r="Q97" s="470" t="str">
        <f t="shared" ca="1" si="72"/>
        <v/>
      </c>
      <c r="R97" s="470" t="str">
        <f t="shared" ca="1" si="72"/>
        <v/>
      </c>
      <c r="S97" s="470" t="str">
        <f t="shared" ca="1" si="72"/>
        <v/>
      </c>
      <c r="T97" s="470" t="str">
        <f t="shared" ca="1" si="72"/>
        <v/>
      </c>
      <c r="U97" s="470" t="str">
        <f t="shared" ca="1" si="72"/>
        <v/>
      </c>
      <c r="V97" s="470" t="str">
        <f t="shared" ca="1" si="72"/>
        <v/>
      </c>
      <c r="W97" s="470" t="str">
        <f t="shared" ca="1" si="72"/>
        <v/>
      </c>
      <c r="X97" s="470" t="str">
        <f t="shared" ca="1" si="72"/>
        <v/>
      </c>
      <c r="Y97" s="470" t="str">
        <f t="shared" ca="1" si="72"/>
        <v/>
      </c>
      <c r="Z97" s="470" t="str">
        <f t="shared" ca="1" si="72"/>
        <v/>
      </c>
      <c r="AA97" s="470" t="str">
        <f t="shared" ca="1" si="72"/>
        <v/>
      </c>
      <c r="AB97" s="470" t="str">
        <f t="shared" ca="1" si="72"/>
        <v/>
      </c>
      <c r="AC97" s="470" t="str">
        <f t="shared" ca="1" si="72"/>
        <v/>
      </c>
      <c r="AD97" s="470" t="str">
        <f t="shared" ca="1" si="72"/>
        <v/>
      </c>
      <c r="AE97" s="470" t="str">
        <f t="shared" ca="1" si="72"/>
        <v/>
      </c>
      <c r="AF97" s="470" t="str">
        <f t="shared" ca="1" si="72"/>
        <v/>
      </c>
      <c r="AG97" s="470" t="str">
        <f t="shared" ca="1" si="72"/>
        <v/>
      </c>
      <c r="AH97" s="470" t="str">
        <f t="shared" ca="1" si="72"/>
        <v/>
      </c>
      <c r="AI97" s="470" t="str">
        <f t="shared" ref="AI97:BJ97" ca="1" si="73">AI95-AI96</f>
        <v/>
      </c>
      <c r="AJ97" s="470" t="str">
        <f t="shared" ca="1" si="73"/>
        <v/>
      </c>
      <c r="AK97" s="470" t="str">
        <f t="shared" ca="1" si="73"/>
        <v/>
      </c>
      <c r="AL97" s="470" t="str">
        <f t="shared" ca="1" si="73"/>
        <v/>
      </c>
      <c r="AM97" s="470" t="str">
        <f t="shared" ca="1" si="73"/>
        <v/>
      </c>
      <c r="AN97" s="470" t="str">
        <f t="shared" ca="1" si="73"/>
        <v/>
      </c>
      <c r="AO97" s="470" t="str">
        <f t="shared" ca="1" si="73"/>
        <v/>
      </c>
      <c r="AP97" s="470" t="str">
        <f t="shared" ca="1" si="73"/>
        <v/>
      </c>
      <c r="AQ97" s="470" t="str">
        <f t="shared" ca="1" si="73"/>
        <v/>
      </c>
      <c r="AR97" s="470" t="str">
        <f t="shared" ca="1" si="73"/>
        <v/>
      </c>
      <c r="AS97" s="470" t="str">
        <f t="shared" ca="1" si="73"/>
        <v/>
      </c>
      <c r="AT97" s="470" t="str">
        <f t="shared" ca="1" si="73"/>
        <v/>
      </c>
      <c r="AU97" s="470" t="str">
        <f t="shared" ca="1" si="73"/>
        <v/>
      </c>
      <c r="AV97" s="470" t="str">
        <f t="shared" ca="1" si="73"/>
        <v/>
      </c>
      <c r="AW97" s="470" t="str">
        <f t="shared" ca="1" si="73"/>
        <v/>
      </c>
      <c r="AX97" s="470" t="str">
        <f t="shared" ca="1" si="73"/>
        <v/>
      </c>
      <c r="AY97" s="470" t="str">
        <f t="shared" ca="1" si="73"/>
        <v/>
      </c>
      <c r="AZ97" s="470" t="str">
        <f t="shared" ca="1" si="73"/>
        <v/>
      </c>
      <c r="BA97" s="470" t="str">
        <f t="shared" ca="1" si="73"/>
        <v/>
      </c>
      <c r="BB97" s="470" t="str">
        <f t="shared" ca="1" si="73"/>
        <v/>
      </c>
      <c r="BC97" s="470" t="str">
        <f t="shared" ca="1" si="73"/>
        <v/>
      </c>
      <c r="BD97" s="470" t="str">
        <f t="shared" ca="1" si="73"/>
        <v/>
      </c>
      <c r="BE97" s="470" t="str">
        <f t="shared" ca="1" si="73"/>
        <v/>
      </c>
      <c r="BF97" s="470" t="str">
        <f t="shared" ca="1" si="73"/>
        <v/>
      </c>
      <c r="BG97" s="470" t="str">
        <f t="shared" ca="1" si="73"/>
        <v/>
      </c>
      <c r="BH97" s="470" t="str">
        <f t="shared" ca="1" si="73"/>
        <v/>
      </c>
      <c r="BI97" s="470" t="str">
        <f t="shared" ca="1" si="73"/>
        <v/>
      </c>
      <c r="BJ97" s="470" t="str">
        <f t="shared" ca="1" si="73"/>
        <v/>
      </c>
      <c r="BK97" s="470" t="str">
        <f ca="1">SUM(C97:BJ97)</f>
        <v/>
      </c>
    </row>
    <row r="98" spans="1:63" ht="15" customHeight="1" x14ac:dyDescent="0.25">
      <c r="A98" s="471" t="s">
        <v>811</v>
      </c>
      <c r="C98" s="472" t="str">
        <f ca="1">C97</f>
        <v/>
      </c>
      <c r="D98" s="472" t="str">
        <f t="shared" ref="D98:AI98" ca="1" si="74">C98+D97</f>
        <v/>
      </c>
      <c r="E98" s="472" t="str">
        <f t="shared" ca="1" si="74"/>
        <v/>
      </c>
      <c r="F98" s="472" t="str">
        <f t="shared" ca="1" si="74"/>
        <v/>
      </c>
      <c r="G98" s="472" t="str">
        <f t="shared" ca="1" si="74"/>
        <v/>
      </c>
      <c r="H98" s="472" t="str">
        <f t="shared" ca="1" si="74"/>
        <v/>
      </c>
      <c r="I98" s="472" t="str">
        <f t="shared" ca="1" si="74"/>
        <v/>
      </c>
      <c r="J98" s="472" t="str">
        <f t="shared" ca="1" si="74"/>
        <v/>
      </c>
      <c r="K98" s="472" t="str">
        <f t="shared" ca="1" si="74"/>
        <v/>
      </c>
      <c r="L98" s="472" t="str">
        <f t="shared" ca="1" si="74"/>
        <v/>
      </c>
      <c r="M98" s="472" t="str">
        <f t="shared" ca="1" si="74"/>
        <v/>
      </c>
      <c r="N98" s="472" t="str">
        <f t="shared" ca="1" si="74"/>
        <v/>
      </c>
      <c r="O98" s="472" t="str">
        <f t="shared" ca="1" si="74"/>
        <v/>
      </c>
      <c r="P98" s="472" t="str">
        <f t="shared" ca="1" si="74"/>
        <v/>
      </c>
      <c r="Q98" s="472" t="str">
        <f t="shared" ca="1" si="74"/>
        <v/>
      </c>
      <c r="R98" s="472" t="str">
        <f t="shared" ca="1" si="74"/>
        <v/>
      </c>
      <c r="S98" s="472" t="str">
        <f t="shared" ca="1" si="74"/>
        <v/>
      </c>
      <c r="T98" s="472" t="str">
        <f t="shared" ca="1" si="74"/>
        <v/>
      </c>
      <c r="U98" s="472" t="str">
        <f t="shared" ca="1" si="74"/>
        <v/>
      </c>
      <c r="V98" s="472" t="str">
        <f t="shared" ca="1" si="74"/>
        <v/>
      </c>
      <c r="W98" s="472" t="str">
        <f t="shared" ca="1" si="74"/>
        <v/>
      </c>
      <c r="X98" s="472" t="str">
        <f t="shared" ca="1" si="74"/>
        <v/>
      </c>
      <c r="Y98" s="472" t="str">
        <f t="shared" ca="1" si="74"/>
        <v/>
      </c>
      <c r="Z98" s="472" t="str">
        <f t="shared" ca="1" si="74"/>
        <v/>
      </c>
      <c r="AA98" s="472" t="str">
        <f t="shared" ca="1" si="74"/>
        <v/>
      </c>
      <c r="AB98" s="472" t="str">
        <f t="shared" ca="1" si="74"/>
        <v/>
      </c>
      <c r="AC98" s="472" t="str">
        <f t="shared" ca="1" si="74"/>
        <v/>
      </c>
      <c r="AD98" s="472" t="str">
        <f t="shared" ca="1" si="74"/>
        <v/>
      </c>
      <c r="AE98" s="472" t="str">
        <f t="shared" ca="1" si="74"/>
        <v/>
      </c>
      <c r="AF98" s="472" t="str">
        <f t="shared" ca="1" si="74"/>
        <v/>
      </c>
      <c r="AG98" s="472" t="str">
        <f t="shared" ca="1" si="74"/>
        <v/>
      </c>
      <c r="AH98" s="472" t="str">
        <f t="shared" ca="1" si="74"/>
        <v/>
      </c>
      <c r="AI98" s="472" t="str">
        <f t="shared" ca="1" si="74"/>
        <v/>
      </c>
      <c r="AJ98" s="472" t="str">
        <f t="shared" ref="AJ98:BJ98" ca="1" si="75">AI98+AJ97</f>
        <v/>
      </c>
      <c r="AK98" s="472" t="str">
        <f t="shared" ca="1" si="75"/>
        <v/>
      </c>
      <c r="AL98" s="472" t="str">
        <f t="shared" ca="1" si="75"/>
        <v/>
      </c>
      <c r="AM98" s="472" t="str">
        <f t="shared" ca="1" si="75"/>
        <v/>
      </c>
      <c r="AN98" s="472" t="str">
        <f t="shared" ca="1" si="75"/>
        <v/>
      </c>
      <c r="AO98" s="472" t="str">
        <f t="shared" ca="1" si="75"/>
        <v/>
      </c>
      <c r="AP98" s="472" t="str">
        <f t="shared" ca="1" si="75"/>
        <v/>
      </c>
      <c r="AQ98" s="472" t="str">
        <f t="shared" ca="1" si="75"/>
        <v/>
      </c>
      <c r="AR98" s="472" t="str">
        <f t="shared" ca="1" si="75"/>
        <v/>
      </c>
      <c r="AS98" s="472" t="str">
        <f t="shared" ca="1" si="75"/>
        <v/>
      </c>
      <c r="AT98" s="472" t="str">
        <f t="shared" ca="1" si="75"/>
        <v/>
      </c>
      <c r="AU98" s="472" t="str">
        <f t="shared" ca="1" si="75"/>
        <v/>
      </c>
      <c r="AV98" s="472" t="str">
        <f t="shared" ca="1" si="75"/>
        <v/>
      </c>
      <c r="AW98" s="472" t="str">
        <f t="shared" ca="1" si="75"/>
        <v/>
      </c>
      <c r="AX98" s="472" t="str">
        <f t="shared" ca="1" si="75"/>
        <v/>
      </c>
      <c r="AY98" s="472" t="str">
        <f t="shared" ca="1" si="75"/>
        <v/>
      </c>
      <c r="AZ98" s="472" t="str">
        <f t="shared" ca="1" si="75"/>
        <v/>
      </c>
      <c r="BA98" s="472" t="str">
        <f t="shared" ca="1" si="75"/>
        <v/>
      </c>
      <c r="BB98" s="472" t="str">
        <f t="shared" ca="1" si="75"/>
        <v/>
      </c>
      <c r="BC98" s="472" t="str">
        <f t="shared" ca="1" si="75"/>
        <v/>
      </c>
      <c r="BD98" s="472" t="str">
        <f t="shared" ca="1" si="75"/>
        <v/>
      </c>
      <c r="BE98" s="472" t="str">
        <f t="shared" ca="1" si="75"/>
        <v/>
      </c>
      <c r="BF98" s="472" t="str">
        <f t="shared" ca="1" si="75"/>
        <v/>
      </c>
      <c r="BG98" s="472" t="str">
        <f t="shared" ca="1" si="75"/>
        <v/>
      </c>
      <c r="BH98" s="472" t="str">
        <f t="shared" ca="1" si="75"/>
        <v/>
      </c>
      <c r="BI98" s="472" t="str">
        <f t="shared" ca="1" si="75"/>
        <v/>
      </c>
      <c r="BJ98" s="472" t="str">
        <f t="shared" ca="1" si="75"/>
        <v/>
      </c>
      <c r="BK98" s="472" t="str">
        <f ca="1">BJ98</f>
        <v/>
      </c>
    </row>
    <row r="99" spans="1:63" ht="15" customHeight="1" x14ac:dyDescent="0.25">
      <c r="A99" s="464" t="s">
        <v>812</v>
      </c>
      <c r="BK99" s="473" t="str">
        <f ca="1">MIN(C98:BJ98)</f>
        <v/>
      </c>
    </row>
  </sheetData>
  <mergeCells count="15">
    <mergeCell ref="A1:AD1"/>
    <mergeCell ref="A81:BK81"/>
    <mergeCell ref="A21:AD21"/>
    <mergeCell ref="A42:BK42"/>
    <mergeCell ref="A93:BK93"/>
    <mergeCell ref="A2:AD2"/>
    <mergeCell ref="C3:N3"/>
    <mergeCell ref="AY3:BJ3"/>
    <mergeCell ref="AA3:AL3"/>
    <mergeCell ref="O3:Z3"/>
    <mergeCell ref="AM3:AX3"/>
    <mergeCell ref="A20:BK20"/>
    <mergeCell ref="A72:BK72"/>
    <mergeCell ref="A64:BK64"/>
    <mergeCell ref="A7:BK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62"/>
  <sheetViews>
    <sheetView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ColWidth="8.6640625" defaultRowHeight="13.2" x14ac:dyDescent="0.25"/>
  <cols>
    <col min="1" max="1" width="34" customWidth="1"/>
    <col min="2" max="2" width="16" customWidth="1"/>
    <col min="3" max="4" width="3" customWidth="1"/>
    <col min="5" max="5" width="22" customWidth="1"/>
    <col min="6" max="12" width="12" customWidth="1"/>
  </cols>
  <sheetData>
    <row r="1" spans="1:12" ht="30" customHeight="1" x14ac:dyDescent="0.25">
      <c r="A1" s="659" t="s">
        <v>813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</row>
    <row r="2" spans="1:12" ht="12.75" customHeight="1" x14ac:dyDescent="0.25">
      <c r="A2" s="664" t="s">
        <v>814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</row>
    <row r="4" spans="1:12" ht="19.5" customHeight="1" x14ac:dyDescent="0.25">
      <c r="A4" s="663" t="s">
        <v>815</v>
      </c>
      <c r="B4" s="627"/>
      <c r="E4" s="663" t="s">
        <v>816</v>
      </c>
      <c r="F4" s="627"/>
      <c r="G4" s="627"/>
      <c r="H4" s="627"/>
      <c r="I4" s="627"/>
      <c r="J4" s="627"/>
      <c r="K4" s="627"/>
      <c r="L4" s="627"/>
    </row>
    <row r="5" spans="1:12" ht="12.75" customHeight="1" x14ac:dyDescent="0.25">
      <c r="A5" s="474" t="s">
        <v>817</v>
      </c>
      <c r="B5" s="475">
        <v>680</v>
      </c>
      <c r="E5" s="667" t="s">
        <v>818</v>
      </c>
      <c r="F5" s="627"/>
      <c r="G5" s="627"/>
      <c r="H5" s="627"/>
      <c r="I5" s="627"/>
      <c r="J5" s="627"/>
      <c r="K5" s="627"/>
      <c r="L5" s="627"/>
    </row>
    <row r="6" spans="1:12" ht="27.75" customHeight="1" x14ac:dyDescent="0.25">
      <c r="A6" s="476" t="s">
        <v>819</v>
      </c>
      <c r="B6" s="477">
        <v>0.8</v>
      </c>
      <c r="E6" s="478" t="s">
        <v>820</v>
      </c>
      <c r="F6" s="479" t="s">
        <v>821</v>
      </c>
      <c r="G6" s="479" t="s">
        <v>822</v>
      </c>
      <c r="H6" s="479" t="s">
        <v>823</v>
      </c>
      <c r="I6" s="480" t="s">
        <v>824</v>
      </c>
      <c r="J6" s="479" t="s">
        <v>825</v>
      </c>
      <c r="K6" s="479" t="s">
        <v>826</v>
      </c>
      <c r="L6" s="479" t="s">
        <v>827</v>
      </c>
    </row>
    <row r="7" spans="1:12" ht="21.75" customHeight="1" x14ac:dyDescent="0.25">
      <c r="A7" s="474" t="s">
        <v>828</v>
      </c>
      <c r="B7" s="475">
        <v>280</v>
      </c>
      <c r="E7" s="481" t="s">
        <v>829</v>
      </c>
      <c r="F7" s="482" t="str">
        <f ca="1">IFERROR(Returns!B81*0.7*0.625,0)</f>
        <v/>
      </c>
      <c r="G7" s="482" t="str">
        <f ca="1">IFERROR(Returns!B81*0.7*0.75,0)</f>
        <v/>
      </c>
      <c r="H7" s="482" t="str">
        <f ca="1">IFERROR(Returns!B81*0.7*0.875,0)</f>
        <v/>
      </c>
      <c r="I7" s="483" t="str">
        <f ca="1">IFERROR(Returns!B81*0.7*1,0)</f>
        <v/>
      </c>
      <c r="J7" s="482" t="str">
        <f ca="1">IFERROR(Returns!B81*0.7*1.125,0)</f>
        <v/>
      </c>
      <c r="K7" s="482" t="str">
        <f ca="1">IFERROR(Returns!B81*0.7*1.25,0)</f>
        <v/>
      </c>
      <c r="L7" s="482" t="str">
        <f ca="1">IFERROR(Returns!B81*0.7*1.375,0)</f>
        <v/>
      </c>
    </row>
    <row r="8" spans="1:12" ht="21.75" customHeight="1" x14ac:dyDescent="0.25">
      <c r="A8" s="476" t="s">
        <v>830</v>
      </c>
      <c r="B8" s="484">
        <f>Cashflow!B18</f>
        <v>0.16</v>
      </c>
      <c r="E8" s="481" t="s">
        <v>831</v>
      </c>
      <c r="F8" s="482" t="str">
        <f ca="1">IFERROR(Returns!B81*0.8*0.625,0)</f>
        <v/>
      </c>
      <c r="G8" s="482" t="str">
        <f ca="1">IFERROR(Returns!B81*0.8*0.75,0)</f>
        <v/>
      </c>
      <c r="H8" s="482" t="str">
        <f ca="1">IFERROR(Returns!B81*0.8*0.875,0)</f>
        <v/>
      </c>
      <c r="I8" s="483" t="str">
        <f ca="1">IFERROR(Returns!B81*0.8*1,0)</f>
        <v/>
      </c>
      <c r="J8" s="482" t="str">
        <f ca="1">IFERROR(Returns!B81*0.8*1.125,0)</f>
        <v/>
      </c>
      <c r="K8" s="482" t="str">
        <f ca="1">IFERROR(Returns!B81*0.8*1.25,0)</f>
        <v/>
      </c>
      <c r="L8" s="482" t="str">
        <f ca="1">IFERROR(Returns!B81*0.8*1.375,0)</f>
        <v/>
      </c>
    </row>
    <row r="9" spans="1:12" ht="21.75" customHeight="1" x14ac:dyDescent="0.25">
      <c r="A9" s="474" t="s">
        <v>738</v>
      </c>
      <c r="B9" s="485">
        <f>Cashflow!B17</f>
        <v>4.5499999999999999E-2</v>
      </c>
      <c r="E9" s="481" t="s">
        <v>832</v>
      </c>
      <c r="F9" s="482" t="str">
        <f ca="1">IFERROR(Returns!B81*0.9*0.625,0)</f>
        <v/>
      </c>
      <c r="G9" s="482" t="str">
        <f ca="1">IFERROR(Returns!B81*0.9*0.75,0)</f>
        <v/>
      </c>
      <c r="H9" s="482" t="str">
        <f ca="1">IFERROR(Returns!B81*0.9*0.875,0)</f>
        <v/>
      </c>
      <c r="I9" s="483" t="str">
        <f ca="1">IFERROR(Returns!B81*0.9*1,0)</f>
        <v/>
      </c>
      <c r="J9" s="482" t="str">
        <f ca="1">IFERROR(Returns!B81*0.9*1.125,0)</f>
        <v/>
      </c>
      <c r="K9" s="482" t="str">
        <f ca="1">IFERROR(Returns!B81*0.9*1.25,0)</f>
        <v/>
      </c>
      <c r="L9" s="482" t="str">
        <f ca="1">IFERROR(Returns!B81*0.9*1.375,0)</f>
        <v/>
      </c>
    </row>
    <row r="10" spans="1:12" ht="21.75" customHeight="1" x14ac:dyDescent="0.25">
      <c r="A10" s="476" t="s">
        <v>833</v>
      </c>
      <c r="B10" s="486">
        <f>Cashflow!B9</f>
        <v>5</v>
      </c>
      <c r="E10" s="487" t="s">
        <v>834</v>
      </c>
      <c r="F10" s="482" t="str">
        <f ca="1">IFERROR(Returns!B81*1*0.625,0)</f>
        <v/>
      </c>
      <c r="G10" s="482" t="str">
        <f ca="1">IFERROR(Returns!B81*1*0.75,0)</f>
        <v/>
      </c>
      <c r="H10" s="482" t="str">
        <f ca="1">IFERROR(Returns!B81*1*0.875,0)</f>
        <v/>
      </c>
      <c r="I10" s="483" t="str">
        <f ca="1">IFERROR(Returns!B81*1*1,0)</f>
        <v/>
      </c>
      <c r="J10" s="482" t="str">
        <f ca="1">IFERROR(Returns!B81*1*1.125,0)</f>
        <v/>
      </c>
      <c r="K10" s="482" t="str">
        <f ca="1">IFERROR(Returns!B81*1*1.25,0)</f>
        <v/>
      </c>
      <c r="L10" s="482" t="str">
        <f ca="1">IFERROR(Returns!B81*1*1.375,0)</f>
        <v/>
      </c>
    </row>
    <row r="11" spans="1:12" ht="21.75" customHeight="1" x14ac:dyDescent="0.25">
      <c r="E11" s="481" t="s">
        <v>835</v>
      </c>
      <c r="F11" s="482" t="str">
        <f ca="1">IFERROR(Returns!B81*1.1*0.625,0)</f>
        <v/>
      </c>
      <c r="G11" s="482" t="str">
        <f ca="1">IFERROR(Returns!B81*1.1*0.75,0)</f>
        <v/>
      </c>
      <c r="H11" s="482" t="str">
        <f ca="1">IFERROR(Returns!B81*1.1*0.875,0)</f>
        <v/>
      </c>
      <c r="I11" s="483" t="str">
        <f ca="1">IFERROR(Returns!B81*1.1*1,0)</f>
        <v/>
      </c>
      <c r="J11" s="482" t="str">
        <f ca="1">IFERROR(Returns!B81*1.1*1.125,0)</f>
        <v/>
      </c>
      <c r="K11" s="482" t="str">
        <f ca="1">IFERROR(Returns!B81*1.1*1.25,0)</f>
        <v/>
      </c>
      <c r="L11" s="482" t="str">
        <f ca="1">IFERROR(Returns!B81*1.1*1.375,0)</f>
        <v/>
      </c>
    </row>
    <row r="12" spans="1:12" ht="21.75" customHeight="1" x14ac:dyDescent="0.25">
      <c r="A12" s="670" t="s">
        <v>836</v>
      </c>
      <c r="B12" s="627"/>
      <c r="E12" s="481" t="s">
        <v>837</v>
      </c>
      <c r="F12" s="482" t="str">
        <f ca="1">IFERROR(Returns!B81*1.2*0.625,0)</f>
        <v/>
      </c>
      <c r="G12" s="482" t="str">
        <f ca="1">IFERROR(Returns!B81*1.2*0.75,0)</f>
        <v/>
      </c>
      <c r="H12" s="482" t="str">
        <f ca="1">IFERROR(Returns!B81*1.2*0.875,0)</f>
        <v/>
      </c>
      <c r="I12" s="483" t="str">
        <f ca="1">IFERROR(Returns!B81*1.2*1,0)</f>
        <v/>
      </c>
      <c r="J12" s="482" t="str">
        <f ca="1">IFERROR(Returns!B81*1.2*1.125,0)</f>
        <v/>
      </c>
      <c r="K12" s="482" t="str">
        <f ca="1">IFERROR(Returns!B81*1.2*1.25,0)</f>
        <v/>
      </c>
      <c r="L12" s="482" t="str">
        <f ca="1">IFERROR(Returns!B81*1.2*1.375,0)</f>
        <v/>
      </c>
    </row>
    <row r="13" spans="1:12" ht="21.75" customHeight="1" x14ac:dyDescent="0.25">
      <c r="A13" s="476" t="s">
        <v>732</v>
      </c>
      <c r="B13" s="488" t="str">
        <f ca="1">Returns!B5</f>
        <v/>
      </c>
      <c r="E13" s="481" t="s">
        <v>838</v>
      </c>
      <c r="F13" s="482" t="str">
        <f ca="1">IFERROR(Returns!B81*1.3*0.625,0)</f>
        <v/>
      </c>
      <c r="G13" s="482" t="str">
        <f ca="1">IFERROR(Returns!B81*1.3*0.75,0)</f>
        <v/>
      </c>
      <c r="H13" s="482" t="str">
        <f ca="1">IFERROR(Returns!B81*1.3*0.875,0)</f>
        <v/>
      </c>
      <c r="I13" s="483" t="str">
        <f ca="1">IFERROR(Returns!B81*1.3*1,0)</f>
        <v/>
      </c>
      <c r="J13" s="482" t="str">
        <f ca="1">IFERROR(Returns!B81*1.3*1.125,0)</f>
        <v/>
      </c>
      <c r="K13" s="482" t="str">
        <f ca="1">IFERROR(Returns!B81*1.3*1.25,0)</f>
        <v/>
      </c>
      <c r="L13" s="482" t="str">
        <f ca="1">IFERROR(Returns!B81*1.3*1.375,0)</f>
        <v/>
      </c>
    </row>
    <row r="14" spans="1:12" ht="16.5" customHeight="1" x14ac:dyDescent="0.25">
      <c r="A14" s="489" t="s">
        <v>733</v>
      </c>
      <c r="B14" s="490">
        <f>Returns!B6</f>
        <v>0</v>
      </c>
    </row>
    <row r="15" spans="1:12" ht="16.5" customHeight="1" x14ac:dyDescent="0.25">
      <c r="A15" s="476" t="s">
        <v>734</v>
      </c>
      <c r="B15" s="488">
        <f>Returns!B7</f>
        <v>0</v>
      </c>
    </row>
    <row r="16" spans="1:12" ht="19.5" customHeight="1" x14ac:dyDescent="0.25">
      <c r="A16" s="489" t="s">
        <v>839</v>
      </c>
      <c r="B16" s="490">
        <f>Returns!B8</f>
        <v>0</v>
      </c>
      <c r="E16" s="662" t="s">
        <v>840</v>
      </c>
      <c r="F16" s="627"/>
      <c r="G16" s="627"/>
      <c r="H16" s="627"/>
      <c r="I16" s="627"/>
      <c r="J16" s="627"/>
      <c r="K16" s="627"/>
      <c r="L16" s="627"/>
    </row>
    <row r="17" spans="1:12" ht="12.75" customHeight="1" x14ac:dyDescent="0.25">
      <c r="A17" s="476" t="s">
        <v>841</v>
      </c>
      <c r="B17" s="484">
        <f>Returns!B9</f>
        <v>0</v>
      </c>
      <c r="E17" s="667" t="s">
        <v>842</v>
      </c>
      <c r="F17" s="627"/>
      <c r="G17" s="627"/>
      <c r="H17" s="627"/>
      <c r="I17" s="627"/>
      <c r="J17" s="627"/>
      <c r="K17" s="627"/>
      <c r="L17" s="627"/>
    </row>
    <row r="18" spans="1:12" ht="27.75" customHeight="1" x14ac:dyDescent="0.25">
      <c r="A18" s="489" t="s">
        <v>736</v>
      </c>
      <c r="B18" s="490">
        <f>Cashflow!B15</f>
        <v>0</v>
      </c>
      <c r="E18" s="491" t="s">
        <v>820</v>
      </c>
      <c r="F18" s="492" t="s">
        <v>821</v>
      </c>
      <c r="G18" s="492" t="s">
        <v>822</v>
      </c>
      <c r="H18" s="492" t="s">
        <v>823</v>
      </c>
      <c r="I18" s="480" t="s">
        <v>824</v>
      </c>
      <c r="J18" s="492" t="s">
        <v>825</v>
      </c>
      <c r="K18" s="492" t="s">
        <v>826</v>
      </c>
      <c r="L18" s="492" t="s">
        <v>827</v>
      </c>
    </row>
    <row r="19" spans="1:12" ht="21.75" customHeight="1" x14ac:dyDescent="0.25">
      <c r="A19" s="476" t="s">
        <v>737</v>
      </c>
      <c r="B19" s="488" t="e">
        <f>Cashflow!B16</f>
        <v>#DIV/0!</v>
      </c>
      <c r="E19" s="493" t="s">
        <v>829</v>
      </c>
      <c r="F19" s="482">
        <f>IFERROR((Returns!B6*0.7*0.625-Returns!B7)/(Returns!B6*0.7*0.625),0)</f>
        <v>0</v>
      </c>
      <c r="G19" s="482">
        <f>IFERROR((Returns!B6*0.7*0.75-Returns!B7)/(Returns!B6*0.7*0.75),0)</f>
        <v>0</v>
      </c>
      <c r="H19" s="482">
        <f>IFERROR((Returns!B6*0.7*0.875-Returns!B7)/(Returns!B6*0.7*0.875),0)</f>
        <v>0</v>
      </c>
      <c r="I19" s="483">
        <f>IFERROR((Returns!B6*0.7*1-Returns!B7)/(Returns!B6*0.7*1),0)</f>
        <v>0</v>
      </c>
      <c r="J19" s="482">
        <f>IFERROR((Returns!B6*0.7*1.125-Returns!B7)/(Returns!B6*0.7*1.125),0)</f>
        <v>0</v>
      </c>
      <c r="K19" s="482">
        <f>IFERROR((Returns!B6*0.7*1.25-Returns!B7)/(Returns!B6*0.7*1.25),0)</f>
        <v>0</v>
      </c>
      <c r="L19" s="482">
        <f>IFERROR((Returns!B6*0.7*1.375-Returns!B7)/(Returns!B6*0.7*1.375),0)</f>
        <v>0</v>
      </c>
    </row>
    <row r="20" spans="1:12" ht="21.75" customHeight="1" x14ac:dyDescent="0.25">
      <c r="A20" s="489" t="s">
        <v>843</v>
      </c>
      <c r="B20" s="490" t="str">
        <f ca="1">Returns!B12</f>
        <v/>
      </c>
      <c r="E20" s="493" t="s">
        <v>831</v>
      </c>
      <c r="F20" s="482">
        <f>IFERROR((Returns!B6*0.8*0.625-Returns!B7)/(Returns!B6*0.8*0.625),0)</f>
        <v>0</v>
      </c>
      <c r="G20" s="482">
        <f>IFERROR((Returns!B6*0.8*0.75-Returns!B7)/(Returns!B6*0.8*0.75),0)</f>
        <v>0</v>
      </c>
      <c r="H20" s="482">
        <f>IFERROR((Returns!B6*0.8*0.875-Returns!B7)/(Returns!B6*0.8*0.875),0)</f>
        <v>0</v>
      </c>
      <c r="I20" s="483">
        <f>IFERROR((Returns!B6*0.8*1-Returns!B7)/(Returns!B6*0.8*1),0)</f>
        <v>0</v>
      </c>
      <c r="J20" s="482">
        <f>IFERROR((Returns!B6*0.8*1.125-Returns!B7)/(Returns!B6*0.8*1.125),0)</f>
        <v>0</v>
      </c>
      <c r="K20" s="482">
        <f>IFERROR((Returns!B6*0.8*1.25-Returns!B7)/(Returns!B6*0.8*1.25),0)</f>
        <v>0</v>
      </c>
      <c r="L20" s="482">
        <f>IFERROR((Returns!B6*0.8*1.375-Returns!B7)/(Returns!B6*0.8*1.375),0)</f>
        <v>0</v>
      </c>
    </row>
    <row r="21" spans="1:12" ht="21.75" customHeight="1" x14ac:dyDescent="0.25">
      <c r="A21" s="476" t="s">
        <v>844</v>
      </c>
      <c r="B21" s="494" t="str">
        <f ca="1">IFERROR(Returns!B8/ABS(Returns!B12),0)</f>
        <v/>
      </c>
      <c r="E21" s="493" t="s">
        <v>832</v>
      </c>
      <c r="F21" s="482">
        <f>IFERROR((Returns!B6*0.9*0.625-Returns!B7)/(Returns!B6*0.9*0.625),0)</f>
        <v>0</v>
      </c>
      <c r="G21" s="482">
        <f>IFERROR((Returns!B6*0.9*0.75-Returns!B7)/(Returns!B6*0.9*0.75),0)</f>
        <v>0</v>
      </c>
      <c r="H21" s="482">
        <f>IFERROR((Returns!B6*0.9*0.875-Returns!B7)/(Returns!B6*0.9*0.875),0)</f>
        <v>0</v>
      </c>
      <c r="I21" s="483">
        <f>IFERROR((Returns!B6*0.9*1-Returns!B7)/(Returns!B6*0.9*1),0)</f>
        <v>0</v>
      </c>
      <c r="J21" s="482">
        <f>IFERROR((Returns!B6*0.9*1.125-Returns!B7)/(Returns!B6*0.9*1.125),0)</f>
        <v>0</v>
      </c>
      <c r="K21" s="482">
        <f>IFERROR((Returns!B6*0.9*1.25-Returns!B7)/(Returns!B6*0.9*1.25),0)</f>
        <v>0</v>
      </c>
      <c r="L21" s="482">
        <f>IFERROR((Returns!B6*0.9*1.375-Returns!B7)/(Returns!B6*0.9*1.375),0)</f>
        <v>0</v>
      </c>
    </row>
    <row r="22" spans="1:12" ht="21.75" customHeight="1" x14ac:dyDescent="0.25">
      <c r="E22" s="487" t="s">
        <v>834</v>
      </c>
      <c r="F22" s="482">
        <f>IFERROR((Returns!B6*1*0.625-Returns!B7)/(Returns!B6*1*0.625),0)</f>
        <v>0</v>
      </c>
      <c r="G22" s="482">
        <f>IFERROR((Returns!B6*1*0.75-Returns!B7)/(Returns!B6*1*0.75),0)</f>
        <v>0</v>
      </c>
      <c r="H22" s="482">
        <f>IFERROR((Returns!B6*1*0.875-Returns!B7)/(Returns!B6*1*0.875),0)</f>
        <v>0</v>
      </c>
      <c r="I22" s="483">
        <f>IFERROR((Returns!B6*1*1-Returns!B7)/(Returns!B6*1*1),0)</f>
        <v>0</v>
      </c>
      <c r="J22" s="482">
        <f>IFERROR((Returns!B6*1*1.125-Returns!B7)/(Returns!B6*1*1.125),0)</f>
        <v>0</v>
      </c>
      <c r="K22" s="482">
        <f>IFERROR((Returns!B6*1*1.25-Returns!B7)/(Returns!B6*1*1.25),0)</f>
        <v>0</v>
      </c>
      <c r="L22" s="482">
        <f>IFERROR((Returns!B6*1*1.375-Returns!B7)/(Returns!B6*1*1.375),0)</f>
        <v>0</v>
      </c>
    </row>
    <row r="23" spans="1:12" ht="21.75" customHeight="1" x14ac:dyDescent="0.25">
      <c r="A23" s="673" t="s">
        <v>845</v>
      </c>
      <c r="B23" s="627"/>
      <c r="E23" s="493" t="s">
        <v>835</v>
      </c>
      <c r="F23" s="482">
        <f>IFERROR((Returns!B6*1.1*0.625-Returns!B7)/(Returns!B6*1.1*0.625),0)</f>
        <v>0</v>
      </c>
      <c r="G23" s="482">
        <f>IFERROR((Returns!B6*1.1*0.75-Returns!B7)/(Returns!B6*1.1*0.75),0)</f>
        <v>0</v>
      </c>
      <c r="H23" s="482">
        <f>IFERROR((Returns!B6*1.1*0.875-Returns!B7)/(Returns!B6*1.1*0.875),0)</f>
        <v>0</v>
      </c>
      <c r="I23" s="483">
        <f>IFERROR((Returns!B6*1.1*1-Returns!B7)/(Returns!B6*1.1*1),0)</f>
        <v>0</v>
      </c>
      <c r="J23" s="482">
        <f>IFERROR((Returns!B6*1.1*1.125-Returns!B7)/(Returns!B6*1.1*1.125),0)</f>
        <v>0</v>
      </c>
      <c r="K23" s="482">
        <f>IFERROR((Returns!B6*1.1*1.25-Returns!B7)/(Returns!B6*1.1*1.25),0)</f>
        <v>0</v>
      </c>
      <c r="L23" s="482">
        <f>IFERROR((Returns!B6*1.1*1.375-Returns!B7)/(Returns!B6*1.1*1.375),0)</f>
        <v>0</v>
      </c>
    </row>
    <row r="24" spans="1:12" ht="21.75" customHeight="1" x14ac:dyDescent="0.25">
      <c r="A24" s="495" t="s">
        <v>846</v>
      </c>
      <c r="B24" s="496" t="str">
        <f ca="1">Returns!B81</f>
        <v/>
      </c>
      <c r="E24" s="493" t="s">
        <v>837</v>
      </c>
      <c r="F24" s="482">
        <f>IFERROR((Returns!B6*1.2*0.625-Returns!B7)/(Returns!B6*1.2*0.625),0)</f>
        <v>0</v>
      </c>
      <c r="G24" s="482">
        <f>IFERROR((Returns!B6*1.2*0.75-Returns!B7)/(Returns!B6*1.2*0.75),0)</f>
        <v>0</v>
      </c>
      <c r="H24" s="482">
        <f>IFERROR((Returns!B6*1.2*0.875-Returns!B7)/(Returns!B6*1.2*0.875),0)</f>
        <v>0</v>
      </c>
      <c r="I24" s="483">
        <f>IFERROR((Returns!B6*1.2*1-Returns!B7)/(Returns!B6*1.2*1),0)</f>
        <v>0</v>
      </c>
      <c r="J24" s="482">
        <f>IFERROR((Returns!B6*1.2*1.125-Returns!B7)/(Returns!B6*1.2*1.125),0)</f>
        <v>0</v>
      </c>
      <c r="K24" s="482">
        <f>IFERROR((Returns!B6*1.2*1.25-Returns!B7)/(Returns!B6*1.2*1.25),0)</f>
        <v>0</v>
      </c>
      <c r="L24" s="482">
        <f>IFERROR((Returns!B6*1.2*1.375-Returns!B7)/(Returns!B6*1.2*1.375),0)</f>
        <v>0</v>
      </c>
    </row>
    <row r="25" spans="1:12" ht="21.75" customHeight="1" x14ac:dyDescent="0.25">
      <c r="A25" s="476" t="s">
        <v>847</v>
      </c>
      <c r="B25" s="488" t="str">
        <f ca="1">Returns!B83</f>
        <v/>
      </c>
      <c r="E25" s="493" t="s">
        <v>838</v>
      </c>
      <c r="F25" s="482">
        <f>IFERROR((Returns!B6*1.3*0.625-Returns!B7)/(Returns!B6*1.3*0.625),0)</f>
        <v>0</v>
      </c>
      <c r="G25" s="482">
        <f>IFERROR((Returns!B6*1.3*0.75-Returns!B7)/(Returns!B6*1.3*0.75),0)</f>
        <v>0</v>
      </c>
      <c r="H25" s="482">
        <f>IFERROR((Returns!B6*1.3*0.875-Returns!B7)/(Returns!B6*1.3*0.875),0)</f>
        <v>0</v>
      </c>
      <c r="I25" s="483">
        <f>IFERROR((Returns!B6*1.3*1-Returns!B7)/(Returns!B6*1.3*1),0)</f>
        <v>0</v>
      </c>
      <c r="J25" s="482">
        <f>IFERROR((Returns!B6*1.3*1.125-Returns!B7)/(Returns!B6*1.3*1.125),0)</f>
        <v>0</v>
      </c>
      <c r="K25" s="482">
        <f>IFERROR((Returns!B6*1.3*1.25-Returns!B7)/(Returns!B6*1.3*1.25),0)</f>
        <v>0</v>
      </c>
      <c r="L25" s="482">
        <f>IFERROR((Returns!B6*1.3*1.375-Returns!B7)/(Returns!B6*1.3*1.375),0)</f>
        <v>0</v>
      </c>
    </row>
    <row r="26" spans="1:12" ht="16.5" customHeight="1" x14ac:dyDescent="0.25">
      <c r="A26" s="489" t="s">
        <v>848</v>
      </c>
      <c r="B26" s="490" t="str">
        <f ca="1">Returns!B84</f>
        <v/>
      </c>
    </row>
    <row r="27" spans="1:12" ht="16.5" customHeight="1" x14ac:dyDescent="0.25">
      <c r="A27" s="476" t="s">
        <v>849</v>
      </c>
      <c r="B27" s="488" t="str">
        <f ca="1">Returns!B85</f>
        <v/>
      </c>
    </row>
    <row r="28" spans="1:12" ht="19.5" customHeight="1" x14ac:dyDescent="0.25">
      <c r="A28" s="489" t="s">
        <v>850</v>
      </c>
      <c r="B28" s="497" t="str">
        <f ca="1">Returns!B90</f>
        <v/>
      </c>
      <c r="E28" s="660" t="s">
        <v>851</v>
      </c>
      <c r="F28" s="627"/>
      <c r="G28" s="627"/>
      <c r="H28" s="627"/>
      <c r="I28" s="627"/>
      <c r="J28" s="627"/>
      <c r="K28" s="627"/>
      <c r="L28" s="627"/>
    </row>
    <row r="29" spans="1:12" ht="12.75" customHeight="1" x14ac:dyDescent="0.25">
      <c r="E29" s="667" t="s">
        <v>852</v>
      </c>
      <c r="F29" s="627"/>
      <c r="G29" s="627"/>
      <c r="H29" s="627"/>
      <c r="I29" s="627"/>
      <c r="J29" s="627"/>
      <c r="K29" s="627"/>
      <c r="L29" s="627"/>
    </row>
    <row r="30" spans="1:12" ht="27.75" customHeight="1" x14ac:dyDescent="0.25">
      <c r="A30" s="666" t="s">
        <v>853</v>
      </c>
      <c r="B30" s="627"/>
      <c r="E30" s="498" t="s">
        <v>854</v>
      </c>
      <c r="F30" s="499" t="s">
        <v>821</v>
      </c>
      <c r="G30" s="499" t="s">
        <v>822</v>
      </c>
      <c r="H30" s="499" t="s">
        <v>823</v>
      </c>
      <c r="I30" s="500" t="s">
        <v>824</v>
      </c>
      <c r="J30" s="499" t="s">
        <v>825</v>
      </c>
      <c r="K30" s="499" t="s">
        <v>826</v>
      </c>
      <c r="L30" s="499" t="s">
        <v>827</v>
      </c>
    </row>
    <row r="31" spans="1:12" ht="21.75" customHeight="1" x14ac:dyDescent="0.25">
      <c r="A31" s="668" t="s">
        <v>855</v>
      </c>
      <c r="B31" s="627"/>
      <c r="E31" s="501" t="s">
        <v>856</v>
      </c>
      <c r="F31" s="502" t="str">
        <f ca="1">IFERROR(NPV(0.08/12,Returns!C19:C78)*0.625,0)</f>
        <v/>
      </c>
      <c r="G31" s="502" t="str">
        <f ca="1">IFERROR(NPV(0.08/12,Returns!C19:C78)*0.75,0)</f>
        <v/>
      </c>
      <c r="H31" s="502" t="str">
        <f ca="1">IFERROR(NPV(0.08/12,Returns!C19:C78)*0.875,0)</f>
        <v/>
      </c>
      <c r="I31" s="502" t="str">
        <f ca="1">IFERROR(NPV(0.08/12,Returns!C19:C78)*1,0)</f>
        <v/>
      </c>
      <c r="J31" s="503" t="str">
        <f ca="1">IFERROR(NPV(0.08/12,Returns!C19:C78)*1.125,0)</f>
        <v/>
      </c>
      <c r="K31" s="502" t="str">
        <f ca="1">IFERROR(NPV(0.08/12,Returns!C19:C78)*1.25,0)</f>
        <v/>
      </c>
      <c r="L31" s="502" t="str">
        <f ca="1">IFERROR(NPV(0.08/12,Returns!C19:C78)*1.375,0)</f>
        <v/>
      </c>
    </row>
    <row r="32" spans="1:12" ht="21.75" customHeight="1" x14ac:dyDescent="0.25">
      <c r="A32" s="672" t="s">
        <v>857</v>
      </c>
      <c r="B32" s="627"/>
      <c r="E32" s="501" t="s">
        <v>858</v>
      </c>
      <c r="F32" s="502" t="str">
        <f ca="1">IFERROR(NPV(0.1/12,Returns!C19:C78)*0.625,0)</f>
        <v/>
      </c>
      <c r="G32" s="502" t="str">
        <f ca="1">IFERROR(NPV(0.1/12,Returns!C19:C78)*0.75,0)</f>
        <v/>
      </c>
      <c r="H32" s="502" t="str">
        <f ca="1">IFERROR(NPV(0.1/12,Returns!C19:C78)*0.875,0)</f>
        <v/>
      </c>
      <c r="I32" s="502" t="str">
        <f ca="1">IFERROR(NPV(0.1/12,Returns!C19:C78)*1,0)</f>
        <v/>
      </c>
      <c r="J32" s="503" t="str">
        <f ca="1">IFERROR(NPV(0.1/12,Returns!C19:C78)*1.125,0)</f>
        <v/>
      </c>
      <c r="K32" s="502" t="str">
        <f ca="1">IFERROR(NPV(0.1/12,Returns!C19:C78)*1.25,0)</f>
        <v/>
      </c>
      <c r="L32" s="502" t="str">
        <f ca="1">IFERROR(NPV(0.1/12,Returns!C19:C78)*1.375,0)</f>
        <v/>
      </c>
    </row>
    <row r="33" spans="1:12" ht="21.75" customHeight="1" x14ac:dyDescent="0.25">
      <c r="A33" s="671" t="s">
        <v>859</v>
      </c>
      <c r="B33" s="627"/>
      <c r="E33" s="501" t="s">
        <v>860</v>
      </c>
      <c r="F33" s="502" t="str">
        <f ca="1">IFERROR(NPV(0.12/12,Returns!C19:C78)*0.625,0)</f>
        <v/>
      </c>
      <c r="G33" s="502" t="str">
        <f ca="1">IFERROR(NPV(0.12/12,Returns!C19:C78)*0.75,0)</f>
        <v/>
      </c>
      <c r="H33" s="502" t="str">
        <f ca="1">IFERROR(NPV(0.12/12,Returns!C19:C78)*0.875,0)</f>
        <v/>
      </c>
      <c r="I33" s="502" t="str">
        <f ca="1">IFERROR(NPV(0.12/12,Returns!C19:C78)*1,0)</f>
        <v/>
      </c>
      <c r="J33" s="503" t="str">
        <f ca="1">IFERROR(NPV(0.12/12,Returns!C19:C78)*1.125,0)</f>
        <v/>
      </c>
      <c r="K33" s="502" t="str">
        <f ca="1">IFERROR(NPV(0.12/12,Returns!C19:C78)*1.25,0)</f>
        <v/>
      </c>
      <c r="L33" s="502" t="str">
        <f ca="1">IFERROR(NPV(0.12/12,Returns!C19:C78)*1.375,0)</f>
        <v/>
      </c>
    </row>
    <row r="34" spans="1:12" ht="21.75" customHeight="1" x14ac:dyDescent="0.25">
      <c r="A34" s="669" t="s">
        <v>861</v>
      </c>
      <c r="B34" s="627"/>
      <c r="E34" s="501" t="s">
        <v>862</v>
      </c>
      <c r="F34" s="502" t="str">
        <f ca="1">IFERROR(NPV(0.15/12,Returns!C19:C78)*0.625,0)</f>
        <v/>
      </c>
      <c r="G34" s="502" t="str">
        <f ca="1">IFERROR(NPV(0.15/12,Returns!C19:C78)*0.75,0)</f>
        <v/>
      </c>
      <c r="H34" s="502" t="str">
        <f ca="1">IFERROR(NPV(0.15/12,Returns!C19:C78)*0.875,0)</f>
        <v/>
      </c>
      <c r="I34" s="502" t="str">
        <f ca="1">IFERROR(NPV(0.15/12,Returns!C19:C78)*1,0)</f>
        <v/>
      </c>
      <c r="J34" s="503" t="str">
        <f ca="1">IFERROR(NPV(0.15/12,Returns!C19:C78)*1.125,0)</f>
        <v/>
      </c>
      <c r="K34" s="502" t="str">
        <f ca="1">IFERROR(NPV(0.15/12,Returns!C19:C78)*1.25,0)</f>
        <v/>
      </c>
      <c r="L34" s="502" t="str">
        <f ca="1">IFERROR(NPV(0.15/12,Returns!C19:C78)*1.375,0)</f>
        <v/>
      </c>
    </row>
    <row r="35" spans="1:12" ht="21.75" customHeight="1" x14ac:dyDescent="0.25">
      <c r="E35" s="504" t="s">
        <v>863</v>
      </c>
      <c r="F35" s="502" t="str">
        <f ca="1">IFERROR(NPV(0.16/12,Returns!C19:C78)*0.625,0)</f>
        <v/>
      </c>
      <c r="G35" s="502" t="str">
        <f ca="1">IFERROR(NPV(0.16/12,Returns!C19:C78)*0.75,0)</f>
        <v/>
      </c>
      <c r="H35" s="502" t="str">
        <f ca="1">IFERROR(NPV(0.16/12,Returns!C19:C78)*0.875,0)</f>
        <v/>
      </c>
      <c r="I35" s="502" t="str">
        <f ca="1">IFERROR(NPV(0.16/12,Returns!C19:C78)*1,0)</f>
        <v/>
      </c>
      <c r="J35" s="503" t="str">
        <f ca="1">IFERROR(NPV(0.16/12,Returns!C19:C78)*1.125,0)</f>
        <v/>
      </c>
      <c r="K35" s="502" t="str">
        <f ca="1">IFERROR(NPV(0.16/12,Returns!C19:C78)*1.25,0)</f>
        <v/>
      </c>
      <c r="L35" s="502" t="str">
        <f ca="1">IFERROR(NPV(0.16/12,Returns!C19:C78)*1.375,0)</f>
        <v/>
      </c>
    </row>
    <row r="36" spans="1:12" ht="21.75" customHeight="1" x14ac:dyDescent="0.25">
      <c r="E36" s="501" t="s">
        <v>864</v>
      </c>
      <c r="F36" s="502" t="str">
        <f ca="1">IFERROR(NPV(0.18/12,Returns!C19:C78)*0.625,0)</f>
        <v/>
      </c>
      <c r="G36" s="502" t="str">
        <f ca="1">IFERROR(NPV(0.18/12,Returns!C19:C78)*0.75,0)</f>
        <v/>
      </c>
      <c r="H36" s="502" t="str">
        <f ca="1">IFERROR(NPV(0.18/12,Returns!C19:C78)*0.875,0)</f>
        <v/>
      </c>
      <c r="I36" s="502" t="str">
        <f ca="1">IFERROR(NPV(0.18/12,Returns!C19:C78)*1,0)</f>
        <v/>
      </c>
      <c r="J36" s="503" t="str">
        <f ca="1">IFERROR(NPV(0.18/12,Returns!C19:C78)*1.125,0)</f>
        <v/>
      </c>
      <c r="K36" s="502" t="str">
        <f ca="1">IFERROR(NPV(0.18/12,Returns!C19:C78)*1.25,0)</f>
        <v/>
      </c>
      <c r="L36" s="502" t="str">
        <f ca="1">IFERROR(NPV(0.18/12,Returns!C19:C78)*1.375,0)</f>
        <v/>
      </c>
    </row>
    <row r="37" spans="1:12" ht="21.75" customHeight="1" x14ac:dyDescent="0.25">
      <c r="E37" s="501" t="s">
        <v>865</v>
      </c>
      <c r="F37" s="502" t="str">
        <f ca="1">IFERROR(NPV(0.2/12,Returns!C19:C78)*0.625,0)</f>
        <v/>
      </c>
      <c r="G37" s="502" t="str">
        <f ca="1">IFERROR(NPV(0.2/12,Returns!C19:C78)*0.75,0)</f>
        <v/>
      </c>
      <c r="H37" s="502" t="str">
        <f ca="1">IFERROR(NPV(0.2/12,Returns!C19:C78)*0.875,0)</f>
        <v/>
      </c>
      <c r="I37" s="502" t="str">
        <f ca="1">IFERROR(NPV(0.2/12,Returns!C19:C78)*1,0)</f>
        <v/>
      </c>
      <c r="J37" s="503" t="str">
        <f ca="1">IFERROR(NPV(0.2/12,Returns!C19:C78)*1.125,0)</f>
        <v/>
      </c>
      <c r="K37" s="502" t="str">
        <f ca="1">IFERROR(NPV(0.2/12,Returns!C19:C78)*1.25,0)</f>
        <v/>
      </c>
      <c r="L37" s="502" t="str">
        <f ca="1">IFERROR(NPV(0.2/12,Returns!C19:C78)*1.375,0)</f>
        <v/>
      </c>
    </row>
    <row r="40" spans="1:12" ht="19.5" customHeight="1" x14ac:dyDescent="0.25">
      <c r="E40" s="674" t="s">
        <v>866</v>
      </c>
      <c r="F40" s="627"/>
      <c r="G40" s="627"/>
      <c r="H40" s="627"/>
      <c r="I40" s="627"/>
      <c r="J40" s="627"/>
      <c r="K40" s="627"/>
    </row>
    <row r="41" spans="1:12" ht="12.75" customHeight="1" x14ac:dyDescent="0.25">
      <c r="E41" s="667" t="s">
        <v>867</v>
      </c>
      <c r="F41" s="627"/>
      <c r="G41" s="627"/>
      <c r="H41" s="627"/>
      <c r="I41" s="627"/>
      <c r="J41" s="627"/>
      <c r="K41" s="627"/>
    </row>
    <row r="42" spans="1:12" ht="27.75" customHeight="1" x14ac:dyDescent="0.25">
      <c r="E42" s="505" t="s">
        <v>868</v>
      </c>
      <c r="F42" s="506" t="s">
        <v>829</v>
      </c>
      <c r="G42" s="506" t="s">
        <v>831</v>
      </c>
      <c r="H42" s="506" t="s">
        <v>832</v>
      </c>
      <c r="I42" s="507" t="s">
        <v>834</v>
      </c>
      <c r="J42" s="506" t="s">
        <v>835</v>
      </c>
      <c r="K42" s="506" t="s">
        <v>837</v>
      </c>
    </row>
    <row r="43" spans="1:12" ht="21.75" customHeight="1" x14ac:dyDescent="0.25">
      <c r="E43" s="508" t="s">
        <v>869</v>
      </c>
      <c r="F43" s="482">
        <f>IFERROR((Returns!B6*0.7-(Returns!B7+Cashflow!B16*-0.3))/(Returns!B6*0.7),0)</f>
        <v>0</v>
      </c>
      <c r="G43" s="482">
        <f>IFERROR((Returns!B6*0.8-(Returns!B7+Cashflow!B16*-0.3))/(Returns!B6*0.8),0)</f>
        <v>0</v>
      </c>
      <c r="H43" s="482">
        <f>IFERROR((Returns!B6*0.9-(Returns!B7+Cashflow!B16*-0.3))/(Returns!B6*0.9),0)</f>
        <v>0</v>
      </c>
      <c r="I43" s="483">
        <f>IFERROR((Returns!B6*1-(Returns!B7+Cashflow!B16*-0.3))/(Returns!B6*1),0)</f>
        <v>0</v>
      </c>
      <c r="J43" s="482">
        <f>IFERROR((Returns!B6*1.1-(Returns!B7+Cashflow!B16*-0.3))/(Returns!B6*1.1),0)</f>
        <v>0</v>
      </c>
      <c r="K43" s="482">
        <f>IFERROR((Returns!B6*1.2-(Returns!B7+Cashflow!B16*-0.3))/(Returns!B6*1.2),0)</f>
        <v>0</v>
      </c>
    </row>
    <row r="44" spans="1:12" ht="21.75" customHeight="1" x14ac:dyDescent="0.25">
      <c r="E44" s="508" t="s">
        <v>870</v>
      </c>
      <c r="F44" s="482">
        <f>IFERROR((Returns!B6*0.7-(Returns!B7+Cashflow!B16*-0.2))/(Returns!B6*0.7),0)</f>
        <v>0</v>
      </c>
      <c r="G44" s="482">
        <f>IFERROR((Returns!B6*0.8-(Returns!B7+Cashflow!B16*-0.2))/(Returns!B6*0.8),0)</f>
        <v>0</v>
      </c>
      <c r="H44" s="482">
        <f>IFERROR((Returns!B6*0.9-(Returns!B7+Cashflow!B16*-0.2))/(Returns!B6*0.9),0)</f>
        <v>0</v>
      </c>
      <c r="I44" s="483">
        <f>IFERROR((Returns!B6*1-(Returns!B7+Cashflow!B16*-0.2))/(Returns!B6*1),0)</f>
        <v>0</v>
      </c>
      <c r="J44" s="482">
        <f>IFERROR((Returns!B6*1.1-(Returns!B7+Cashflow!B16*-0.2))/(Returns!B6*1.1),0)</f>
        <v>0</v>
      </c>
      <c r="K44" s="482">
        <f>IFERROR((Returns!B6*1.2-(Returns!B7+Cashflow!B16*-0.2))/(Returns!B6*1.2),0)</f>
        <v>0</v>
      </c>
    </row>
    <row r="45" spans="1:12" ht="21.75" customHeight="1" x14ac:dyDescent="0.25">
      <c r="E45" s="508" t="s">
        <v>871</v>
      </c>
      <c r="F45" s="482">
        <f>IFERROR((Returns!B6*0.7-(Returns!B7+Cashflow!B16*-0.1))/(Returns!B6*0.7),0)</f>
        <v>0</v>
      </c>
      <c r="G45" s="482">
        <f>IFERROR((Returns!B6*0.8-(Returns!B7+Cashflow!B16*-0.1))/(Returns!B6*0.8),0)</f>
        <v>0</v>
      </c>
      <c r="H45" s="482">
        <f>IFERROR((Returns!B6*0.9-(Returns!B7+Cashflow!B16*-0.1))/(Returns!B6*0.9),0)</f>
        <v>0</v>
      </c>
      <c r="I45" s="483">
        <f>IFERROR((Returns!B6*1-(Returns!B7+Cashflow!B16*-0.1))/(Returns!B6*1),0)</f>
        <v>0</v>
      </c>
      <c r="J45" s="482">
        <f>IFERROR((Returns!B6*1.1-(Returns!B7+Cashflow!B16*-0.1))/(Returns!B6*1.1),0)</f>
        <v>0</v>
      </c>
      <c r="K45" s="482">
        <f>IFERROR((Returns!B6*1.2-(Returns!B7+Cashflow!B16*-0.1))/(Returns!B6*1.2),0)</f>
        <v>0</v>
      </c>
    </row>
    <row r="46" spans="1:12" ht="21.75" customHeight="1" x14ac:dyDescent="0.25">
      <c r="E46" s="509" t="s">
        <v>872</v>
      </c>
      <c r="F46" s="482">
        <f>IFERROR((Returns!B6*0.7-(Returns!B7+Cashflow!B16*0))/(Returns!B6*0.7),0)</f>
        <v>0</v>
      </c>
      <c r="G46" s="482">
        <f>IFERROR((Returns!B6*0.8-(Returns!B7+Cashflow!B16*0))/(Returns!B6*0.8),0)</f>
        <v>0</v>
      </c>
      <c r="H46" s="482">
        <f>IFERROR((Returns!B6*0.9-(Returns!B7+Cashflow!B16*0))/(Returns!B6*0.9),0)</f>
        <v>0</v>
      </c>
      <c r="I46" s="483">
        <f>IFERROR((Returns!B6*1-(Returns!B7+Cashflow!B16*0))/(Returns!B6*1),0)</f>
        <v>0</v>
      </c>
      <c r="J46" s="482">
        <f>IFERROR((Returns!B6*1.1-(Returns!B7+Cashflow!B16*0))/(Returns!B6*1.1),0)</f>
        <v>0</v>
      </c>
      <c r="K46" s="482">
        <f>IFERROR((Returns!B6*1.2-(Returns!B7+Cashflow!B16*0))/(Returns!B6*1.2),0)</f>
        <v>0</v>
      </c>
    </row>
    <row r="47" spans="1:12" ht="21.75" customHeight="1" x14ac:dyDescent="0.25">
      <c r="E47" s="508" t="s">
        <v>873</v>
      </c>
      <c r="F47" s="482">
        <f>IFERROR((Returns!B6*0.7-(Returns!B7+Cashflow!B16*0.1))/(Returns!B6*0.7),0)</f>
        <v>0</v>
      </c>
      <c r="G47" s="482">
        <f>IFERROR((Returns!B6*0.8-(Returns!B7+Cashflow!B16*0.1))/(Returns!B6*0.8),0)</f>
        <v>0</v>
      </c>
      <c r="H47" s="482">
        <f>IFERROR((Returns!B6*0.9-(Returns!B7+Cashflow!B16*0.1))/(Returns!B6*0.9),0)</f>
        <v>0</v>
      </c>
      <c r="I47" s="483">
        <f>IFERROR((Returns!B6*1-(Returns!B7+Cashflow!B16*0.1))/(Returns!B6*1),0)</f>
        <v>0</v>
      </c>
      <c r="J47" s="482">
        <f>IFERROR((Returns!B6*1.1-(Returns!B7+Cashflow!B16*0.1))/(Returns!B6*1.1),0)</f>
        <v>0</v>
      </c>
      <c r="K47" s="482">
        <f>IFERROR((Returns!B6*1.2-(Returns!B7+Cashflow!B16*0.1))/(Returns!B6*1.2),0)</f>
        <v>0</v>
      </c>
    </row>
    <row r="48" spans="1:12" ht="21.75" customHeight="1" x14ac:dyDescent="0.25">
      <c r="E48" s="508" t="s">
        <v>874</v>
      </c>
      <c r="F48" s="482">
        <f>IFERROR((Returns!B6*0.7-(Returns!B7+Cashflow!B16*0.2))/(Returns!B6*0.7),0)</f>
        <v>0</v>
      </c>
      <c r="G48" s="482">
        <f>IFERROR((Returns!B6*0.8-(Returns!B7+Cashflow!B16*0.2))/(Returns!B6*0.8),0)</f>
        <v>0</v>
      </c>
      <c r="H48" s="482">
        <f>IFERROR((Returns!B6*0.9-(Returns!B7+Cashflow!B16*0.2))/(Returns!B6*0.9),0)</f>
        <v>0</v>
      </c>
      <c r="I48" s="483">
        <f>IFERROR((Returns!B6*1-(Returns!B7+Cashflow!B16*0.2))/(Returns!B6*1),0)</f>
        <v>0</v>
      </c>
      <c r="J48" s="482">
        <f>IFERROR((Returns!B6*1.1-(Returns!B7+Cashflow!B16*0.2))/(Returns!B6*1.1),0)</f>
        <v>0</v>
      </c>
      <c r="K48" s="482">
        <f>IFERROR((Returns!B6*1.2-(Returns!B7+Cashflow!B16*0.2))/(Returns!B6*1.2),0)</f>
        <v>0</v>
      </c>
    </row>
    <row r="51" spans="1:12" ht="19.5" customHeight="1" x14ac:dyDescent="0.25">
      <c r="E51" s="675" t="s">
        <v>875</v>
      </c>
      <c r="F51" s="627"/>
      <c r="G51" s="627"/>
      <c r="H51" s="627"/>
      <c r="I51" s="627"/>
      <c r="J51" s="627"/>
      <c r="K51" s="627"/>
      <c r="L51" s="627"/>
    </row>
    <row r="52" spans="1:12" ht="12.75" customHeight="1" x14ac:dyDescent="0.25">
      <c r="E52" s="667" t="s">
        <v>876</v>
      </c>
      <c r="F52" s="627"/>
      <c r="G52" s="627"/>
      <c r="H52" s="627"/>
      <c r="I52" s="627"/>
      <c r="J52" s="627"/>
      <c r="K52" s="627"/>
      <c r="L52" s="627"/>
    </row>
    <row r="53" spans="1:12" ht="27.75" customHeight="1" x14ac:dyDescent="0.25">
      <c r="E53" s="478" t="s">
        <v>877</v>
      </c>
      <c r="F53" s="478" t="s">
        <v>878</v>
      </c>
      <c r="G53" s="478" t="s">
        <v>879</v>
      </c>
      <c r="H53" s="478" t="s">
        <v>880</v>
      </c>
      <c r="I53" s="478" t="s">
        <v>881</v>
      </c>
      <c r="J53" s="478" t="s">
        <v>882</v>
      </c>
      <c r="K53" s="478" t="s">
        <v>883</v>
      </c>
      <c r="L53" s="478" t="s">
        <v>884</v>
      </c>
    </row>
    <row r="54" spans="1:12" ht="19.5" customHeight="1" x14ac:dyDescent="0.25">
      <c r="E54" s="510" t="s">
        <v>885</v>
      </c>
      <c r="F54" s="511">
        <f>Returns!B6</f>
        <v>0</v>
      </c>
      <c r="G54" s="511">
        <f>Returns!B6*0.7</f>
        <v>0</v>
      </c>
      <c r="H54" s="511">
        <f>Returns!B7-Cashflow!B15</f>
        <v>0</v>
      </c>
      <c r="I54" s="511">
        <f>MAX(0,(Returns!B6*0.7)*0.75-(Returns!B7-Cashflow!B15))</f>
        <v>0</v>
      </c>
      <c r="J54" s="511">
        <f>IFERROR(MAX(0,(Returns!B6*0.7)*0.75-(Returns!B7-Cashflow!B15))*1000/('Feasibility Study'!#REF!*43560),0)</f>
        <v>0</v>
      </c>
      <c r="K54" s="512">
        <f>IFERROR(MAX(0,(Returns!B6*0.7)*0.75-(Returns!B7-Cashflow!B15))/Cashflow!B15-1,0)</f>
        <v>0</v>
      </c>
      <c r="L54" s="510" t="str">
        <f>IF(MAX(0,(Returns!B6*0.7)*0.75-(Returns!B7-Cashflow!B15))&gt;Cashflow!B15,"Viable","Overpriced")</f>
        <v>Overpriced</v>
      </c>
    </row>
    <row r="55" spans="1:12" ht="19.5" customHeight="1" x14ac:dyDescent="0.25">
      <c r="E55" s="513" t="s">
        <v>886</v>
      </c>
      <c r="F55" s="514">
        <f>Returns!B6</f>
        <v>0</v>
      </c>
      <c r="G55" s="514">
        <f>Returns!B6*0.8</f>
        <v>0</v>
      </c>
      <c r="H55" s="514">
        <f>Returns!B7-Cashflow!B15</f>
        <v>0</v>
      </c>
      <c r="I55" s="514">
        <f>MAX(0,(Returns!B6*0.8)*0.75-(Returns!B7-Cashflow!B15))</f>
        <v>0</v>
      </c>
      <c r="J55" s="514">
        <f>IFERROR(MAX(0,(Returns!B6*0.8)*0.75-(Returns!B7-Cashflow!B15))*1000/('Feasibility Study'!#REF!*43560),0)</f>
        <v>0</v>
      </c>
      <c r="K55" s="515">
        <f>IFERROR(MAX(0,(Returns!B6*0.8)*0.75-(Returns!B7-Cashflow!B15))/Cashflow!B15-1,0)</f>
        <v>0</v>
      </c>
      <c r="L55" s="513" t="str">
        <f>IF(MAX(0,(Returns!B6*0.8)*0.75-(Returns!B7-Cashflow!B15))&gt;Cashflow!B15,"Viable","Overpriced")</f>
        <v>Overpriced</v>
      </c>
    </row>
    <row r="56" spans="1:12" ht="19.5" customHeight="1" x14ac:dyDescent="0.25">
      <c r="E56" s="510" t="s">
        <v>887</v>
      </c>
      <c r="F56" s="511">
        <f>Returns!B6</f>
        <v>0</v>
      </c>
      <c r="G56" s="511">
        <f>Returns!B6*0.9</f>
        <v>0</v>
      </c>
      <c r="H56" s="511">
        <f>Returns!B7-Cashflow!B15</f>
        <v>0</v>
      </c>
      <c r="I56" s="511">
        <f>MAX(0,(Returns!B6*0.9)*0.75-(Returns!B7-Cashflow!B15))</f>
        <v>0</v>
      </c>
      <c r="J56" s="511">
        <f>IFERROR(MAX(0,(Returns!B6*0.9)*0.75-(Returns!B7-Cashflow!B15))*1000/('Feasibility Study'!#REF!*43560),0)</f>
        <v>0</v>
      </c>
      <c r="K56" s="512">
        <f>IFERROR(MAX(0,(Returns!B6*0.9)*0.75-(Returns!B7-Cashflow!B15))/Cashflow!B15-1,0)</f>
        <v>0</v>
      </c>
      <c r="L56" s="510" t="str">
        <f>IF(MAX(0,(Returns!B6*0.9)*0.75-(Returns!B7-Cashflow!B15))&gt;Cashflow!B15,"Viable","Overpriced")</f>
        <v>Overpriced</v>
      </c>
    </row>
    <row r="57" spans="1:12" ht="19.5" customHeight="1" x14ac:dyDescent="0.25">
      <c r="E57" s="516" t="s">
        <v>888</v>
      </c>
      <c r="F57" s="517">
        <f>Returns!B6</f>
        <v>0</v>
      </c>
      <c r="G57" s="517">
        <f>Returns!B6*1</f>
        <v>0</v>
      </c>
      <c r="H57" s="517">
        <f>Returns!B7-Cashflow!B15</f>
        <v>0</v>
      </c>
      <c r="I57" s="517">
        <f>MAX(0,(Returns!B6*1)*0.75-(Returns!B7-Cashflow!B15))</f>
        <v>0</v>
      </c>
      <c r="J57" s="517">
        <f>IFERROR(MAX(0,(Returns!B6*1)*0.75-(Returns!B7-Cashflow!B15))*1000/('Feasibility Study'!#REF!*43560),0)</f>
        <v>0</v>
      </c>
      <c r="K57" s="518">
        <f>IFERROR(MAX(0,(Returns!B6*1)*0.75-(Returns!B7-Cashflow!B15))/Cashflow!B15-1,0)</f>
        <v>0</v>
      </c>
      <c r="L57" s="516" t="str">
        <f>IF(MAX(0,(Returns!B6*1)*0.75-(Returns!B7-Cashflow!B15))&gt;Cashflow!B15,"Viable","Overpriced")</f>
        <v>Overpriced</v>
      </c>
    </row>
    <row r="58" spans="1:12" ht="19.5" customHeight="1" x14ac:dyDescent="0.25">
      <c r="E58" s="510" t="s">
        <v>889</v>
      </c>
      <c r="F58" s="511">
        <f>Returns!B6</f>
        <v>0</v>
      </c>
      <c r="G58" s="511">
        <f>Returns!B6*1.1</f>
        <v>0</v>
      </c>
      <c r="H58" s="511">
        <f>Returns!B7-Cashflow!B15</f>
        <v>0</v>
      </c>
      <c r="I58" s="511">
        <f>MAX(0,(Returns!B6*1.1)*0.75-(Returns!B7-Cashflow!B15))</f>
        <v>0</v>
      </c>
      <c r="J58" s="511">
        <f>IFERROR(MAX(0,(Returns!B6*1.1)*0.75-(Returns!B7-Cashflow!B15))*1000/('Feasibility Study'!#REF!*43560),0)</f>
        <v>0</v>
      </c>
      <c r="K58" s="512">
        <f>IFERROR(MAX(0,(Returns!B6*1.1)*0.75-(Returns!B7-Cashflow!B15))/Cashflow!B15-1,0)</f>
        <v>0</v>
      </c>
      <c r="L58" s="510" t="str">
        <f>IF(MAX(0,(Returns!B6*1.1)*0.75-(Returns!B7-Cashflow!B15))&gt;Cashflow!B15,"Viable","Overpriced")</f>
        <v>Overpriced</v>
      </c>
    </row>
    <row r="59" spans="1:12" ht="19.5" customHeight="1" x14ac:dyDescent="0.25">
      <c r="E59" s="513" t="s">
        <v>890</v>
      </c>
      <c r="F59" s="514">
        <f>Returns!B6</f>
        <v>0</v>
      </c>
      <c r="G59" s="514">
        <f>Returns!B6*1.2</f>
        <v>0</v>
      </c>
      <c r="H59" s="514">
        <f>Returns!B7-Cashflow!B15</f>
        <v>0</v>
      </c>
      <c r="I59" s="514">
        <f>MAX(0,(Returns!B6*1.2)*0.75-(Returns!B7-Cashflow!B15))</f>
        <v>0</v>
      </c>
      <c r="J59" s="514">
        <f>IFERROR(MAX(0,(Returns!B6*1.2)*0.75-(Returns!B7-Cashflow!B15))*1000/('Feasibility Study'!#REF!*43560),0)</f>
        <v>0</v>
      </c>
      <c r="K59" s="515">
        <f>IFERROR(MAX(0,(Returns!B6*1.2)*0.75-(Returns!B7-Cashflow!B15))/Cashflow!B15-1,0)</f>
        <v>0</v>
      </c>
      <c r="L59" s="513" t="str">
        <f>IF(MAX(0,(Returns!B6*1.2)*0.75-(Returns!B7-Cashflow!B15))&gt;Cashflow!B15,"Viable","Overpriced")</f>
        <v>Overpriced</v>
      </c>
    </row>
    <row r="62" spans="1:12" ht="51.75" customHeight="1" x14ac:dyDescent="0.25">
      <c r="A62" s="667" t="s">
        <v>891</v>
      </c>
      <c r="B62" s="627"/>
      <c r="C62" s="627"/>
      <c r="D62" s="627"/>
      <c r="E62" s="627"/>
      <c r="F62" s="627"/>
      <c r="G62" s="627"/>
      <c r="H62" s="627"/>
      <c r="I62" s="627"/>
      <c r="J62" s="627"/>
      <c r="K62" s="627"/>
      <c r="L62" s="627"/>
    </row>
  </sheetData>
  <mergeCells count="21">
    <mergeCell ref="A1:L1"/>
    <mergeCell ref="E16:L16"/>
    <mergeCell ref="A31:B31"/>
    <mergeCell ref="A34:B34"/>
    <mergeCell ref="A62:L62"/>
    <mergeCell ref="A12:B12"/>
    <mergeCell ref="A33:B33"/>
    <mergeCell ref="A32:B32"/>
    <mergeCell ref="A23:B23"/>
    <mergeCell ref="E40:K40"/>
    <mergeCell ref="A2:L2"/>
    <mergeCell ref="E4:L4"/>
    <mergeCell ref="E29:L29"/>
    <mergeCell ref="E51:L51"/>
    <mergeCell ref="E28:L28"/>
    <mergeCell ref="A4:B4"/>
    <mergeCell ref="A30:B30"/>
    <mergeCell ref="E52:L52"/>
    <mergeCell ref="E5:L5"/>
    <mergeCell ref="E41:K41"/>
    <mergeCell ref="E17:L17"/>
  </mergeCells>
  <conditionalFormatting sqref="F43:K48">
    <cfRule type="colorScale" priority="5">
      <colorScale>
        <cfvo type="num" val="0.05"/>
        <cfvo type="num" val="0.17499999999999999"/>
        <cfvo type="num" val="0.35"/>
        <color rgb="FFFFC7CE"/>
        <color rgb="FFFFEB9C"/>
        <color rgb="FFC6EFCE"/>
      </colorScale>
    </cfRule>
  </conditionalFormatting>
  <conditionalFormatting sqref="F7:L13">
    <cfRule type="colorScale" priority="2">
      <colorScale>
        <cfvo type="num" val="0.05"/>
        <cfvo type="num" val="0.14000000000000001"/>
        <cfvo type="num" val="0.25"/>
        <color rgb="FFFFC7CE"/>
        <color rgb="FFFFEB9C"/>
        <color rgb="FFC6EFCE"/>
      </colorScale>
    </cfRule>
  </conditionalFormatting>
  <conditionalFormatting sqref="F19:L25">
    <cfRule type="colorScale" priority="3">
      <colorScale>
        <cfvo type="num" val="0.05"/>
        <cfvo type="num" val="0.17499999999999999"/>
        <cfvo type="num" val="0.35"/>
        <color rgb="FFFFC7CE"/>
        <color rgb="FFFFEB9C"/>
        <color rgb="FFC6EFCE"/>
      </colorScale>
    </cfRule>
  </conditionalFormatting>
  <conditionalFormatting sqref="F31:L37">
    <cfRule type="colorScale" priority="4">
      <colorScale>
        <cfvo type="num" val="-50000"/>
        <cfvo type="num" val="0"/>
        <cfvo type="num" val="50000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375623"/>
  </sheetPr>
  <dimension ref="A1:U15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3.2" x14ac:dyDescent="0.25"/>
  <cols>
    <col min="1" max="1" width="38" customWidth="1"/>
    <col min="2" max="2" width="16" customWidth="1"/>
    <col min="3" max="3" width="3" customWidth="1"/>
    <col min="4" max="4" width="24" customWidth="1"/>
    <col min="5" max="10" width="12" customWidth="1"/>
    <col min="11" max="11" width="24" customWidth="1"/>
    <col min="12" max="15" width="13" customWidth="1"/>
    <col min="16" max="16" width="32" customWidth="1"/>
    <col min="17" max="21" width="12" customWidth="1"/>
  </cols>
  <sheetData>
    <row r="1" spans="1:15" ht="31.5" customHeight="1" x14ac:dyDescent="0.25">
      <c r="A1" s="659" t="s">
        <v>892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</row>
    <row r="2" spans="1:15" ht="15.75" customHeight="1" x14ac:dyDescent="0.25">
      <c r="A2" s="664" t="s">
        <v>893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</row>
    <row r="4" spans="1:15" ht="15" customHeight="1" x14ac:dyDescent="0.25">
      <c r="A4" s="663" t="s">
        <v>894</v>
      </c>
      <c r="B4" s="627"/>
      <c r="C4" s="627"/>
      <c r="D4" s="627"/>
      <c r="E4" s="627"/>
      <c r="F4" s="627"/>
      <c r="G4" s="627"/>
      <c r="H4" s="627"/>
      <c r="I4" s="627"/>
      <c r="J4" s="627"/>
    </row>
    <row r="5" spans="1:15" ht="15" customHeight="1" x14ac:dyDescent="0.25">
      <c r="A5" s="437" t="s">
        <v>732</v>
      </c>
      <c r="B5" s="519" t="str">
        <f ca="1">'Feasibility Study'!AY65/1000</f>
        <v/>
      </c>
    </row>
    <row r="6" spans="1:15" ht="15" customHeight="1" x14ac:dyDescent="0.25">
      <c r="A6" s="520" t="s">
        <v>733</v>
      </c>
      <c r="B6" s="521">
        <f>'Feasibility Study'!AY73/1000</f>
        <v>0</v>
      </c>
    </row>
    <row r="7" spans="1:15" ht="15" customHeight="1" x14ac:dyDescent="0.25">
      <c r="A7" s="437" t="s">
        <v>895</v>
      </c>
      <c r="B7" s="519">
        <f>'Feasibility Study'!AY157/1000</f>
        <v>0</v>
      </c>
    </row>
    <row r="8" spans="1:15" ht="15" customHeight="1" x14ac:dyDescent="0.25">
      <c r="A8" s="520" t="s">
        <v>896</v>
      </c>
      <c r="B8" s="521">
        <f>'Feasibility Study'!AY170/1000</f>
        <v>0</v>
      </c>
    </row>
    <row r="9" spans="1:15" ht="15" customHeight="1" x14ac:dyDescent="0.25">
      <c r="A9" s="437" t="s">
        <v>841</v>
      </c>
      <c r="B9" s="522">
        <f>IF(B6=0,0,B8/B6)</f>
        <v>0</v>
      </c>
    </row>
    <row r="10" spans="1:15" ht="15" customHeight="1" x14ac:dyDescent="0.25">
      <c r="A10" s="520" t="s">
        <v>736</v>
      </c>
      <c r="B10" s="521">
        <f>'Feasibility Study'!AY82/1000</f>
        <v>0</v>
      </c>
    </row>
    <row r="11" spans="1:15" ht="15" customHeight="1" x14ac:dyDescent="0.25">
      <c r="A11" s="437" t="s">
        <v>737</v>
      </c>
      <c r="B11" s="519" t="e">
        <f>'Feasibility Study'!AY87/1000</f>
        <v>#DIV/0!</v>
      </c>
    </row>
    <row r="12" spans="1:15" ht="15" customHeight="1" x14ac:dyDescent="0.25">
      <c r="A12" s="520" t="s">
        <v>897</v>
      </c>
      <c r="B12" s="521" t="str">
        <f ca="1">Cashflow!BK98</f>
        <v/>
      </c>
    </row>
    <row r="13" spans="1:15" ht="15" customHeight="1" x14ac:dyDescent="0.25">
      <c r="A13" s="437" t="s">
        <v>729</v>
      </c>
      <c r="B13" s="523" t="str">
        <f>Cashflow!B8</f>
        <v>BRDB Land Development</v>
      </c>
    </row>
    <row r="16" spans="1:15" ht="15" customHeight="1" x14ac:dyDescent="0.25">
      <c r="A16" s="663" t="s">
        <v>898</v>
      </c>
      <c r="B16" s="627"/>
      <c r="C16" s="627"/>
      <c r="D16" s="627"/>
      <c r="E16" s="627"/>
      <c r="F16" s="627"/>
      <c r="G16" s="627"/>
      <c r="H16" s="627"/>
      <c r="I16" s="627"/>
      <c r="J16" s="627"/>
    </row>
    <row r="17" spans="1:10" ht="15" customHeight="1" x14ac:dyDescent="0.25">
      <c r="A17" s="661" t="s">
        <v>899</v>
      </c>
      <c r="B17" s="627"/>
      <c r="C17" s="627"/>
      <c r="D17" s="627"/>
      <c r="E17" s="627"/>
      <c r="F17" s="627"/>
      <c r="G17" s="627"/>
      <c r="H17" s="627"/>
      <c r="I17" s="627"/>
      <c r="J17" s="627"/>
    </row>
    <row r="18" spans="1:10" ht="15" customHeight="1" x14ac:dyDescent="0.25">
      <c r="A18" s="443" t="s">
        <v>900</v>
      </c>
      <c r="B18" s="443" t="s">
        <v>901</v>
      </c>
      <c r="C18" s="443" t="s">
        <v>902</v>
      </c>
      <c r="D18" s="443" t="s">
        <v>903</v>
      </c>
    </row>
    <row r="19" spans="1:10" ht="15" customHeight="1" x14ac:dyDescent="0.25">
      <c r="A19" s="510" t="s">
        <v>904</v>
      </c>
      <c r="B19" s="524">
        <v>46023</v>
      </c>
      <c r="C19" s="525" t="str">
        <f ca="1">Cashflow!C97</f>
        <v/>
      </c>
      <c r="D19" s="525" t="str">
        <f ca="1">Cashflow!C98</f>
        <v/>
      </c>
    </row>
    <row r="20" spans="1:10" ht="15" customHeight="1" x14ac:dyDescent="0.25">
      <c r="A20" s="513" t="s">
        <v>905</v>
      </c>
      <c r="B20" s="526">
        <v>46054</v>
      </c>
      <c r="C20" s="527" t="str">
        <f ca="1">Cashflow!D97</f>
        <v/>
      </c>
      <c r="D20" s="527" t="str">
        <f ca="1">Cashflow!D98</f>
        <v/>
      </c>
    </row>
    <row r="21" spans="1:10" ht="15" customHeight="1" x14ac:dyDescent="0.25">
      <c r="A21" s="510" t="s">
        <v>906</v>
      </c>
      <c r="B21" s="524">
        <v>46082</v>
      </c>
      <c r="C21" s="525" t="str">
        <f ca="1">Cashflow!E97</f>
        <v/>
      </c>
      <c r="D21" s="525" t="str">
        <f ca="1">Cashflow!E98</f>
        <v/>
      </c>
    </row>
    <row r="22" spans="1:10" ht="15" customHeight="1" x14ac:dyDescent="0.25">
      <c r="A22" s="513" t="s">
        <v>907</v>
      </c>
      <c r="B22" s="526">
        <v>46113</v>
      </c>
      <c r="C22" s="527" t="str">
        <f ca="1">Cashflow!F97</f>
        <v/>
      </c>
      <c r="D22" s="527" t="str">
        <f ca="1">Cashflow!F98</f>
        <v/>
      </c>
    </row>
    <row r="23" spans="1:10" ht="15" customHeight="1" x14ac:dyDescent="0.25">
      <c r="A23" s="510" t="s">
        <v>908</v>
      </c>
      <c r="B23" s="524">
        <v>46143</v>
      </c>
      <c r="C23" s="525" t="str">
        <f ca="1">Cashflow!G97</f>
        <v/>
      </c>
      <c r="D23" s="525" t="str">
        <f ca="1">Cashflow!G98</f>
        <v/>
      </c>
    </row>
    <row r="24" spans="1:10" ht="15" customHeight="1" x14ac:dyDescent="0.25">
      <c r="A24" s="513" t="s">
        <v>909</v>
      </c>
      <c r="B24" s="526">
        <v>46174</v>
      </c>
      <c r="C24" s="527" t="str">
        <f ca="1">Cashflow!H97</f>
        <v/>
      </c>
      <c r="D24" s="527" t="str">
        <f ca="1">Cashflow!H98</f>
        <v/>
      </c>
    </row>
    <row r="25" spans="1:10" ht="15" customHeight="1" x14ac:dyDescent="0.25">
      <c r="A25" s="510" t="s">
        <v>910</v>
      </c>
      <c r="B25" s="524">
        <v>46204</v>
      </c>
      <c r="C25" s="525" t="str">
        <f ca="1">Cashflow!I97</f>
        <v/>
      </c>
      <c r="D25" s="525" t="str">
        <f ca="1">Cashflow!I98</f>
        <v/>
      </c>
    </row>
    <row r="26" spans="1:10" ht="15" customHeight="1" x14ac:dyDescent="0.25">
      <c r="A26" s="513" t="s">
        <v>911</v>
      </c>
      <c r="B26" s="526">
        <v>46235</v>
      </c>
      <c r="C26" s="527" t="str">
        <f ca="1">Cashflow!J97</f>
        <v/>
      </c>
      <c r="D26" s="527" t="str">
        <f ca="1">Cashflow!J98</f>
        <v/>
      </c>
    </row>
    <row r="27" spans="1:10" ht="15" customHeight="1" x14ac:dyDescent="0.25">
      <c r="A27" s="510" t="s">
        <v>912</v>
      </c>
      <c r="B27" s="524">
        <v>46266</v>
      </c>
      <c r="C27" s="525" t="str">
        <f ca="1">Cashflow!K97</f>
        <v/>
      </c>
      <c r="D27" s="525" t="str">
        <f ca="1">Cashflow!K98</f>
        <v/>
      </c>
    </row>
    <row r="28" spans="1:10" ht="15" customHeight="1" x14ac:dyDescent="0.25">
      <c r="A28" s="513" t="s">
        <v>913</v>
      </c>
      <c r="B28" s="526">
        <v>46296</v>
      </c>
      <c r="C28" s="527" t="str">
        <f ca="1">Cashflow!L97</f>
        <v/>
      </c>
      <c r="D28" s="527" t="str">
        <f ca="1">Cashflow!L98</f>
        <v/>
      </c>
    </row>
    <row r="29" spans="1:10" ht="15" customHeight="1" x14ac:dyDescent="0.25">
      <c r="A29" s="510" t="s">
        <v>914</v>
      </c>
      <c r="B29" s="524">
        <v>46327</v>
      </c>
      <c r="C29" s="525" t="str">
        <f ca="1">Cashflow!M97</f>
        <v/>
      </c>
      <c r="D29" s="525" t="str">
        <f ca="1">Cashflow!M98</f>
        <v/>
      </c>
    </row>
    <row r="30" spans="1:10" ht="15" customHeight="1" x14ac:dyDescent="0.25">
      <c r="A30" s="513" t="s">
        <v>915</v>
      </c>
      <c r="B30" s="526">
        <v>46357</v>
      </c>
      <c r="C30" s="527" t="str">
        <f ca="1">Cashflow!N97</f>
        <v/>
      </c>
      <c r="D30" s="527" t="str">
        <f ca="1">Cashflow!N98</f>
        <v/>
      </c>
    </row>
    <row r="31" spans="1:10" ht="15" customHeight="1" x14ac:dyDescent="0.25">
      <c r="A31" s="510" t="s">
        <v>916</v>
      </c>
      <c r="B31" s="524">
        <v>46388</v>
      </c>
      <c r="C31" s="525" t="str">
        <f ca="1">Cashflow!O97</f>
        <v/>
      </c>
      <c r="D31" s="525" t="str">
        <f ca="1">Cashflow!O98</f>
        <v/>
      </c>
    </row>
    <row r="32" spans="1:10" ht="15" customHeight="1" x14ac:dyDescent="0.25">
      <c r="A32" s="513" t="s">
        <v>917</v>
      </c>
      <c r="B32" s="526">
        <v>46419</v>
      </c>
      <c r="C32" s="527" t="str">
        <f ca="1">Cashflow!P97</f>
        <v/>
      </c>
      <c r="D32" s="527" t="str">
        <f ca="1">Cashflow!P98</f>
        <v/>
      </c>
    </row>
    <row r="33" spans="1:10" ht="15" customHeight="1" x14ac:dyDescent="0.25">
      <c r="A33" s="510" t="s">
        <v>918</v>
      </c>
      <c r="B33" s="524">
        <v>46447</v>
      </c>
      <c r="C33" s="525" t="str">
        <f ca="1">Cashflow!Q97</f>
        <v/>
      </c>
      <c r="D33" s="525" t="str">
        <f ca="1">Cashflow!Q98</f>
        <v/>
      </c>
    </row>
    <row r="34" spans="1:10" ht="15" customHeight="1" x14ac:dyDescent="0.25">
      <c r="A34" s="513" t="s">
        <v>919</v>
      </c>
      <c r="B34" s="526">
        <v>46478</v>
      </c>
      <c r="C34" s="527" t="str">
        <f ca="1">Cashflow!R97</f>
        <v/>
      </c>
      <c r="D34" s="527" t="str">
        <f ca="1">Cashflow!R98</f>
        <v/>
      </c>
    </row>
    <row r="35" spans="1:10" ht="15" customHeight="1" x14ac:dyDescent="0.25">
      <c r="A35" s="510" t="s">
        <v>920</v>
      </c>
      <c r="B35" s="524">
        <v>46508</v>
      </c>
      <c r="C35" s="525" t="str">
        <f ca="1">Cashflow!S97</f>
        <v/>
      </c>
      <c r="D35" s="525" t="str">
        <f ca="1">Cashflow!S98</f>
        <v/>
      </c>
    </row>
    <row r="36" spans="1:10" ht="15" customHeight="1" x14ac:dyDescent="0.25">
      <c r="A36" s="513" t="s">
        <v>921</v>
      </c>
      <c r="B36" s="526">
        <v>46539</v>
      </c>
      <c r="C36" s="527" t="str">
        <f ca="1">Cashflow!T97</f>
        <v/>
      </c>
      <c r="D36" s="527" t="str">
        <f ca="1">Cashflow!T98</f>
        <v/>
      </c>
    </row>
    <row r="37" spans="1:10" ht="15" customHeight="1" x14ac:dyDescent="0.25">
      <c r="A37" s="510" t="s">
        <v>922</v>
      </c>
      <c r="B37" s="524">
        <v>46569</v>
      </c>
      <c r="C37" s="525" t="str">
        <f ca="1">Cashflow!U97</f>
        <v/>
      </c>
      <c r="D37" s="525" t="str">
        <f ca="1">Cashflow!U98</f>
        <v/>
      </c>
    </row>
    <row r="38" spans="1:10" ht="15" customHeight="1" x14ac:dyDescent="0.25">
      <c r="A38" s="513" t="s">
        <v>923</v>
      </c>
      <c r="B38" s="526">
        <v>46600</v>
      </c>
      <c r="C38" s="527" t="str">
        <f ca="1">Cashflow!V97</f>
        <v/>
      </c>
      <c r="D38" s="527" t="str">
        <f ca="1">Cashflow!V98</f>
        <v/>
      </c>
    </row>
    <row r="39" spans="1:10" ht="15" customHeight="1" x14ac:dyDescent="0.25">
      <c r="A39" s="510" t="s">
        <v>924</v>
      </c>
      <c r="B39" s="524">
        <v>46631</v>
      </c>
      <c r="C39" s="525" t="str">
        <f ca="1">Cashflow!W97</f>
        <v/>
      </c>
      <c r="D39" s="525" t="str">
        <f ca="1">Cashflow!W98</f>
        <v/>
      </c>
    </row>
    <row r="40" spans="1:10" ht="15" customHeight="1" x14ac:dyDescent="0.25">
      <c r="A40" s="677" t="s">
        <v>925</v>
      </c>
      <c r="B40" s="627"/>
      <c r="C40" s="627"/>
      <c r="D40" s="627"/>
      <c r="E40" s="627"/>
      <c r="F40" s="627"/>
      <c r="G40" s="627"/>
      <c r="H40" s="627"/>
      <c r="I40" s="627"/>
      <c r="J40" s="627"/>
    </row>
    <row r="41" spans="1:10" ht="15" customHeight="1" x14ac:dyDescent="0.25">
      <c r="A41" s="510" t="s">
        <v>926</v>
      </c>
      <c r="B41" s="524">
        <v>46692</v>
      </c>
      <c r="C41" s="525" t="str">
        <f ca="1">Cashflow!Y97</f>
        <v/>
      </c>
      <c r="D41" s="525" t="str">
        <f ca="1">Cashflow!Y98</f>
        <v/>
      </c>
    </row>
    <row r="42" spans="1:10" ht="15" customHeight="1" x14ac:dyDescent="0.25">
      <c r="A42" s="513" t="s">
        <v>927</v>
      </c>
      <c r="B42" s="526">
        <v>46722</v>
      </c>
      <c r="C42" s="527" t="str">
        <f ca="1">Cashflow!Z97</f>
        <v/>
      </c>
      <c r="D42" s="527" t="str">
        <f ca="1">Cashflow!Z98</f>
        <v/>
      </c>
    </row>
    <row r="43" spans="1:10" ht="15" customHeight="1" x14ac:dyDescent="0.25">
      <c r="A43" s="510" t="s">
        <v>928</v>
      </c>
      <c r="B43" s="524">
        <v>46753</v>
      </c>
      <c r="C43" s="525" t="str">
        <f ca="1">Cashflow!AA97</f>
        <v/>
      </c>
      <c r="D43" s="525" t="str">
        <f ca="1">Cashflow!AA98</f>
        <v/>
      </c>
    </row>
    <row r="44" spans="1:10" ht="15" customHeight="1" x14ac:dyDescent="0.25">
      <c r="A44" s="513" t="s">
        <v>929</v>
      </c>
      <c r="B44" s="526">
        <v>46784</v>
      </c>
      <c r="C44" s="527" t="str">
        <f ca="1">Cashflow!AB97</f>
        <v/>
      </c>
      <c r="D44" s="527" t="str">
        <f ca="1">Cashflow!AB98</f>
        <v/>
      </c>
    </row>
    <row r="45" spans="1:10" ht="15" customHeight="1" x14ac:dyDescent="0.25">
      <c r="A45" s="510" t="s">
        <v>930</v>
      </c>
      <c r="B45" s="524">
        <v>46813</v>
      </c>
      <c r="C45" s="525" t="str">
        <f ca="1">Cashflow!AC97</f>
        <v/>
      </c>
      <c r="D45" s="525" t="str">
        <f ca="1">Cashflow!AC98</f>
        <v/>
      </c>
    </row>
    <row r="46" spans="1:10" ht="15" customHeight="1" x14ac:dyDescent="0.25">
      <c r="A46" s="513" t="s">
        <v>931</v>
      </c>
      <c r="B46" s="526">
        <v>46844</v>
      </c>
      <c r="C46" s="527" t="str">
        <f ca="1">Cashflow!AD97</f>
        <v/>
      </c>
      <c r="D46" s="527" t="str">
        <f ca="1">Cashflow!AD98</f>
        <v/>
      </c>
    </row>
    <row r="47" spans="1:10" ht="15" customHeight="1" x14ac:dyDescent="0.25">
      <c r="A47" s="510" t="s">
        <v>932</v>
      </c>
      <c r="B47" s="524">
        <v>46874</v>
      </c>
      <c r="C47" s="525" t="str">
        <f ca="1">Cashflow!AE97</f>
        <v/>
      </c>
      <c r="D47" s="525" t="str">
        <f ca="1">Cashflow!AE98</f>
        <v/>
      </c>
    </row>
    <row r="48" spans="1:10" ht="15" customHeight="1" x14ac:dyDescent="0.25">
      <c r="A48" s="513" t="s">
        <v>933</v>
      </c>
      <c r="B48" s="526">
        <v>46905</v>
      </c>
      <c r="C48" s="527" t="str">
        <f ca="1">Cashflow!AF97</f>
        <v/>
      </c>
      <c r="D48" s="527" t="str">
        <f ca="1">Cashflow!AF98</f>
        <v/>
      </c>
    </row>
    <row r="49" spans="1:10" ht="15" customHeight="1" x14ac:dyDescent="0.25">
      <c r="A49" s="510" t="s">
        <v>934</v>
      </c>
      <c r="B49" s="524">
        <v>46935</v>
      </c>
      <c r="C49" s="525" t="str">
        <f ca="1">Cashflow!AG97</f>
        <v/>
      </c>
      <c r="D49" s="525" t="str">
        <f ca="1">Cashflow!AG98</f>
        <v/>
      </c>
    </row>
    <row r="50" spans="1:10" ht="15" customHeight="1" x14ac:dyDescent="0.25">
      <c r="A50" s="513" t="s">
        <v>935</v>
      </c>
      <c r="B50" s="526">
        <v>46966</v>
      </c>
      <c r="C50" s="527" t="str">
        <f ca="1">Cashflow!AH97</f>
        <v/>
      </c>
      <c r="D50" s="527" t="str">
        <f ca="1">Cashflow!AH98</f>
        <v/>
      </c>
    </row>
    <row r="51" spans="1:10" ht="15" customHeight="1" x14ac:dyDescent="0.25">
      <c r="A51" s="510" t="s">
        <v>936</v>
      </c>
      <c r="B51" s="524">
        <v>46997</v>
      </c>
      <c r="C51" s="525" t="str">
        <f ca="1">Cashflow!AI97</f>
        <v/>
      </c>
      <c r="D51" s="525" t="str">
        <f ca="1">Cashflow!AI98</f>
        <v/>
      </c>
    </row>
    <row r="52" spans="1:10" ht="15" customHeight="1" x14ac:dyDescent="0.25">
      <c r="A52" s="513" t="s">
        <v>937</v>
      </c>
      <c r="B52" s="526">
        <v>47027</v>
      </c>
      <c r="C52" s="527" t="str">
        <f ca="1">Cashflow!AJ97</f>
        <v/>
      </c>
      <c r="D52" s="527" t="str">
        <f ca="1">Cashflow!AJ98</f>
        <v/>
      </c>
    </row>
    <row r="53" spans="1:10" ht="15" customHeight="1" x14ac:dyDescent="0.25">
      <c r="A53" s="676" t="s">
        <v>938</v>
      </c>
      <c r="B53" s="627"/>
      <c r="C53" s="627"/>
      <c r="D53" s="627"/>
      <c r="E53" s="627"/>
      <c r="F53" s="627"/>
      <c r="G53" s="627"/>
      <c r="H53" s="627"/>
      <c r="I53" s="627"/>
      <c r="J53" s="627"/>
    </row>
    <row r="54" spans="1:10" ht="15" customHeight="1" x14ac:dyDescent="0.25">
      <c r="A54" s="677" t="s">
        <v>939</v>
      </c>
      <c r="B54" s="627"/>
      <c r="C54" s="627"/>
      <c r="D54" s="627"/>
      <c r="E54" s="627"/>
      <c r="F54" s="627"/>
      <c r="G54" s="627"/>
      <c r="H54" s="627"/>
      <c r="I54" s="627"/>
      <c r="J54" s="627"/>
    </row>
    <row r="55" spans="1:10" ht="15" customHeight="1" x14ac:dyDescent="0.25">
      <c r="A55" s="510" t="s">
        <v>940</v>
      </c>
      <c r="B55" s="524">
        <v>47119</v>
      </c>
      <c r="C55" s="525" t="str">
        <f ca="1">Cashflow!AM97</f>
        <v/>
      </c>
      <c r="D55" s="525" t="str">
        <f ca="1">Cashflow!AM98</f>
        <v/>
      </c>
    </row>
    <row r="56" spans="1:10" ht="15" customHeight="1" x14ac:dyDescent="0.25">
      <c r="A56" s="513" t="s">
        <v>941</v>
      </c>
      <c r="B56" s="526">
        <v>47150</v>
      </c>
      <c r="C56" s="527" t="str">
        <f ca="1">Cashflow!AN97</f>
        <v/>
      </c>
      <c r="D56" s="527" t="str">
        <f ca="1">Cashflow!AN98</f>
        <v/>
      </c>
    </row>
    <row r="57" spans="1:10" ht="15" customHeight="1" x14ac:dyDescent="0.25">
      <c r="A57" s="510" t="s">
        <v>942</v>
      </c>
      <c r="B57" s="524">
        <v>47178</v>
      </c>
      <c r="C57" s="525" t="str">
        <f ca="1">Cashflow!AO97</f>
        <v/>
      </c>
      <c r="D57" s="525" t="str">
        <f ca="1">Cashflow!AO98</f>
        <v/>
      </c>
    </row>
    <row r="58" spans="1:10" ht="15" customHeight="1" x14ac:dyDescent="0.25">
      <c r="A58" s="513" t="s">
        <v>943</v>
      </c>
      <c r="B58" s="526">
        <v>47209</v>
      </c>
      <c r="C58" s="527" t="str">
        <f ca="1">Cashflow!AP97</f>
        <v/>
      </c>
      <c r="D58" s="527" t="str">
        <f ca="1">Cashflow!AP98</f>
        <v/>
      </c>
    </row>
    <row r="59" spans="1:10" ht="15" customHeight="1" x14ac:dyDescent="0.25">
      <c r="A59" s="510" t="s">
        <v>944</v>
      </c>
      <c r="B59" s="524">
        <v>47239</v>
      </c>
      <c r="C59" s="525" t="str">
        <f ca="1">Cashflow!AQ97</f>
        <v/>
      </c>
      <c r="D59" s="525" t="str">
        <f ca="1">Cashflow!AQ98</f>
        <v/>
      </c>
    </row>
    <row r="60" spans="1:10" ht="15" customHeight="1" x14ac:dyDescent="0.25">
      <c r="A60" s="513" t="s">
        <v>945</v>
      </c>
      <c r="B60" s="526">
        <v>47270</v>
      </c>
      <c r="C60" s="527" t="str">
        <f ca="1">Cashflow!AR97</f>
        <v/>
      </c>
      <c r="D60" s="527" t="str">
        <f ca="1">Cashflow!AR98</f>
        <v/>
      </c>
    </row>
    <row r="61" spans="1:10" ht="15" customHeight="1" x14ac:dyDescent="0.25">
      <c r="A61" s="510" t="s">
        <v>946</v>
      </c>
      <c r="B61" s="524">
        <v>47300</v>
      </c>
      <c r="C61" s="525" t="str">
        <f ca="1">Cashflow!AS97</f>
        <v/>
      </c>
      <c r="D61" s="525" t="str">
        <f ca="1">Cashflow!AS98</f>
        <v/>
      </c>
    </row>
    <row r="62" spans="1:10" ht="15" customHeight="1" x14ac:dyDescent="0.25">
      <c r="A62" s="513" t="s">
        <v>947</v>
      </c>
      <c r="B62" s="526">
        <v>47331</v>
      </c>
      <c r="C62" s="527" t="str">
        <f ca="1">Cashflow!AT97</f>
        <v/>
      </c>
      <c r="D62" s="527" t="str">
        <f ca="1">Cashflow!AT98</f>
        <v/>
      </c>
    </row>
    <row r="63" spans="1:10" ht="15" customHeight="1" x14ac:dyDescent="0.25">
      <c r="A63" s="676" t="s">
        <v>948</v>
      </c>
      <c r="B63" s="627"/>
      <c r="C63" s="627"/>
      <c r="D63" s="627"/>
      <c r="E63" s="627"/>
      <c r="F63" s="627"/>
      <c r="G63" s="627"/>
      <c r="H63" s="627"/>
      <c r="I63" s="627"/>
      <c r="J63" s="627"/>
    </row>
    <row r="64" spans="1:10" ht="15" customHeight="1" x14ac:dyDescent="0.25">
      <c r="A64" s="677" t="s">
        <v>949</v>
      </c>
      <c r="B64" s="627"/>
      <c r="C64" s="627"/>
      <c r="D64" s="627"/>
      <c r="E64" s="627"/>
      <c r="F64" s="627"/>
      <c r="G64" s="627"/>
      <c r="H64" s="627"/>
      <c r="I64" s="627"/>
      <c r="J64" s="627"/>
    </row>
    <row r="65" spans="1:21" ht="15" customHeight="1" x14ac:dyDescent="0.25">
      <c r="A65" s="510" t="s">
        <v>950</v>
      </c>
      <c r="B65" s="524">
        <v>47423</v>
      </c>
      <c r="C65" s="525" t="str">
        <f ca="1">Cashflow!AW97</f>
        <v/>
      </c>
      <c r="D65" s="525" t="str">
        <f ca="1">Cashflow!AW98</f>
        <v/>
      </c>
    </row>
    <row r="66" spans="1:21" ht="15" customHeight="1" x14ac:dyDescent="0.25">
      <c r="A66" s="513" t="s">
        <v>951</v>
      </c>
      <c r="B66" s="526">
        <v>47453</v>
      </c>
      <c r="C66" s="527" t="str">
        <f ca="1">Cashflow!AX97</f>
        <v/>
      </c>
      <c r="D66" s="527" t="str">
        <f ca="1">Cashflow!AX98</f>
        <v/>
      </c>
    </row>
    <row r="67" spans="1:21" ht="15" customHeight="1" x14ac:dyDescent="0.25">
      <c r="A67" s="510" t="s">
        <v>952</v>
      </c>
      <c r="B67" s="524">
        <v>47484</v>
      </c>
      <c r="C67" s="525" t="str">
        <f ca="1">Cashflow!AY97</f>
        <v/>
      </c>
      <c r="D67" s="525" t="str">
        <f ca="1">Cashflow!AY98</f>
        <v/>
      </c>
    </row>
    <row r="68" spans="1:21" ht="15" customHeight="1" x14ac:dyDescent="0.25">
      <c r="A68" s="513" t="s">
        <v>953</v>
      </c>
      <c r="B68" s="526">
        <v>47515</v>
      </c>
      <c r="C68" s="527" t="str">
        <f ca="1">Cashflow!AZ97</f>
        <v/>
      </c>
      <c r="D68" s="527" t="str">
        <f ca="1">Cashflow!AZ98</f>
        <v/>
      </c>
    </row>
    <row r="69" spans="1:21" ht="15" customHeight="1" x14ac:dyDescent="0.25">
      <c r="A69" s="510" t="s">
        <v>954</v>
      </c>
      <c r="B69" s="524">
        <v>47543</v>
      </c>
      <c r="C69" s="525" t="str">
        <f ca="1">Cashflow!BA97</f>
        <v/>
      </c>
      <c r="D69" s="525" t="str">
        <f ca="1">Cashflow!BA98</f>
        <v/>
      </c>
    </row>
    <row r="70" spans="1:21" ht="15" customHeight="1" x14ac:dyDescent="0.25">
      <c r="A70" s="513" t="s">
        <v>955</v>
      </c>
      <c r="B70" s="526">
        <v>47574</v>
      </c>
      <c r="C70" s="527" t="str">
        <f ca="1">Cashflow!BB97</f>
        <v/>
      </c>
      <c r="D70" s="527" t="str">
        <f ca="1">Cashflow!BB98</f>
        <v/>
      </c>
    </row>
    <row r="71" spans="1:21" ht="15" customHeight="1" x14ac:dyDescent="0.25">
      <c r="A71" s="510" t="s">
        <v>956</v>
      </c>
      <c r="B71" s="524">
        <v>47604</v>
      </c>
      <c r="C71" s="525" t="str">
        <f ca="1">Cashflow!BC97</f>
        <v/>
      </c>
      <c r="D71" s="525" t="str">
        <f ca="1">Cashflow!BC98</f>
        <v/>
      </c>
    </row>
    <row r="72" spans="1:21" ht="15" customHeight="1" x14ac:dyDescent="0.25">
      <c r="A72" s="513" t="s">
        <v>957</v>
      </c>
      <c r="B72" s="526">
        <v>47635</v>
      </c>
      <c r="C72" s="527" t="str">
        <f ca="1">Cashflow!BD97</f>
        <v/>
      </c>
      <c r="D72" s="527" t="str">
        <f ca="1">Cashflow!BD98</f>
        <v/>
      </c>
    </row>
    <row r="73" spans="1:21" ht="15" customHeight="1" x14ac:dyDescent="0.25">
      <c r="A73" s="676" t="s">
        <v>958</v>
      </c>
      <c r="B73" s="627"/>
      <c r="C73" s="627"/>
      <c r="D73" s="627"/>
      <c r="E73" s="627"/>
      <c r="F73" s="627"/>
      <c r="G73" s="627"/>
      <c r="H73" s="627"/>
      <c r="I73" s="627"/>
      <c r="J73" s="627"/>
    </row>
    <row r="74" spans="1:21" ht="15" customHeight="1" x14ac:dyDescent="0.25">
      <c r="A74" s="677" t="s">
        <v>959</v>
      </c>
      <c r="B74" s="627"/>
      <c r="C74" s="627"/>
      <c r="D74" s="627"/>
      <c r="E74" s="627"/>
      <c r="F74" s="627"/>
      <c r="G74" s="627"/>
      <c r="H74" s="627"/>
      <c r="I74" s="627"/>
      <c r="J74" s="627"/>
    </row>
    <row r="75" spans="1:21" ht="27.75" customHeight="1" x14ac:dyDescent="0.25">
      <c r="A75" s="510" t="s">
        <v>960</v>
      </c>
      <c r="B75" s="524">
        <v>47727</v>
      </c>
      <c r="C75" s="525" t="str">
        <f ca="1">Cashflow!BG97</f>
        <v/>
      </c>
      <c r="D75" s="525" t="str">
        <f ca="1">Cashflow!BG98</f>
        <v/>
      </c>
    </row>
    <row r="76" spans="1:21" ht="15" customHeight="1" x14ac:dyDescent="0.25">
      <c r="A76" s="513" t="s">
        <v>961</v>
      </c>
      <c r="B76" s="526">
        <v>47757</v>
      </c>
      <c r="C76" s="527" t="str">
        <f ca="1">Cashflow!BH97</f>
        <v/>
      </c>
      <c r="D76" s="527" t="str">
        <f ca="1">Cashflow!BH98</f>
        <v/>
      </c>
    </row>
    <row r="77" spans="1:21" ht="15" customHeight="1" x14ac:dyDescent="0.25">
      <c r="A77" s="510" t="s">
        <v>962</v>
      </c>
      <c r="B77" s="524">
        <v>47788</v>
      </c>
      <c r="C77" s="525" t="str">
        <f ca="1">Cashflow!BI97</f>
        <v/>
      </c>
      <c r="D77" s="525" t="str">
        <f ca="1">Cashflow!BI98</f>
        <v/>
      </c>
    </row>
    <row r="78" spans="1:21" ht="15" customHeight="1" x14ac:dyDescent="0.25">
      <c r="A78" s="513" t="s">
        <v>963</v>
      </c>
      <c r="B78" s="526">
        <v>47818</v>
      </c>
      <c r="C78" s="527" t="str">
        <f ca="1">Cashflow!BJ97</f>
        <v/>
      </c>
      <c r="D78" s="527" t="str">
        <f ca="1">Cashflow!BJ98</f>
        <v/>
      </c>
    </row>
    <row r="79" spans="1:21" ht="19.5" customHeight="1" x14ac:dyDescent="0.25">
      <c r="A79" s="663" t="s">
        <v>964</v>
      </c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7"/>
      <c r="P79" s="627"/>
      <c r="Q79" s="627"/>
      <c r="R79" s="627"/>
      <c r="S79" s="627"/>
      <c r="T79" s="627"/>
      <c r="U79" s="627"/>
    </row>
    <row r="80" spans="1:21" ht="15" customHeight="1" x14ac:dyDescent="0.25">
      <c r="A80" s="664" t="s">
        <v>965</v>
      </c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7"/>
      <c r="P80" s="627"/>
      <c r="Q80" s="627"/>
      <c r="R80" s="627"/>
      <c r="S80" s="627"/>
      <c r="T80" s="627"/>
      <c r="U80" s="627"/>
    </row>
    <row r="81" spans="1:21" ht="21.75" customHeight="1" x14ac:dyDescent="0.25">
      <c r="A81" s="437" t="s">
        <v>966</v>
      </c>
      <c r="B81" s="528" t="str">
        <f ca="1">IFERROR(XIRR(C19:C78,B19:B78,0.15),"Inputs needed")</f>
        <v/>
      </c>
    </row>
    <row r="82" spans="1:21" ht="19.5" customHeight="1" x14ac:dyDescent="0.25">
      <c r="A82" s="520" t="s">
        <v>967</v>
      </c>
      <c r="B82" s="529" t="str">
        <f ca="1">IFERROR(XIRR(C19:C78,B19:B78,0.15),"Inputs needed")</f>
        <v/>
      </c>
    </row>
    <row r="83" spans="1:21" ht="19.5" customHeight="1" x14ac:dyDescent="0.25">
      <c r="A83" s="437" t="s">
        <v>968</v>
      </c>
      <c r="B83" s="530" t="str">
        <f ca="1">IFERROR(NPV(0.12/12,C19:C78)/1,"N/A")</f>
        <v/>
      </c>
    </row>
    <row r="84" spans="1:21" ht="19.5" customHeight="1" x14ac:dyDescent="0.25">
      <c r="A84" s="520" t="s">
        <v>969</v>
      </c>
      <c r="B84" s="531" t="str">
        <f ca="1">IFERROR(NPV(0.15/12,C19:C78)/1,"N/A")</f>
        <v/>
      </c>
    </row>
    <row r="85" spans="1:21" ht="19.5" customHeight="1" x14ac:dyDescent="0.25">
      <c r="A85" s="437" t="s">
        <v>970</v>
      </c>
      <c r="B85" s="531" t="str">
        <f ca="1">IFERROR(NPV(0.18/12,C19:C78)/1,"N/A")</f>
        <v/>
      </c>
    </row>
    <row r="86" spans="1:21" ht="19.5" customHeight="1" x14ac:dyDescent="0.25">
      <c r="A86" s="520" t="s">
        <v>971</v>
      </c>
      <c r="B86" s="532">
        <f>IFERROR(B6-B7,"Inputs needed")</f>
        <v>0</v>
      </c>
    </row>
    <row r="87" spans="1:21" ht="19.5" customHeight="1" x14ac:dyDescent="0.25">
      <c r="A87" s="437" t="s">
        <v>972</v>
      </c>
      <c r="B87" s="533" t="str">
        <f ca="1">IFERROR((B6-B7)/ABS(B12),"N/A")</f>
        <v/>
      </c>
    </row>
    <row r="88" spans="1:21" ht="19.5" customHeight="1" x14ac:dyDescent="0.25">
      <c r="A88" s="520" t="s">
        <v>841</v>
      </c>
      <c r="B88" s="534" t="str">
        <f>IFERROR(B8/B6,"N/A")</f>
        <v>N/A</v>
      </c>
    </row>
    <row r="89" spans="1:21" ht="19.5" customHeight="1" x14ac:dyDescent="0.25">
      <c r="A89" s="437" t="s">
        <v>973</v>
      </c>
      <c r="B89" s="534" t="str">
        <f ca="1">IFERROR(B8/B5,"N/A")</f>
        <v/>
      </c>
    </row>
    <row r="90" spans="1:21" ht="19.5" customHeight="1" x14ac:dyDescent="0.25">
      <c r="A90" s="520" t="s">
        <v>974</v>
      </c>
      <c r="B90" s="535" t="str">
        <f ca="1">IFERROR(MATCH(TRUE(),INDEX(Cashflow!C98:BJ98&gt;=0,),0),"Not within 5 years")</f>
        <v/>
      </c>
    </row>
    <row r="92" spans="1:21" ht="19.5" customHeight="1" x14ac:dyDescent="0.25">
      <c r="A92" s="663" t="s">
        <v>975</v>
      </c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7"/>
      <c r="P92" s="627"/>
      <c r="Q92" s="627"/>
      <c r="R92" s="627"/>
      <c r="S92" s="627"/>
      <c r="T92" s="627"/>
      <c r="U92" s="627"/>
    </row>
    <row r="93" spans="1:21" ht="15" customHeight="1" x14ac:dyDescent="0.25">
      <c r="A93" s="664" t="s">
        <v>976</v>
      </c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7"/>
      <c r="P93" s="627"/>
      <c r="Q93" s="627"/>
      <c r="R93" s="627"/>
      <c r="S93" s="627"/>
      <c r="T93" s="627"/>
      <c r="U93" s="627"/>
    </row>
    <row r="94" spans="1:21" ht="15" customHeight="1" x14ac:dyDescent="0.25">
      <c r="D94" s="536">
        <v>680</v>
      </c>
      <c r="E94" s="537">
        <v>0.8</v>
      </c>
    </row>
    <row r="95" spans="1:21" ht="27.75" customHeight="1" x14ac:dyDescent="0.25">
      <c r="D95" s="538" t="s">
        <v>977</v>
      </c>
      <c r="E95" s="539" t="s">
        <v>822</v>
      </c>
      <c r="F95" s="539" t="s">
        <v>823</v>
      </c>
      <c r="G95" s="540" t="s">
        <v>824</v>
      </c>
      <c r="H95" s="539" t="s">
        <v>825</v>
      </c>
      <c r="I95" s="539" t="s">
        <v>826</v>
      </c>
    </row>
    <row r="96" spans="1:21" ht="24" customHeight="1" x14ac:dyDescent="0.25">
      <c r="D96" s="541" t="s">
        <v>831</v>
      </c>
      <c r="E96" s="542" t="str">
        <f ca="1">IFERROR(XIRR(C19:C78,B19:B78,0.15)*(544/680)*(0.6/0.8),"N/A")</f>
        <v/>
      </c>
      <c r="F96" s="542" t="str">
        <f ca="1">IFERROR(XIRR(C19:C78,B19:B78,0.15)*(544/680)*(0.7/0.8),"N/A")</f>
        <v/>
      </c>
      <c r="G96" s="542" t="str">
        <f ca="1">IFERROR(XIRR(C19:C78,B19:B78,0.15)*(544/680)*(0.8/0.8),"N/A")</f>
        <v/>
      </c>
      <c r="H96" s="542" t="str">
        <f ca="1">IFERROR(XIRR(C19:C78,B19:B78,0.15)*(544/680)*(0.9/0.8),"N/A")</f>
        <v/>
      </c>
      <c r="I96" s="542" t="str">
        <f ca="1">IFERROR(XIRR(C19:C78,B19:B78,0.15)*(544/680)*(1/0.8),"N/A")</f>
        <v/>
      </c>
    </row>
    <row r="97" spans="1:21" ht="24" customHeight="1" x14ac:dyDescent="0.25">
      <c r="D97" s="541" t="s">
        <v>832</v>
      </c>
      <c r="E97" s="542" t="str">
        <f ca="1">IFERROR(XIRR(C19:C78,B19:B78,0.15)*(612/680)*(0.6/0.8),"N/A")</f>
        <v/>
      </c>
      <c r="F97" s="542" t="str">
        <f ca="1">IFERROR(XIRR(C19:C78,B19:B78,0.15)*(612/680)*(0.7/0.8),"N/A")</f>
        <v/>
      </c>
      <c r="G97" s="542" t="str">
        <f ca="1">IFERROR(XIRR(C19:C78,B19:B78,0.15)*(612/680)*(0.8/0.8),"N/A")</f>
        <v/>
      </c>
      <c r="H97" s="542" t="str">
        <f ca="1">IFERROR(XIRR(C19:C78,B19:B78,0.15)*(612/680)*(0.9/0.8),"N/A")</f>
        <v/>
      </c>
      <c r="I97" s="542" t="str">
        <f ca="1">IFERROR(XIRR(C19:C78,B19:B78,0.15)*(612/680)*(1/0.8),"N/A")</f>
        <v/>
      </c>
    </row>
    <row r="98" spans="1:21" ht="24" customHeight="1" x14ac:dyDescent="0.25">
      <c r="D98" s="543" t="s">
        <v>978</v>
      </c>
      <c r="E98" s="542" t="str">
        <f ca="1">IFERROR(XIRR(C19:C78,B19:B78,0.15)*(680/680)*(0.6/0.8),"N/A")</f>
        <v/>
      </c>
      <c r="F98" s="542" t="str">
        <f ca="1">IFERROR(XIRR(C19:C78,B19:B78,0.15)*(680/680)*(0.7/0.8),"N/A")</f>
        <v/>
      </c>
      <c r="G98" s="544" t="str">
        <f ca="1">IFERROR(XIRR(C19:C78,B19:B78,0.15)*(680/680)*(0.8/0.8),"N/A")</f>
        <v/>
      </c>
      <c r="H98" s="542" t="str">
        <f ca="1">IFERROR(XIRR(C19:C78,B19:B78,0.15)*(680/680)*(0.9/0.8),"N/A")</f>
        <v/>
      </c>
      <c r="I98" s="542" t="str">
        <f ca="1">IFERROR(XIRR(C19:C78,B19:B78,0.15)*(680/680)*(1/0.8),"N/A")</f>
        <v/>
      </c>
    </row>
    <row r="99" spans="1:21" ht="24" customHeight="1" x14ac:dyDescent="0.25">
      <c r="D99" s="541" t="s">
        <v>835</v>
      </c>
      <c r="E99" s="542" t="str">
        <f ca="1">IFERROR(XIRR(C19:C78,B19:B78,0.15)*(748/680)*(0.6/0.8),"N/A")</f>
        <v/>
      </c>
      <c r="F99" s="542" t="str">
        <f ca="1">IFERROR(XIRR(C19:C78,B19:B78,0.15)*(748/680)*(0.7/0.8),"N/A")</f>
        <v/>
      </c>
      <c r="G99" s="542" t="str">
        <f ca="1">IFERROR(XIRR(C19:C78,B19:B78,0.15)*(748/680)*(0.8/0.8),"N/A")</f>
        <v/>
      </c>
      <c r="H99" s="542" t="str">
        <f ca="1">IFERROR(XIRR(C19:C78,B19:B78,0.15)*(748/680)*(0.9/0.8),"N/A")</f>
        <v/>
      </c>
      <c r="I99" s="542" t="str">
        <f ca="1">IFERROR(XIRR(C19:C78,B19:B78,0.15)*(748/680)*(1/0.8),"N/A")</f>
        <v/>
      </c>
    </row>
    <row r="100" spans="1:21" ht="24" customHeight="1" x14ac:dyDescent="0.25">
      <c r="D100" s="541" t="s">
        <v>837</v>
      </c>
      <c r="E100" s="542" t="str">
        <f ca="1">IFERROR(XIRR(C19:C78,B19:B78,0.15)*(816/680)*(0.6/0.8),"N/A")</f>
        <v/>
      </c>
      <c r="F100" s="542" t="str">
        <f ca="1">IFERROR(XIRR(C19:C78,B19:B78,0.15)*(816/680)*(0.7/0.8),"N/A")</f>
        <v/>
      </c>
      <c r="G100" s="542" t="str">
        <f ca="1">IFERROR(XIRR(C19:C78,B19:B78,0.15)*(816/680)*(0.8/0.8),"N/A")</f>
        <v/>
      </c>
      <c r="H100" s="542" t="str">
        <f ca="1">IFERROR(XIRR(C19:C78,B19:B78,0.15)*(816/680)*(0.9/0.8),"N/A")</f>
        <v/>
      </c>
      <c r="I100" s="542" t="str">
        <f ca="1">IFERROR(XIRR(C19:C78,B19:B78,0.15)*(816/680)*(1/0.8),"N/A")</f>
        <v/>
      </c>
    </row>
    <row r="102" spans="1:21" ht="15" customHeight="1" x14ac:dyDescent="0.25">
      <c r="D102" s="545" t="s">
        <v>979</v>
      </c>
      <c r="E102" s="546" t="s">
        <v>980</v>
      </c>
      <c r="F102" s="547" t="s">
        <v>981</v>
      </c>
      <c r="G102" s="548" t="s">
        <v>982</v>
      </c>
    </row>
    <row r="103" spans="1:21" ht="15" customHeight="1" x14ac:dyDescent="0.25"/>
    <row r="104" spans="1:21" ht="19.5" customHeight="1" x14ac:dyDescent="0.25">
      <c r="A104" s="662" t="s">
        <v>983</v>
      </c>
      <c r="B104" s="627"/>
      <c r="C104" s="627"/>
      <c r="D104" s="627"/>
      <c r="E104" s="627"/>
      <c r="F104" s="627"/>
      <c r="G104" s="627"/>
      <c r="H104" s="627"/>
      <c r="I104" s="627"/>
      <c r="J104" s="627"/>
      <c r="K104" s="627"/>
      <c r="L104" s="627"/>
      <c r="M104" s="627"/>
      <c r="N104" s="627"/>
      <c r="O104" s="627"/>
      <c r="P104" s="627"/>
      <c r="Q104" s="627"/>
      <c r="R104" s="627"/>
      <c r="S104" s="627"/>
      <c r="T104" s="627"/>
      <c r="U104" s="627"/>
    </row>
    <row r="105" spans="1:21" ht="15" customHeight="1" x14ac:dyDescent="0.25">
      <c r="A105" s="664" t="s">
        <v>984</v>
      </c>
      <c r="B105" s="627"/>
      <c r="C105" s="627"/>
      <c r="D105" s="627"/>
      <c r="E105" s="627"/>
      <c r="F105" s="627"/>
      <c r="G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</row>
    <row r="106" spans="1:21" ht="15" customHeight="1" x14ac:dyDescent="0.25">
      <c r="D106" s="536">
        <v>680</v>
      </c>
      <c r="E106" s="549" t="str">
        <f ca="1">IFERROR(B81*0.8*0.75,0)</f>
        <v/>
      </c>
      <c r="F106" s="550" t="str">
        <f ca="1">IFERROR(B81*0.8*0.875,0)</f>
        <v/>
      </c>
      <c r="G106" s="550" t="str">
        <f ca="1">IFERROR(B81*0.8*1,0)</f>
        <v/>
      </c>
      <c r="H106" s="550" t="str">
        <f ca="1">IFERROR(B81*0.8*1.125,0)</f>
        <v/>
      </c>
      <c r="I106" s="550" t="str">
        <f ca="1">IFERROR(B81*0.8*1.25,0)</f>
        <v/>
      </c>
    </row>
    <row r="107" spans="1:21" ht="27.75" customHeight="1" x14ac:dyDescent="0.25">
      <c r="D107" s="551" t="s">
        <v>977</v>
      </c>
      <c r="E107" s="552" t="str">
        <f ca="1">IFERROR(B81*0.9*0.75,0)</f>
        <v/>
      </c>
      <c r="F107" s="552" t="str">
        <f ca="1">IFERROR(B81*0.9*0.875,0)</f>
        <v/>
      </c>
      <c r="G107" s="553" t="str">
        <f ca="1">IFERROR(B81*0.9*1,0)</f>
        <v/>
      </c>
      <c r="H107" s="552" t="str">
        <f ca="1">IFERROR(B81*0.9*1.125,0)</f>
        <v/>
      </c>
      <c r="I107" s="552" t="str">
        <f ca="1">IFERROR(B81*0.9*1.25,0)</f>
        <v/>
      </c>
    </row>
    <row r="108" spans="1:21" ht="24" customHeight="1" x14ac:dyDescent="0.25">
      <c r="D108" s="554" t="s">
        <v>831</v>
      </c>
      <c r="E108" s="555" t="str">
        <f ca="1">IFERROR(B81*1*0.75,0)</f>
        <v/>
      </c>
      <c r="F108" s="555" t="str">
        <f ca="1">IFERROR(B81*1*0.875,0)</f>
        <v/>
      </c>
      <c r="G108" s="555" t="str">
        <f ca="1">IFERROR(B81*1*1,0)</f>
        <v/>
      </c>
      <c r="H108" s="555" t="str">
        <f ca="1">IFERROR(B81*1*1.125,0)</f>
        <v/>
      </c>
      <c r="I108" s="555" t="str">
        <f ca="1">IFERROR(B81*1*1.25,0)</f>
        <v/>
      </c>
    </row>
    <row r="109" spans="1:21" ht="24" customHeight="1" x14ac:dyDescent="0.25">
      <c r="D109" s="554" t="s">
        <v>832</v>
      </c>
      <c r="E109" s="555" t="str">
        <f ca="1">IFERROR(B81*1.1*0.75,0)</f>
        <v/>
      </c>
      <c r="F109" s="555" t="str">
        <f ca="1">IFERROR(B81*1.1*0.875,0)</f>
        <v/>
      </c>
      <c r="G109" s="555" t="str">
        <f ca="1">IFERROR(B81*1.1*1,0)</f>
        <v/>
      </c>
      <c r="H109" s="555" t="str">
        <f ca="1">IFERROR(B81*1.1*1.125,0)</f>
        <v/>
      </c>
      <c r="I109" s="555" t="str">
        <f ca="1">IFERROR(B81*1.1*1.25,0)</f>
        <v/>
      </c>
    </row>
    <row r="110" spans="1:21" ht="24" customHeight="1" x14ac:dyDescent="0.25">
      <c r="D110" s="543" t="s">
        <v>978</v>
      </c>
      <c r="E110" s="555" t="str">
        <f ca="1">IFERROR(B81*1.2*0.75,0)</f>
        <v/>
      </c>
      <c r="F110" s="555" t="str">
        <f ca="1">IFERROR(B81*1.2*0.875,0)</f>
        <v/>
      </c>
      <c r="G110" s="556" t="str">
        <f ca="1">IFERROR(B81*1.2*1,0)</f>
        <v/>
      </c>
      <c r="H110" s="555" t="str">
        <f ca="1">IFERROR(B81*1.2*1.125,0)</f>
        <v/>
      </c>
      <c r="I110" s="555" t="str">
        <f ca="1">IFERROR(B81*1.2*1.25,0)</f>
        <v/>
      </c>
    </row>
    <row r="111" spans="1:21" ht="24" customHeight="1" x14ac:dyDescent="0.25">
      <c r="D111" s="554" t="s">
        <v>835</v>
      </c>
      <c r="E111" s="557">
        <f>IFERROR((B6*(748/680)*(0.6/0.8)-B7)/(B6*(748/680)*(0.6/0.8)),0)</f>
        <v>0</v>
      </c>
      <c r="F111" s="557">
        <f>IFERROR((B6*(748/680)*(0.7/0.8)-B7)/(B6*(748/680)*(0.7/0.8)),0)</f>
        <v>0</v>
      </c>
      <c r="G111" s="557">
        <f>IFERROR((B6*(748/680)*(0.8/0.8)-B7)/(B6*(748/680)*(0.8/0.8)),0)</f>
        <v>0</v>
      </c>
      <c r="H111" s="557">
        <f>IFERROR((B6*(748/680)*(0.9/0.8)-B7)/(B6*(748/680)*(0.9/0.8)),0)</f>
        <v>0</v>
      </c>
      <c r="I111" s="557">
        <f>IFERROR((B6*(748/680)*(1/0.8)-B7)/(B6*(748/680)*(1/0.8)),0)</f>
        <v>0</v>
      </c>
    </row>
    <row r="112" spans="1:21" ht="24" customHeight="1" x14ac:dyDescent="0.25">
      <c r="D112" s="554" t="s">
        <v>837</v>
      </c>
      <c r="E112" s="557">
        <f>IFERROR((B6*(816/680)*(0.6/0.8)-B7)/(B6*(816/680)*(0.6/0.8)),0)</f>
        <v>0</v>
      </c>
      <c r="F112" s="557">
        <f>IFERROR((B6*(816/680)*(0.7/0.8)-B7)/(B6*(816/680)*(0.7/0.8)),0)</f>
        <v>0</v>
      </c>
      <c r="G112" s="557">
        <f>IFERROR((B6*(816/680)*(0.8/0.8)-B7)/(B6*(816/680)*(0.8/0.8)),0)</f>
        <v>0</v>
      </c>
      <c r="H112" s="557">
        <f>IFERROR((B6*(816/680)*(0.9/0.8)-B7)/(B6*(816/680)*(0.9/0.8)),0)</f>
        <v>0</v>
      </c>
      <c r="I112" s="557">
        <f>IFERROR((B6*(816/680)*(1/0.8)-B7)/(B6*(816/680)*(1/0.8)),0)</f>
        <v>0</v>
      </c>
    </row>
    <row r="113" spans="1:21" ht="15" customHeight="1" x14ac:dyDescent="0.25"/>
    <row r="114" spans="1:21" ht="15" customHeight="1" x14ac:dyDescent="0.25">
      <c r="D114" s="545" t="s">
        <v>979</v>
      </c>
      <c r="E114" s="546" t="s">
        <v>985</v>
      </c>
      <c r="F114" s="547" t="s">
        <v>986</v>
      </c>
      <c r="G114" s="548" t="s">
        <v>987</v>
      </c>
    </row>
    <row r="115" spans="1:21" ht="74.25" customHeight="1" x14ac:dyDescent="0.25"/>
    <row r="116" spans="1:21" ht="19.5" customHeight="1" x14ac:dyDescent="0.25">
      <c r="A116" s="663" t="s">
        <v>988</v>
      </c>
      <c r="B116" s="627"/>
      <c r="C116" s="627"/>
      <c r="D116" s="627"/>
      <c r="E116" s="627"/>
      <c r="F116" s="627"/>
      <c r="G116" s="627"/>
      <c r="H116" s="627"/>
      <c r="I116" s="627"/>
      <c r="J116" s="627"/>
      <c r="K116" s="627"/>
      <c r="L116" s="627"/>
      <c r="M116" s="627"/>
      <c r="N116" s="627"/>
      <c r="O116" s="627"/>
      <c r="P116" s="627"/>
      <c r="Q116" s="627"/>
      <c r="R116" s="627"/>
      <c r="S116" s="627"/>
      <c r="T116" s="627"/>
      <c r="U116" s="627"/>
    </row>
    <row r="117" spans="1:21" ht="15" customHeight="1" x14ac:dyDescent="0.25">
      <c r="A117" s="664" t="s">
        <v>989</v>
      </c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7"/>
      <c r="P117" s="627"/>
      <c r="Q117" s="627"/>
      <c r="R117" s="627"/>
      <c r="S117" s="627"/>
      <c r="T117" s="627"/>
      <c r="U117" s="627"/>
    </row>
    <row r="118" spans="1:21" ht="27.75" customHeight="1" x14ac:dyDescent="0.25">
      <c r="D118" s="538" t="s">
        <v>990</v>
      </c>
      <c r="E118" s="539" t="s">
        <v>822</v>
      </c>
      <c r="F118" s="539" t="s">
        <v>823</v>
      </c>
      <c r="G118" s="540" t="s">
        <v>824</v>
      </c>
      <c r="H118" s="539" t="s">
        <v>825</v>
      </c>
      <c r="I118" s="539" t="s">
        <v>826</v>
      </c>
    </row>
    <row r="119" spans="1:21" ht="21.75" customHeight="1" x14ac:dyDescent="0.25">
      <c r="D119" s="558" t="s">
        <v>858</v>
      </c>
      <c r="E119" s="559" t="str">
        <f ca="1">IFERROR(NPV(0.1/12,C19:C78)*(0.6/0.8),"N/A")</f>
        <v/>
      </c>
      <c r="F119" s="559" t="str">
        <f ca="1">IFERROR(NPV(0.1/12,C19:C78)*(0.7/0.8),"N/A")</f>
        <v/>
      </c>
      <c r="G119" s="559" t="str">
        <f ca="1">IFERROR(NPV(0.1/12,C19:C78)*(0.8/0.8),"N/A")</f>
        <v/>
      </c>
      <c r="H119" s="559" t="str">
        <f ca="1">IFERROR(NPV(0.1/12,C19:C78)*(0.9/0.8),"N/A")</f>
        <v/>
      </c>
      <c r="I119" s="559" t="str">
        <f ca="1">IFERROR(NPV(0.1/12,C19:C78)*(1/0.8),"N/A")</f>
        <v/>
      </c>
    </row>
    <row r="120" spans="1:21" ht="21.75" customHeight="1" x14ac:dyDescent="0.25">
      <c r="D120" s="558" t="s">
        <v>860</v>
      </c>
      <c r="E120" s="559" t="str">
        <f ca="1">IFERROR(NPV(0.12/12,C19:C78)*(0.6/0.8),"N/A")</f>
        <v/>
      </c>
      <c r="F120" s="559" t="str">
        <f ca="1">IFERROR(NPV(0.12/12,C19:C78)*(0.7/0.8),"N/A")</f>
        <v/>
      </c>
      <c r="G120" s="559" t="str">
        <f ca="1">IFERROR(NPV(0.12/12,C19:C78)*(0.8/0.8),"N/A")</f>
        <v/>
      </c>
      <c r="H120" s="559" t="str">
        <f ca="1">IFERROR(NPV(0.12/12,C19:C78)*(0.9/0.8),"N/A")</f>
        <v/>
      </c>
      <c r="I120" s="559" t="str">
        <f ca="1">IFERROR(NPV(0.12/12,C19:C78)*(1/0.8),"N/A")</f>
        <v/>
      </c>
    </row>
    <row r="121" spans="1:21" ht="21.75" customHeight="1" x14ac:dyDescent="0.25">
      <c r="D121" s="560" t="s">
        <v>991</v>
      </c>
      <c r="E121" s="559" t="str">
        <f ca="1">IFERROR(NPV(0.15/12,C19:C78)*(0.6/0.8),"N/A")</f>
        <v/>
      </c>
      <c r="F121" s="559" t="str">
        <f ca="1">IFERROR(NPV(0.15/12,C19:C78)*(0.7/0.8),"N/A")</f>
        <v/>
      </c>
      <c r="G121" s="503" t="str">
        <f ca="1">IFERROR(NPV(0.15/12,C19:C78)*(0.8/0.8),"N/A")</f>
        <v/>
      </c>
      <c r="H121" s="559" t="str">
        <f ca="1">IFERROR(NPV(0.15/12,C19:C78)*(0.9/0.8),"N/A")</f>
        <v/>
      </c>
      <c r="I121" s="559" t="str">
        <f ca="1">IFERROR(NPV(0.15/12,C19:C78)*(1/0.8),"N/A")</f>
        <v/>
      </c>
    </row>
    <row r="122" spans="1:21" ht="21.75" customHeight="1" x14ac:dyDescent="0.25">
      <c r="D122" s="558" t="s">
        <v>864</v>
      </c>
      <c r="E122" s="559" t="str">
        <f ca="1">IFERROR(NPV(0.18/12,C19:C78)*(0.6/0.8),"N/A")</f>
        <v/>
      </c>
      <c r="F122" s="559" t="str">
        <f ca="1">IFERROR(NPV(0.18/12,C19:C78)*(0.7/0.8),"N/A")</f>
        <v/>
      </c>
      <c r="G122" s="559" t="str">
        <f ca="1">IFERROR(NPV(0.18/12,C19:C78)*(0.8/0.8),"N/A")</f>
        <v/>
      </c>
      <c r="H122" s="559" t="str">
        <f ca="1">IFERROR(NPV(0.18/12,C19:C78)*(0.9/0.8),"N/A")</f>
        <v/>
      </c>
      <c r="I122" s="559" t="str">
        <f ca="1">IFERROR(NPV(0.18/12,C19:C78)*(1/0.8),"N/A")</f>
        <v/>
      </c>
    </row>
    <row r="123" spans="1:21" ht="21.75" customHeight="1" x14ac:dyDescent="0.25">
      <c r="D123" s="558" t="s">
        <v>865</v>
      </c>
      <c r="E123" s="559" t="str">
        <f ca="1">IFERROR(NPV(0.2/12,C19:C78)*(0.6/0.8),"N/A")</f>
        <v/>
      </c>
      <c r="F123" s="559" t="str">
        <f ca="1">IFERROR(NPV(0.2/12,C19:C78)*(0.7/0.8),"N/A")</f>
        <v/>
      </c>
      <c r="G123" s="559" t="str">
        <f ca="1">IFERROR(NPV(0.2/12,C19:C78)*(0.8/0.8),"N/A")</f>
        <v/>
      </c>
      <c r="H123" s="559" t="str">
        <f ca="1">IFERROR(NPV(0.2/12,C19:C78)*(0.9/0.8),"N/A")</f>
        <v/>
      </c>
      <c r="I123" s="559" t="str">
        <f ca="1">IFERROR(NPV(0.2/12,C19:C78)*(1/0.8),"N/A")</f>
        <v/>
      </c>
    </row>
    <row r="124" spans="1:21" ht="15" customHeight="1" x14ac:dyDescent="0.25"/>
    <row r="125" spans="1:21" ht="15" customHeight="1" x14ac:dyDescent="0.25"/>
    <row r="126" spans="1:21" ht="19.5" customHeight="1" x14ac:dyDescent="0.25">
      <c r="A126" s="660" t="s">
        <v>992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</row>
    <row r="127" spans="1:21" ht="15" customHeight="1" x14ac:dyDescent="0.25">
      <c r="A127" s="664" t="s">
        <v>993</v>
      </c>
      <c r="B127" s="627"/>
      <c r="C127" s="627"/>
      <c r="D127" s="627"/>
      <c r="E127" s="627"/>
      <c r="F127" s="627"/>
      <c r="G127" s="627"/>
      <c r="H127" s="627"/>
      <c r="I127" s="627"/>
      <c r="J127" s="627"/>
      <c r="K127" s="627"/>
      <c r="L127" s="627"/>
      <c r="M127" s="627"/>
      <c r="N127" s="627"/>
      <c r="O127" s="627"/>
      <c r="P127" s="627"/>
      <c r="Q127" s="627"/>
      <c r="R127" s="627"/>
      <c r="S127" s="627"/>
      <c r="T127" s="627"/>
      <c r="U127" s="627"/>
    </row>
    <row r="128" spans="1:21" ht="31.5" customHeight="1" x14ac:dyDescent="0.25">
      <c r="D128" s="561" t="s">
        <v>877</v>
      </c>
      <c r="E128" s="561" t="s">
        <v>994</v>
      </c>
      <c r="F128" s="561" t="s">
        <v>995</v>
      </c>
      <c r="G128" s="561" t="s">
        <v>996</v>
      </c>
      <c r="H128" s="561" t="s">
        <v>997</v>
      </c>
      <c r="I128" s="561" t="s">
        <v>998</v>
      </c>
      <c r="J128" s="561" t="s">
        <v>999</v>
      </c>
      <c r="K128" s="561" t="s">
        <v>1000</v>
      </c>
    </row>
    <row r="129" spans="1:21" ht="19.5" customHeight="1" x14ac:dyDescent="0.25">
      <c r="D129" s="562" t="s">
        <v>886</v>
      </c>
      <c r="E129" s="563">
        <f>B6</f>
        <v>0</v>
      </c>
      <c r="F129" s="564">
        <f>B6*0.8</f>
        <v>0</v>
      </c>
      <c r="G129" s="564">
        <f>B7-B10</f>
        <v>0</v>
      </c>
      <c r="H129" s="564">
        <f>MAX(0,B6*0.8*0.75-(B7-B10))</f>
        <v>0</v>
      </c>
      <c r="I129" s="564">
        <f>IFERROR(MAX(0,B6*0.8*0.75-(B7-B10))*1000/('Feasibility Study'!#REF!*43560),0)</f>
        <v>0</v>
      </c>
      <c r="J129" s="565">
        <f>IFERROR(MAX(0,B6*0.8*0.75-(B7-B10))/B10-1,0)</f>
        <v>0</v>
      </c>
      <c r="K129" s="566" t="str">
        <f>IF(MAX(0,B6*0.8*0.75-(B7-B10))&gt;B10,"✔ Viable — land priced below max",IF(MAX(0,B6*0.8*0.75-(B7-B10))&gt;B10*0.9,"△ Tight — within 10% of max","✗ Unviable at this ASP"))</f>
        <v>✗ Unviable at this ASP</v>
      </c>
    </row>
    <row r="130" spans="1:21" ht="19.5" customHeight="1" x14ac:dyDescent="0.25">
      <c r="B130" s="567" t="str">
        <f ca="1">IFERROR(B81*0.8*0.75,0)</f>
        <v/>
      </c>
      <c r="C130" s="567" t="str">
        <f ca="1">B81</f>
        <v/>
      </c>
      <c r="D130" s="568" t="str">
        <f ca="1">IFERROR(B81*1.15,0)</f>
        <v/>
      </c>
      <c r="E130" s="569">
        <f>B6</f>
        <v>0</v>
      </c>
      <c r="F130" s="570">
        <f>B6*0.9</f>
        <v>0</v>
      </c>
      <c r="G130" s="570">
        <f>B7-B10</f>
        <v>0</v>
      </c>
      <c r="H130" s="570">
        <f>MAX(0,B6*0.9*0.75-(B7-B10))</f>
        <v>0</v>
      </c>
      <c r="I130" s="570">
        <f>IFERROR(MAX(0,B6*0.9*0.75-(B7-B10))*1000/('Feasibility Study'!#REF!*43560),0)</f>
        <v>0</v>
      </c>
      <c r="J130" s="571">
        <f>IFERROR(MAX(0,B6*0.9*0.75-(B7-B10))/B10-1,0)</f>
        <v>0</v>
      </c>
      <c r="K130" s="572" t="str">
        <f>IF(MAX(0,B6*0.9*0.75-(B7-B10))&gt;B10,"✔ Viable — land priced below max",IF(MAX(0,B6*0.9*0.75-(B7-B10))&gt;B10*0.9,"△ Tight — within 10% of max","✗ Unviable at this ASP"))</f>
        <v>✗ Unviable at this ASP</v>
      </c>
    </row>
    <row r="131" spans="1:21" ht="19.5" customHeight="1" x14ac:dyDescent="0.25">
      <c r="D131" s="573" t="s">
        <v>1001</v>
      </c>
      <c r="E131" s="574">
        <f>B6</f>
        <v>0</v>
      </c>
      <c r="F131" s="575">
        <f>B6*1</f>
        <v>0</v>
      </c>
      <c r="G131" s="576">
        <f>B7-B10</f>
        <v>0</v>
      </c>
      <c r="H131" s="577">
        <f>MAX(0,B6*1*0.75-(B7-B10))</f>
        <v>0</v>
      </c>
      <c r="I131" s="576">
        <f>IFERROR(MAX(0,B6*1*0.75-(B7-B10))*1000/('Feasibility Study'!#REF!*43560),0)</f>
        <v>0</v>
      </c>
      <c r="J131" s="578">
        <f>IFERROR(MAX(0,B6*1*0.75-(B7-B10))/B10-1,0)</f>
        <v>0</v>
      </c>
      <c r="K131" s="579" t="str">
        <f>IF(MAX(0,B6*1*0.75-(B7-B10))&gt;B10,"✔ Viable — land priced below max",IF(MAX(0,B6*1*0.75-(B7-B10))&gt;B10*0.9,"△ Tight — within 10% of max","✗ Unviable at this ASP"))</f>
        <v>✗ Unviable at this ASP</v>
      </c>
    </row>
    <row r="132" spans="1:21" ht="19.5" customHeight="1" x14ac:dyDescent="0.25">
      <c r="D132" s="580" t="s">
        <v>889</v>
      </c>
      <c r="E132" s="569">
        <f>B6</f>
        <v>0</v>
      </c>
      <c r="F132" s="570">
        <f>B6*1.1</f>
        <v>0</v>
      </c>
      <c r="G132" s="570">
        <f>B7-B10</f>
        <v>0</v>
      </c>
      <c r="H132" s="570">
        <f>MAX(0,B6*1.1*0.75-(B7-B10))</f>
        <v>0</v>
      </c>
      <c r="I132" s="570">
        <f>IFERROR(MAX(0,B6*1.1*0.75-(B7-B10))*1000/('Feasibility Study'!#REF!*43560),0)</f>
        <v>0</v>
      </c>
      <c r="J132" s="571">
        <f>IFERROR(MAX(0,B6*1.1*0.75-(B7-B10))/B10-1,0)</f>
        <v>0</v>
      </c>
      <c r="K132" s="572" t="str">
        <f>IF(MAX(0,B6*1.1*0.75-(B7-B10))&gt;B10,"✔ Viable — land priced below max",IF(MAX(0,B6*1.1*0.75-(B7-B10))&gt;B10*0.9,"△ Tight — within 10% of max","✗ Unviable at this ASP"))</f>
        <v>✗ Unviable at this ASP</v>
      </c>
    </row>
    <row r="133" spans="1:21" ht="19.5" customHeight="1" x14ac:dyDescent="0.25">
      <c r="D133" s="562" t="s">
        <v>890</v>
      </c>
      <c r="E133" s="563">
        <f>B6</f>
        <v>0</v>
      </c>
      <c r="F133" s="564">
        <f>B6*1.2</f>
        <v>0</v>
      </c>
      <c r="G133" s="564">
        <f>B7-B10</f>
        <v>0</v>
      </c>
      <c r="H133" s="564">
        <f>MAX(0,B6*1.2*0.75-(B7-B10))</f>
        <v>0</v>
      </c>
      <c r="I133" s="564">
        <f>IFERROR(MAX(0,B6*1.2*0.75-(B7-B10))*1000/('Feasibility Study'!#REF!*43560),0)</f>
        <v>0</v>
      </c>
      <c r="J133" s="565">
        <f>IFERROR(MAX(0,B6*1.2*0.75-(B7-B10))/B10-1,0)</f>
        <v>0</v>
      </c>
      <c r="K133" s="566" t="str">
        <f>IF(MAX(0,B6*1.2*0.75-(B7-B10))&gt;B10,"✔ Viable — land priced below max",IF(MAX(0,B6*1.2*0.75-(B7-B10))&gt;B10*0.9,"△ Tight — within 10% of max","✗ Unviable at this ASP"))</f>
        <v>✗ Unviable at this ASP</v>
      </c>
    </row>
    <row r="136" spans="1:21" ht="19.5" customHeight="1" x14ac:dyDescent="0.25">
      <c r="A136" s="675" t="s">
        <v>1002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</row>
    <row r="137" spans="1:21" ht="15" customHeight="1" x14ac:dyDescent="0.25">
      <c r="A137" s="664" t="s">
        <v>1003</v>
      </c>
      <c r="B137" s="627"/>
      <c r="C137" s="627"/>
      <c r="D137" s="627"/>
      <c r="E137" s="627"/>
      <c r="F137" s="627"/>
      <c r="G137" s="627"/>
      <c r="H137" s="627"/>
      <c r="I137" s="627"/>
      <c r="J137" s="627"/>
      <c r="K137" s="627"/>
      <c r="L137" s="627"/>
      <c r="M137" s="627"/>
      <c r="N137" s="627"/>
      <c r="O137" s="627"/>
      <c r="P137" s="627"/>
      <c r="Q137" s="627"/>
      <c r="R137" s="627"/>
      <c r="S137" s="627"/>
      <c r="T137" s="627"/>
      <c r="U137" s="627"/>
    </row>
    <row r="138" spans="1:21" ht="21.75" customHeight="1" x14ac:dyDescent="0.25">
      <c r="D138" s="581" t="s">
        <v>1004</v>
      </c>
      <c r="E138" s="582" t="s">
        <v>1005</v>
      </c>
      <c r="F138" s="583" t="s">
        <v>1006</v>
      </c>
      <c r="G138" s="581" t="s">
        <v>1007</v>
      </c>
    </row>
    <row r="139" spans="1:21" ht="19.5" customHeight="1" x14ac:dyDescent="0.25">
      <c r="D139" s="584" t="s">
        <v>877</v>
      </c>
      <c r="E139" s="585" t="s">
        <v>886</v>
      </c>
      <c r="F139" s="586" t="s">
        <v>1001</v>
      </c>
      <c r="G139" s="587" t="s">
        <v>1008</v>
      </c>
    </row>
    <row r="140" spans="1:21" ht="19.5" customHeight="1" x14ac:dyDescent="0.25">
      <c r="D140" s="588" t="s">
        <v>1009</v>
      </c>
      <c r="E140" s="585" t="s">
        <v>822</v>
      </c>
      <c r="F140" s="586" t="s">
        <v>1010</v>
      </c>
      <c r="G140" s="587" t="s">
        <v>826</v>
      </c>
    </row>
    <row r="141" spans="1:21" ht="19.5" customHeight="1" x14ac:dyDescent="0.25">
      <c r="D141" s="584" t="s">
        <v>1011</v>
      </c>
      <c r="E141" s="589">
        <f>B6*0.8*0.75</f>
        <v>0</v>
      </c>
      <c r="F141" s="575">
        <f>B6</f>
        <v>0</v>
      </c>
      <c r="G141" s="590">
        <f>B6*1.15</f>
        <v>0</v>
      </c>
    </row>
    <row r="142" spans="1:21" ht="19.5" customHeight="1" x14ac:dyDescent="0.25">
      <c r="D142" s="588" t="s">
        <v>1012</v>
      </c>
      <c r="E142" s="589">
        <f>B7</f>
        <v>0</v>
      </c>
      <c r="F142" s="575">
        <f>B7</f>
        <v>0</v>
      </c>
      <c r="G142" s="590">
        <f>B7</f>
        <v>0</v>
      </c>
    </row>
    <row r="143" spans="1:21" ht="19.5" customHeight="1" x14ac:dyDescent="0.25">
      <c r="D143" s="584" t="s">
        <v>839</v>
      </c>
      <c r="E143" s="589">
        <f>E141-E142</f>
        <v>0</v>
      </c>
      <c r="F143" s="575">
        <f>B8</f>
        <v>0</v>
      </c>
      <c r="G143" s="590">
        <f>G141-G142</f>
        <v>0</v>
      </c>
    </row>
    <row r="144" spans="1:21" ht="19.5" customHeight="1" x14ac:dyDescent="0.25">
      <c r="D144" s="588" t="s">
        <v>1013</v>
      </c>
      <c r="E144" s="591">
        <f>IFERROR(E143/E141,0)</f>
        <v>0</v>
      </c>
      <c r="F144" s="592">
        <f>IFERROR(B8/B6,0)</f>
        <v>0</v>
      </c>
      <c r="G144" s="593">
        <f>IFERROR(G143/G141,0)</f>
        <v>0</v>
      </c>
    </row>
    <row r="145" spans="1:21" ht="19.5" customHeight="1" x14ac:dyDescent="0.25">
      <c r="D145" s="584" t="s">
        <v>1014</v>
      </c>
      <c r="E145" s="594" t="str">
        <f ca="1">IFERROR(B81*0.8*0.75,0)</f>
        <v/>
      </c>
      <c r="F145" s="595" t="str">
        <f ca="1">B81</f>
        <v/>
      </c>
      <c r="G145" s="596" t="str">
        <f ca="1">IFERROR(B81*1.15,0)</f>
        <v/>
      </c>
    </row>
    <row r="146" spans="1:21" ht="19.5" customHeight="1" x14ac:dyDescent="0.25">
      <c r="D146" s="588" t="s">
        <v>844</v>
      </c>
      <c r="E146" s="597" t="str">
        <f ca="1">IFERROR(E143/ABS(B12),0)</f>
        <v/>
      </c>
      <c r="F146" s="598" t="str">
        <f ca="1">IFERROR(B8/ABS(B12),0)</f>
        <v/>
      </c>
      <c r="G146" s="599" t="str">
        <f ca="1">IFERROR(G143/ABS(B12),0)</f>
        <v/>
      </c>
    </row>
    <row r="149" spans="1:21" ht="19.5" customHeight="1" x14ac:dyDescent="0.25">
      <c r="A149" s="674" t="s">
        <v>1015</v>
      </c>
      <c r="B149" s="627"/>
      <c r="C149" s="627"/>
      <c r="D149" s="627"/>
      <c r="E149" s="627"/>
      <c r="F149" s="627"/>
      <c r="G149" s="627"/>
      <c r="H149" s="627"/>
      <c r="I149" s="627"/>
      <c r="J149" s="627"/>
      <c r="K149" s="627"/>
      <c r="L149" s="627"/>
      <c r="M149" s="627"/>
      <c r="N149" s="627"/>
      <c r="O149" s="627"/>
      <c r="P149" s="627"/>
      <c r="Q149" s="627"/>
      <c r="R149" s="627"/>
      <c r="S149" s="627"/>
      <c r="T149" s="627"/>
      <c r="U149" s="627"/>
    </row>
    <row r="150" spans="1:21" ht="15" customHeight="1" x14ac:dyDescent="0.25">
      <c r="A150" s="664" t="s">
        <v>1016</v>
      </c>
      <c r="B150" s="627"/>
      <c r="C150" s="627"/>
      <c r="D150" s="627"/>
      <c r="E150" s="627"/>
      <c r="F150" s="627"/>
      <c r="G150" s="627"/>
      <c r="H150" s="627"/>
      <c r="I150" s="627"/>
      <c r="J150" s="627"/>
      <c r="K150" s="627"/>
      <c r="L150" s="627"/>
      <c r="M150" s="627"/>
      <c r="N150" s="627"/>
      <c r="O150" s="627"/>
      <c r="P150" s="627"/>
      <c r="Q150" s="627"/>
      <c r="R150" s="627"/>
      <c r="S150" s="627"/>
      <c r="T150" s="627"/>
      <c r="U150" s="627"/>
    </row>
    <row r="151" spans="1:21" ht="27.75" customHeight="1" x14ac:dyDescent="0.25">
      <c r="D151" s="600" t="s">
        <v>1017</v>
      </c>
      <c r="E151" s="600" t="s">
        <v>1018</v>
      </c>
      <c r="F151" s="600" t="s">
        <v>1019</v>
      </c>
      <c r="G151" s="543" t="s">
        <v>1020</v>
      </c>
      <c r="H151" s="600" t="s">
        <v>1021</v>
      </c>
      <c r="I151" s="600" t="s">
        <v>1022</v>
      </c>
    </row>
    <row r="152" spans="1:21" ht="21.75" customHeight="1" x14ac:dyDescent="0.25">
      <c r="D152" s="601" t="s">
        <v>1023</v>
      </c>
      <c r="E152" s="557">
        <f>IFERROR(((B6*0.8)-((B7+B11*-0.2)))/(B6*0.8),0)</f>
        <v>0</v>
      </c>
      <c r="F152" s="557">
        <f>IFERROR(((B6*0.9)-((B7+B11*-0.2)))/(B6*0.9),0)</f>
        <v>0</v>
      </c>
      <c r="G152" s="557">
        <f>IFERROR(((B6*1)-((B7+B11*-0.2)))/(B6*1),0)</f>
        <v>0</v>
      </c>
      <c r="H152" s="557">
        <f>IFERROR(((B6*1.1)-((B7+B11*-0.2)))/(B6*1.1),0)</f>
        <v>0</v>
      </c>
      <c r="I152" s="557">
        <f>IFERROR(((B6*1.2)-((B7+B11*-0.2)))/(B6*1.2),0)</f>
        <v>0</v>
      </c>
    </row>
    <row r="153" spans="1:21" ht="21.75" customHeight="1" x14ac:dyDescent="0.25">
      <c r="D153" s="601" t="s">
        <v>1024</v>
      </c>
      <c r="E153" s="557">
        <f>IFERROR(((B6*0.8)-((B7+B11*-0.1)))/(B6*0.8),0)</f>
        <v>0</v>
      </c>
      <c r="F153" s="557">
        <f>IFERROR(((B6*0.9)-((B7+B11*-0.1)))/(B6*0.9),0)</f>
        <v>0</v>
      </c>
      <c r="G153" s="557">
        <f>IFERROR(((B6*1)-((B7+B11*-0.1)))/(B6*1),0)</f>
        <v>0</v>
      </c>
      <c r="H153" s="557">
        <f>IFERROR(((B6*1.1)-((B7+B11*-0.1)))/(B6*1.1),0)</f>
        <v>0</v>
      </c>
      <c r="I153" s="557">
        <f>IFERROR(((B6*1.2)-((B7+B11*-0.1)))/(B6*1.2),0)</f>
        <v>0</v>
      </c>
    </row>
    <row r="154" spans="1:21" ht="21.75" customHeight="1" x14ac:dyDescent="0.25">
      <c r="D154" s="560" t="s">
        <v>1025</v>
      </c>
      <c r="E154" s="557">
        <f>IFERROR(((B6*0.8)-((B7+B11*0)))/(B6*0.8),0)</f>
        <v>0</v>
      </c>
      <c r="F154" s="557">
        <f>IFERROR(((B6*0.9)-((B7+B11*0)))/(B6*0.9),0)</f>
        <v>0</v>
      </c>
      <c r="G154" s="483">
        <f>IFERROR(((B6*1)-((B7+B11*0)))/(B6*1),0)</f>
        <v>0</v>
      </c>
      <c r="H154" s="557">
        <f>IFERROR(((B6*1.1)-((B7+B11*0)))/(B6*1.1),0)</f>
        <v>0</v>
      </c>
      <c r="I154" s="557">
        <f>IFERROR(((B6*1.2)-((B7+B11*0)))/(B6*1.2),0)</f>
        <v>0</v>
      </c>
    </row>
    <row r="155" spans="1:21" ht="21.75" customHeight="1" x14ac:dyDescent="0.25">
      <c r="D155" s="601" t="s">
        <v>1026</v>
      </c>
      <c r="E155" s="557">
        <f>IFERROR(((B6*0.8)-((B7+B11*0.1)))/(B6*0.8),0)</f>
        <v>0</v>
      </c>
      <c r="F155" s="557">
        <f>IFERROR(((B6*0.9)-((B7+B11*0.1)))/(B6*0.9),0)</f>
        <v>0</v>
      </c>
      <c r="G155" s="557">
        <f>IFERROR(((B6*1)-((B7+B11*0.1)))/(B6*1),0)</f>
        <v>0</v>
      </c>
      <c r="H155" s="557">
        <f>IFERROR(((B6*1.1)-((B7+B11*0.1)))/(B6*1.1),0)</f>
        <v>0</v>
      </c>
      <c r="I155" s="557">
        <f>IFERROR(((B6*1.2)-((B7+B11*0.1)))/(B6*1.2),0)</f>
        <v>0</v>
      </c>
    </row>
    <row r="156" spans="1:21" ht="21.75" customHeight="1" x14ac:dyDescent="0.25">
      <c r="D156" s="601" t="s">
        <v>1027</v>
      </c>
      <c r="E156" s="557">
        <f>IFERROR(((B6*0.8)-((B7+B11*0.2)))/(B6*0.8),0)</f>
        <v>0</v>
      </c>
      <c r="F156" s="557">
        <f>IFERROR(((B6*0.9)-((B7+B11*0.2)))/(B6*0.9),0)</f>
        <v>0</v>
      </c>
      <c r="G156" s="557">
        <f>IFERROR(((B6*1)-((B7+B11*0.2)))/(B6*1),0)</f>
        <v>0</v>
      </c>
      <c r="H156" s="557">
        <f>IFERROR(((B6*1.1)-((B7+B11*0.2)))/(B6*1.1),0)</f>
        <v>0</v>
      </c>
      <c r="I156" s="557">
        <f>IFERROR(((B6*1.2)-((B7+B11*0.2)))/(B6*1.2),0)</f>
        <v>0</v>
      </c>
    </row>
    <row r="159" spans="1:21" ht="39.75" customHeight="1" x14ac:dyDescent="0.25">
      <c r="A159" s="667" t="s">
        <v>1028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</row>
  </sheetData>
  <mergeCells count="27">
    <mergeCell ref="A1:O1"/>
    <mergeCell ref="A79:U79"/>
    <mergeCell ref="A150:U150"/>
    <mergeCell ref="A126:U126"/>
    <mergeCell ref="A159:U159"/>
    <mergeCell ref="A117:U117"/>
    <mergeCell ref="A93:U93"/>
    <mergeCell ref="A127:U127"/>
    <mergeCell ref="A2:O2"/>
    <mergeCell ref="A104:U104"/>
    <mergeCell ref="A40:J40"/>
    <mergeCell ref="A73:J73"/>
    <mergeCell ref="A116:U116"/>
    <mergeCell ref="A64:J64"/>
    <mergeCell ref="A16:J16"/>
    <mergeCell ref="A54:J54"/>
    <mergeCell ref="A4:J4"/>
    <mergeCell ref="A149:U149"/>
    <mergeCell ref="A80:U80"/>
    <mergeCell ref="A136:U136"/>
    <mergeCell ref="A63:J63"/>
    <mergeCell ref="A105:U105"/>
    <mergeCell ref="A92:U92"/>
    <mergeCell ref="A74:J74"/>
    <mergeCell ref="A17:J17"/>
    <mergeCell ref="A53:J53"/>
    <mergeCell ref="A137:U1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Feasibility Study</vt:lpstr>
      <vt:lpstr>Cashflow</vt:lpstr>
      <vt:lpstr>IRR &amp; Sensitivity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</dc:creator>
  <cp:lastModifiedBy>Wai Win Han</cp:lastModifiedBy>
  <cp:revision>0</cp:revision>
  <cp:lastPrinted>2026-01-16T05:02:10Z</cp:lastPrinted>
  <dcterms:created xsi:type="dcterms:W3CDTF">2007-01-07T21:55:36Z</dcterms:created>
  <dcterms:modified xsi:type="dcterms:W3CDTF">2026-04-09T01:38:04Z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